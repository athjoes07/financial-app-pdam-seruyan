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New folder\"/>
    </mc:Choice>
  </mc:AlternateContent>
  <xr:revisionPtr revIDLastSave="0" documentId="13_ncr:1_{ADCF3C4F-1036-4281-8AC3-6AE49CFF8D8C}" xr6:coauthVersionLast="47" xr6:coauthVersionMax="47" xr10:uidLastSave="{00000000-0000-0000-0000-000000000000}"/>
  <bookViews>
    <workbookView xWindow="14205" yWindow="0" windowWidth="14595" windowHeight="15480" tabRatio="771" firstSheet="6" activeTab="6" xr2:uid="{00000000-000D-0000-FFFF-FFFF00000000}"/>
  </bookViews>
  <sheets>
    <sheet name="BPTRA" sheetId="14" state="hidden" r:id="rId1"/>
    <sheet name="BPTRNA" sheetId="13" state="hidden" r:id="rId2"/>
    <sheet name="BPTDN" sheetId="15" state="hidden" r:id="rId3"/>
    <sheet name="BKM" sheetId="17" state="hidden" r:id="rId4"/>
    <sheet name="JRNA2 " sheetId="20" state="hidden" r:id="rId5"/>
    <sheet name="DVUD(1)" sheetId="29" state="hidden" r:id="rId6"/>
    <sheet name="DVUD" sheetId="30" r:id="rId7"/>
    <sheet name="J. Pemblk" sheetId="10" state="hidden" r:id="rId8"/>
    <sheet name="DUVHD" sheetId="6" state="hidden" r:id="rId9"/>
    <sheet name="J.Koreksi" sheetId="25" state="hidden" r:id="rId10"/>
    <sheet name="BKU" sheetId="7" state="hidden" r:id="rId11"/>
    <sheet name="BKU PM" sheetId="12" state="hidden" r:id="rId12"/>
  </sheets>
  <definedNames>
    <definedName name="_xlnm.Print_Area" localSheetId="5">'DVUD(1)'!$AI$8:$AQ$83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08" i="30" l="1"/>
  <c r="D10" i="30"/>
  <c r="K1465" i="30" l="1"/>
  <c r="K1476" i="30" l="1"/>
  <c r="K1475" i="30" l="1"/>
  <c r="K1474" i="30"/>
  <c r="K1473" i="30"/>
  <c r="K1472" i="30"/>
  <c r="K1471" i="30"/>
  <c r="K1470" i="30"/>
  <c r="K1469" i="30"/>
  <c r="K1464" i="30"/>
  <c r="K1463" i="30"/>
  <c r="K1462" i="30"/>
  <c r="K1461" i="30"/>
  <c r="K1460" i="30"/>
  <c r="K1459" i="30"/>
  <c r="K1458" i="30"/>
  <c r="K1457" i="30"/>
  <c r="K1456" i="30"/>
  <c r="K1455" i="30"/>
  <c r="K1454" i="30"/>
  <c r="K1453" i="30"/>
  <c r="K1452" i="30"/>
  <c r="K1451" i="30"/>
  <c r="K1450" i="30"/>
  <c r="K1449" i="30"/>
  <c r="K1448" i="30"/>
  <c r="K1447" i="30"/>
  <c r="K1446" i="30"/>
  <c r="K1445" i="30"/>
  <c r="K1444" i="30"/>
  <c r="K1443" i="30"/>
  <c r="K1442" i="30"/>
  <c r="K1441" i="30"/>
  <c r="K1440" i="30"/>
  <c r="K1439" i="30"/>
  <c r="K1438" i="30"/>
  <c r="K1437" i="30"/>
  <c r="K1436" i="30"/>
  <c r="K1435" i="30"/>
  <c r="K1434" i="30"/>
  <c r="K1433" i="30"/>
  <c r="K1432" i="30"/>
  <c r="K1431" i="30"/>
  <c r="K1430" i="30"/>
  <c r="K1429" i="30"/>
  <c r="K1428" i="30"/>
  <c r="K1427" i="30"/>
  <c r="K1426" i="30"/>
  <c r="K1425" i="30"/>
  <c r="K1424" i="30"/>
  <c r="K1423" i="30"/>
  <c r="K1422" i="30"/>
  <c r="K1421" i="30"/>
  <c r="K1420" i="30"/>
  <c r="K1419" i="30"/>
  <c r="K1418" i="30"/>
  <c r="K1417" i="30"/>
  <c r="K1416" i="30"/>
  <c r="K1415" i="30"/>
  <c r="K1414" i="30"/>
  <c r="K1413" i="30"/>
  <c r="K1412" i="30"/>
  <c r="K1411" i="30"/>
  <c r="K1410" i="30"/>
  <c r="K1409" i="30"/>
  <c r="K1408" i="30"/>
  <c r="K1407" i="30"/>
  <c r="K1406" i="30"/>
  <c r="K1405" i="30"/>
  <c r="K1404" i="30"/>
  <c r="K1403" i="30"/>
  <c r="K1402" i="30"/>
  <c r="K1401" i="30"/>
  <c r="K1400" i="30"/>
  <c r="K1399" i="30"/>
  <c r="K1398" i="30"/>
  <c r="K1397" i="30"/>
  <c r="K1396" i="30"/>
  <c r="K1395" i="30"/>
  <c r="K1394" i="30"/>
  <c r="K1393" i="30"/>
  <c r="K1392" i="30"/>
  <c r="K1391" i="30"/>
  <c r="K1390" i="30"/>
  <c r="K1389" i="30"/>
  <c r="K1387" i="30"/>
  <c r="K1386" i="30"/>
  <c r="K1385" i="30"/>
  <c r="K1384" i="30"/>
  <c r="K1383" i="30"/>
  <c r="K1382" i="30"/>
  <c r="K1381" i="30"/>
  <c r="K1380" i="30"/>
  <c r="K1379" i="30"/>
  <c r="K1378" i="30"/>
  <c r="K1377" i="30"/>
  <c r="K1376" i="30"/>
  <c r="K1374" i="30"/>
  <c r="K1373" i="30"/>
  <c r="K1372" i="30"/>
  <c r="K1371" i="30"/>
  <c r="K1370" i="30"/>
  <c r="K1369" i="30"/>
  <c r="K1367" i="30"/>
  <c r="K1366" i="30"/>
  <c r="K1365" i="30"/>
  <c r="K1364" i="30"/>
  <c r="K1363" i="30"/>
  <c r="K1362" i="30"/>
  <c r="K1361" i="30"/>
  <c r="K1360" i="30"/>
  <c r="K1359" i="30"/>
  <c r="H1477" i="30" l="1"/>
  <c r="K1388" i="30"/>
  <c r="K1375" i="30"/>
  <c r="K1368" i="30"/>
  <c r="K1477" i="30" l="1"/>
  <c r="H1485" i="30"/>
  <c r="H1344" i="30" l="1"/>
  <c r="K1343" i="30"/>
  <c r="K1342" i="30"/>
  <c r="K1341" i="30"/>
  <c r="K1340" i="30"/>
  <c r="K1339" i="30"/>
  <c r="K1338" i="30"/>
  <c r="K1337" i="30"/>
  <c r="K1336" i="30"/>
  <c r="K1335" i="30"/>
  <c r="K1334" i="30"/>
  <c r="K1333" i="30"/>
  <c r="K1332" i="30"/>
  <c r="K1331" i="30"/>
  <c r="K1330" i="30"/>
  <c r="K1329" i="30"/>
  <c r="K1328" i="30"/>
  <c r="K1327" i="30"/>
  <c r="K1326" i="30"/>
  <c r="K1325" i="30"/>
  <c r="K1324" i="30"/>
  <c r="K1323" i="30"/>
  <c r="K1322" i="30"/>
  <c r="K1321" i="30"/>
  <c r="K1320" i="30"/>
  <c r="K1319" i="30"/>
  <c r="K1318" i="30"/>
  <c r="K1317" i="30"/>
  <c r="K1316" i="30"/>
  <c r="K1315" i="30"/>
  <c r="K1314" i="30"/>
  <c r="K1313" i="30"/>
  <c r="K1312" i="30"/>
  <c r="K1311" i="30"/>
  <c r="K1310" i="30"/>
  <c r="K1309" i="30"/>
  <c r="K1308" i="30"/>
  <c r="K1307" i="30"/>
  <c r="K1306" i="30"/>
  <c r="K1305" i="30"/>
  <c r="K1304" i="30"/>
  <c r="K1303" i="30"/>
  <c r="K1302" i="30"/>
  <c r="K1301" i="30"/>
  <c r="K1300" i="30"/>
  <c r="K1299" i="30"/>
  <c r="K1298" i="30"/>
  <c r="K1297" i="30"/>
  <c r="K1296" i="30"/>
  <c r="K1295" i="30"/>
  <c r="K1294" i="30"/>
  <c r="K1293" i="30"/>
  <c r="K1292" i="30"/>
  <c r="K1291" i="30"/>
  <c r="K1290" i="30"/>
  <c r="K1289" i="30"/>
  <c r="K1288" i="30"/>
  <c r="K1287" i="30"/>
  <c r="K1286" i="30"/>
  <c r="K1285" i="30"/>
  <c r="K1284" i="30"/>
  <c r="K1283" i="30"/>
  <c r="K1282" i="30"/>
  <c r="K1281" i="30"/>
  <c r="K1280" i="30"/>
  <c r="K1279" i="30"/>
  <c r="K1278" i="30"/>
  <c r="K1277" i="30"/>
  <c r="K1276" i="30"/>
  <c r="K1275" i="30"/>
  <c r="K1274" i="30"/>
  <c r="K1273" i="30"/>
  <c r="K1272" i="30"/>
  <c r="K1271" i="30"/>
  <c r="K1270" i="30"/>
  <c r="K1269" i="30"/>
  <c r="K1268" i="30"/>
  <c r="K1267" i="30"/>
  <c r="K1266" i="30"/>
  <c r="K1265" i="30"/>
  <c r="K1264" i="30"/>
  <c r="K1263" i="30"/>
  <c r="K1262" i="30"/>
  <c r="K1261" i="30"/>
  <c r="K1260" i="30"/>
  <c r="K1259" i="30"/>
  <c r="K1344" i="30" l="1"/>
  <c r="H1350" i="30"/>
  <c r="H1236" i="30" l="1"/>
  <c r="K1235" i="30"/>
  <c r="K1234" i="30"/>
  <c r="K1233" i="30"/>
  <c r="K1232" i="30"/>
  <c r="K1231" i="30"/>
  <c r="K1230" i="30"/>
  <c r="K1229" i="30"/>
  <c r="K1228" i="30"/>
  <c r="K1227" i="30"/>
  <c r="K1226" i="30"/>
  <c r="K1225" i="30"/>
  <c r="K1224" i="30"/>
  <c r="K1223" i="30"/>
  <c r="K1222" i="30"/>
  <c r="K1221" i="30"/>
  <c r="K1220" i="30"/>
  <c r="K1219" i="30"/>
  <c r="K1218" i="30"/>
  <c r="K1217" i="30"/>
  <c r="K1216" i="30"/>
  <c r="K1215" i="30"/>
  <c r="K1214" i="30"/>
  <c r="K1213" i="30"/>
  <c r="K1212" i="30"/>
  <c r="K1211" i="30"/>
  <c r="K1210" i="30"/>
  <c r="K1209" i="30"/>
  <c r="K1208" i="30"/>
  <c r="K1207" i="30"/>
  <c r="K1206" i="30"/>
  <c r="K1205" i="30"/>
  <c r="K1204" i="30"/>
  <c r="K1203" i="30"/>
  <c r="K1202" i="30"/>
  <c r="K1201" i="30"/>
  <c r="K1200" i="30"/>
  <c r="K1199" i="30"/>
  <c r="K1198" i="30"/>
  <c r="K1197" i="30"/>
  <c r="K1196" i="30"/>
  <c r="K1195" i="30"/>
  <c r="K1194" i="30"/>
  <c r="K1193" i="30"/>
  <c r="K1192" i="30"/>
  <c r="K1191" i="30"/>
  <c r="K1190" i="30"/>
  <c r="K1189" i="30"/>
  <c r="K1188" i="30"/>
  <c r="K1187" i="30"/>
  <c r="K1186" i="30"/>
  <c r="K1185" i="30"/>
  <c r="K1184" i="30"/>
  <c r="K1183" i="30"/>
  <c r="K1182" i="30"/>
  <c r="K1181" i="30"/>
  <c r="K1180" i="30"/>
  <c r="K1179" i="30"/>
  <c r="K1178" i="30"/>
  <c r="K1177" i="30"/>
  <c r="K1176" i="30"/>
  <c r="K1175" i="30"/>
  <c r="K1174" i="30"/>
  <c r="K1173" i="30"/>
  <c r="K1172" i="30"/>
  <c r="K1171" i="30"/>
  <c r="K1170" i="30"/>
  <c r="K1169" i="30"/>
  <c r="K1168" i="30"/>
  <c r="K1167" i="30"/>
  <c r="K1166" i="30"/>
  <c r="K1165" i="30"/>
  <c r="K1164" i="30"/>
  <c r="K1163" i="30"/>
  <c r="K1162" i="30"/>
  <c r="K1161" i="30"/>
  <c r="K1160" i="30"/>
  <c r="K1159" i="30"/>
  <c r="K1236" i="30" l="1"/>
  <c r="H1242" i="30"/>
  <c r="H1109" i="30" l="1"/>
  <c r="K1108" i="30"/>
  <c r="K1107" i="30"/>
  <c r="K1106" i="30"/>
  <c r="K1105" i="30"/>
  <c r="K1104" i="30"/>
  <c r="K1103" i="30"/>
  <c r="K1102" i="30"/>
  <c r="K1101" i="30"/>
  <c r="K1100" i="30"/>
  <c r="K1099" i="30"/>
  <c r="K1098" i="30"/>
  <c r="K1097" i="30"/>
  <c r="K1096" i="30"/>
  <c r="K1095" i="30"/>
  <c r="K1094" i="30"/>
  <c r="K1093" i="30"/>
  <c r="K1092" i="30"/>
  <c r="K1091" i="30"/>
  <c r="K1090" i="30"/>
  <c r="K1089" i="30"/>
  <c r="K1088" i="30"/>
  <c r="K1087" i="30"/>
  <c r="K1086" i="30"/>
  <c r="K1085" i="30"/>
  <c r="K1084" i="30"/>
  <c r="K1083" i="30"/>
  <c r="K1082" i="30"/>
  <c r="K1081" i="30"/>
  <c r="K1080" i="30"/>
  <c r="K1079" i="30"/>
  <c r="K1078" i="30"/>
  <c r="K1077" i="30"/>
  <c r="K1076" i="30"/>
  <c r="K1075" i="30"/>
  <c r="K1074" i="30"/>
  <c r="K1073" i="30"/>
  <c r="K1072" i="30"/>
  <c r="K1071" i="30"/>
  <c r="K1070" i="30"/>
  <c r="K1069" i="30"/>
  <c r="K1068" i="30"/>
  <c r="K1067" i="30"/>
  <c r="K1066" i="30"/>
  <c r="K1065" i="30"/>
  <c r="K1064" i="30"/>
  <c r="K1063" i="30"/>
  <c r="K1062" i="30"/>
  <c r="K1061" i="30"/>
  <c r="K1060" i="30"/>
  <c r="K1059" i="30"/>
  <c r="K1058" i="30"/>
  <c r="K1057" i="30"/>
  <c r="K1056" i="30"/>
  <c r="K1055" i="30"/>
  <c r="K1054" i="30"/>
  <c r="K1053" i="30"/>
  <c r="K1052" i="30"/>
  <c r="K1051" i="30"/>
  <c r="K1050" i="30"/>
  <c r="K1049" i="30"/>
  <c r="K1048" i="30"/>
  <c r="K1047" i="30"/>
  <c r="K1046" i="30"/>
  <c r="K1045" i="30"/>
  <c r="K1044" i="30"/>
  <c r="K1043" i="30"/>
  <c r="K1042" i="30"/>
  <c r="K1041" i="30"/>
  <c r="K1040" i="30"/>
  <c r="K1039" i="30"/>
  <c r="K1038" i="30"/>
  <c r="K1037" i="30"/>
  <c r="K1036" i="30"/>
  <c r="K1035" i="30"/>
  <c r="K1034" i="30"/>
  <c r="K1033" i="30"/>
  <c r="K1032" i="30"/>
  <c r="K1031" i="30"/>
  <c r="K1030" i="30"/>
  <c r="K1029" i="30"/>
  <c r="K1028" i="30"/>
  <c r="K1027" i="30"/>
  <c r="K1026" i="30"/>
  <c r="K1025" i="30"/>
  <c r="K1024" i="30"/>
  <c r="K1023" i="30"/>
  <c r="K1022" i="30"/>
  <c r="K1021" i="30"/>
  <c r="K1020" i="30"/>
  <c r="K1019" i="30"/>
  <c r="K1018" i="30"/>
  <c r="K1017" i="30"/>
  <c r="K1016" i="30"/>
  <c r="K1015" i="30"/>
  <c r="K1014" i="30"/>
  <c r="K1013" i="30"/>
  <c r="K1012" i="30"/>
  <c r="K1011" i="30"/>
  <c r="K1010" i="30"/>
  <c r="K1009" i="30"/>
  <c r="K1008" i="30"/>
  <c r="K1007" i="30"/>
  <c r="K1109" i="30" l="1"/>
  <c r="H1119" i="30"/>
  <c r="H948" i="30" l="1"/>
  <c r="K947" i="30"/>
  <c r="K946" i="30"/>
  <c r="K945" i="30"/>
  <c r="K944" i="30"/>
  <c r="K943" i="30"/>
  <c r="K942" i="30"/>
  <c r="K941" i="30"/>
  <c r="K940" i="30"/>
  <c r="K939" i="30"/>
  <c r="K938" i="30"/>
  <c r="K937" i="30"/>
  <c r="K936" i="30"/>
  <c r="K935" i="30"/>
  <c r="K934" i="30"/>
  <c r="K933" i="30"/>
  <c r="K932" i="30"/>
  <c r="K931" i="30"/>
  <c r="K930" i="30"/>
  <c r="K929" i="30"/>
  <c r="K928" i="30"/>
  <c r="K927" i="30"/>
  <c r="K926" i="30"/>
  <c r="K925" i="30"/>
  <c r="K924" i="30"/>
  <c r="K923" i="30"/>
  <c r="K922" i="30"/>
  <c r="K921" i="30"/>
  <c r="K920" i="30"/>
  <c r="K919" i="30"/>
  <c r="K918" i="30"/>
  <c r="K917" i="30"/>
  <c r="K916" i="30"/>
  <c r="K915" i="30"/>
  <c r="K914" i="30"/>
  <c r="K913" i="30"/>
  <c r="K912" i="30"/>
  <c r="K911" i="30"/>
  <c r="K910" i="30"/>
  <c r="K909" i="30"/>
  <c r="K908" i="30"/>
  <c r="K907" i="30"/>
  <c r="K906" i="30"/>
  <c r="K905" i="30"/>
  <c r="K904" i="30"/>
  <c r="K903" i="30"/>
  <c r="K902" i="30"/>
  <c r="K901" i="30"/>
  <c r="K900" i="30"/>
  <c r="K899" i="30"/>
  <c r="K898" i="30"/>
  <c r="K897" i="30"/>
  <c r="K896" i="30"/>
  <c r="K895" i="30"/>
  <c r="K894" i="30"/>
  <c r="K893" i="30"/>
  <c r="K892" i="30"/>
  <c r="K891" i="30"/>
  <c r="K890" i="30"/>
  <c r="K889" i="30"/>
  <c r="K888" i="30"/>
  <c r="K887" i="30"/>
  <c r="K886" i="30"/>
  <c r="K885" i="30"/>
  <c r="K884" i="30"/>
  <c r="K883" i="30"/>
  <c r="K882" i="30"/>
  <c r="K881" i="30"/>
  <c r="K880" i="30"/>
  <c r="K879" i="30"/>
  <c r="K878" i="30"/>
  <c r="K877" i="30"/>
  <c r="K876" i="30"/>
  <c r="K875" i="30"/>
  <c r="K874" i="30"/>
  <c r="K873" i="30"/>
  <c r="K872" i="30"/>
  <c r="K871" i="30"/>
  <c r="K870" i="30"/>
  <c r="K869" i="30"/>
  <c r="K868" i="30"/>
  <c r="K867" i="30"/>
  <c r="K866" i="30"/>
  <c r="K865" i="30"/>
  <c r="K864" i="30"/>
  <c r="K863" i="30"/>
  <c r="K862" i="30"/>
  <c r="K861" i="30"/>
  <c r="K860" i="30"/>
  <c r="K859" i="30"/>
  <c r="K858" i="30"/>
  <c r="K857" i="30"/>
  <c r="K948" i="30" l="1"/>
  <c r="H954" i="30"/>
  <c r="K733" i="30" l="1"/>
  <c r="K734" i="30"/>
  <c r="K735" i="30"/>
  <c r="K736" i="30"/>
  <c r="K796" i="30"/>
  <c r="K795" i="30"/>
  <c r="K794" i="30"/>
  <c r="K793" i="30"/>
  <c r="K792" i="30"/>
  <c r="K791" i="30"/>
  <c r="K790" i="30"/>
  <c r="K789" i="30"/>
  <c r="K788" i="30"/>
  <c r="K787" i="30"/>
  <c r="K786" i="30"/>
  <c r="K785" i="30"/>
  <c r="K784" i="30"/>
  <c r="K783" i="30"/>
  <c r="K782" i="30"/>
  <c r="K781" i="30"/>
  <c r="K780" i="30"/>
  <c r="K779" i="30"/>
  <c r="K778" i="30"/>
  <c r="K777" i="30"/>
  <c r="K776" i="30"/>
  <c r="K775" i="30"/>
  <c r="K774" i="30"/>
  <c r="K773" i="30"/>
  <c r="K772" i="30"/>
  <c r="K771" i="30"/>
  <c r="K770" i="30"/>
  <c r="K769" i="30"/>
  <c r="K768" i="30"/>
  <c r="K767" i="30"/>
  <c r="K766" i="30"/>
  <c r="K765" i="30"/>
  <c r="K764" i="30"/>
  <c r="K763" i="30"/>
  <c r="K762" i="30"/>
  <c r="K761" i="30"/>
  <c r="K760" i="30"/>
  <c r="K759" i="30"/>
  <c r="K758" i="30"/>
  <c r="K757" i="30"/>
  <c r="K756" i="30"/>
  <c r="K755" i="30"/>
  <c r="K754" i="30"/>
  <c r="K753" i="30"/>
  <c r="K752" i="30"/>
  <c r="K751" i="30"/>
  <c r="K750" i="30"/>
  <c r="K749" i="30"/>
  <c r="K748" i="30"/>
  <c r="K747" i="30"/>
  <c r="K746" i="30"/>
  <c r="K745" i="30"/>
  <c r="K744" i="30"/>
  <c r="K743" i="30"/>
  <c r="K742" i="30"/>
  <c r="K741" i="30"/>
  <c r="K740" i="30"/>
  <c r="K739" i="30"/>
  <c r="K738" i="30"/>
  <c r="K737" i="30"/>
  <c r="K732" i="30"/>
  <c r="K731" i="30"/>
  <c r="K730" i="30"/>
  <c r="K729" i="30"/>
  <c r="K728" i="30"/>
  <c r="K727" i="30"/>
  <c r="K726" i="30"/>
  <c r="K725" i="30"/>
  <c r="K724" i="30"/>
  <c r="K723" i="30"/>
  <c r="K722" i="30"/>
  <c r="K721" i="30"/>
  <c r="K720" i="30"/>
  <c r="K719" i="30"/>
  <c r="K718" i="30"/>
  <c r="K717" i="30"/>
  <c r="K716" i="30"/>
  <c r="K715" i="30"/>
  <c r="K714" i="30"/>
  <c r="K713" i="30"/>
  <c r="K712" i="30"/>
  <c r="K711" i="30"/>
  <c r="K710" i="30"/>
  <c r="K709" i="30"/>
  <c r="K707" i="30"/>
  <c r="L733" i="30" l="1"/>
  <c r="H797" i="30"/>
  <c r="H804" i="30" s="1"/>
  <c r="K797" i="30"/>
  <c r="H653" i="30" l="1"/>
  <c r="H649" i="30"/>
  <c r="K648" i="30"/>
  <c r="K647" i="30"/>
  <c r="K646" i="30"/>
  <c r="K645" i="30"/>
  <c r="K644" i="30"/>
  <c r="K643" i="30"/>
  <c r="K642" i="30"/>
  <c r="K641" i="30"/>
  <c r="K640" i="30"/>
  <c r="K639" i="30"/>
  <c r="K638" i="30"/>
  <c r="K637" i="30"/>
  <c r="K636" i="30"/>
  <c r="K635" i="30"/>
  <c r="K634" i="30"/>
  <c r="K633" i="30"/>
  <c r="K632" i="30"/>
  <c r="K631" i="30"/>
  <c r="K630" i="30"/>
  <c r="K629" i="30"/>
  <c r="K628" i="30"/>
  <c r="K627" i="30"/>
  <c r="K626" i="30"/>
  <c r="K625" i="30"/>
  <c r="K624" i="30"/>
  <c r="K623" i="30"/>
  <c r="K622" i="30"/>
  <c r="K621" i="30"/>
  <c r="K620" i="30"/>
  <c r="K619" i="30"/>
  <c r="K618" i="30"/>
  <c r="K617" i="30"/>
  <c r="K616" i="30"/>
  <c r="K615" i="30"/>
  <c r="K614" i="30"/>
  <c r="K613" i="30"/>
  <c r="K612" i="30"/>
  <c r="K611" i="30"/>
  <c r="K610" i="30"/>
  <c r="K609" i="30"/>
  <c r="K608" i="30"/>
  <c r="K607" i="30"/>
  <c r="K606" i="30"/>
  <c r="K605" i="30"/>
  <c r="K604" i="30"/>
  <c r="K603" i="30"/>
  <c r="K602" i="30"/>
  <c r="K601" i="30"/>
  <c r="K600" i="30"/>
  <c r="K599" i="30"/>
  <c r="K598" i="30"/>
  <c r="K597" i="30"/>
  <c r="K596" i="30"/>
  <c r="K595" i="30"/>
  <c r="K594" i="30"/>
  <c r="K593" i="30"/>
  <c r="K592" i="30"/>
  <c r="K591" i="30"/>
  <c r="K590" i="30"/>
  <c r="K589" i="30"/>
  <c r="K588" i="30"/>
  <c r="K587" i="30"/>
  <c r="K586" i="30"/>
  <c r="K585" i="30"/>
  <c r="K584" i="30"/>
  <c r="K583" i="30"/>
  <c r="K582" i="30"/>
  <c r="K581" i="30"/>
  <c r="K580" i="30"/>
  <c r="K579" i="30"/>
  <c r="K578" i="30"/>
  <c r="K577" i="30"/>
  <c r="K576" i="30"/>
  <c r="K575" i="30"/>
  <c r="K574" i="30"/>
  <c r="K573" i="30"/>
  <c r="K572" i="30"/>
  <c r="K571" i="30"/>
  <c r="K570" i="30"/>
  <c r="K569" i="30"/>
  <c r="K568" i="30"/>
  <c r="K567" i="30"/>
  <c r="K566" i="30"/>
  <c r="K565" i="30"/>
  <c r="K564" i="30"/>
  <c r="K563" i="30"/>
  <c r="K562" i="30"/>
  <c r="K561" i="30"/>
  <c r="K560" i="30"/>
  <c r="K559" i="30"/>
  <c r="K558" i="30"/>
  <c r="K557" i="30"/>
  <c r="K649" i="30" l="1"/>
  <c r="H654" i="30"/>
  <c r="K539" i="30" l="1"/>
  <c r="K538" i="30"/>
  <c r="K537" i="30"/>
  <c r="K536" i="30"/>
  <c r="K535" i="30"/>
  <c r="K534" i="30"/>
  <c r="K533" i="30"/>
  <c r="K532" i="30"/>
  <c r="K531" i="30"/>
  <c r="K530" i="30"/>
  <c r="K529" i="30"/>
  <c r="K528" i="30"/>
  <c r="K527" i="30"/>
  <c r="K526" i="30"/>
  <c r="K525" i="30"/>
  <c r="K524" i="30"/>
  <c r="K523" i="30"/>
  <c r="K522" i="30"/>
  <c r="K521" i="30"/>
  <c r="K520" i="30"/>
  <c r="K519" i="30"/>
  <c r="K518" i="30"/>
  <c r="K517" i="30"/>
  <c r="K516" i="30"/>
  <c r="K515" i="30"/>
  <c r="K514" i="30"/>
  <c r="K513" i="30"/>
  <c r="K512" i="30"/>
  <c r="K511" i="30"/>
  <c r="K510" i="30"/>
  <c r="K509" i="30"/>
  <c r="K508" i="30"/>
  <c r="K507" i="30"/>
  <c r="K506" i="30"/>
  <c r="K505" i="30"/>
  <c r="K504" i="30"/>
  <c r="K503" i="30"/>
  <c r="K502" i="30"/>
  <c r="K501" i="30"/>
  <c r="K500" i="30"/>
  <c r="K499" i="30"/>
  <c r="K498" i="30"/>
  <c r="K497" i="30"/>
  <c r="K496" i="30"/>
  <c r="K495" i="30"/>
  <c r="K494" i="30"/>
  <c r="K493" i="30"/>
  <c r="K492" i="30"/>
  <c r="K491" i="30"/>
  <c r="K490" i="30"/>
  <c r="K489" i="30"/>
  <c r="K488" i="30"/>
  <c r="K487" i="30"/>
  <c r="K486" i="30"/>
  <c r="K485" i="30"/>
  <c r="K484" i="30"/>
  <c r="K483" i="30"/>
  <c r="K482" i="30"/>
  <c r="K481" i="30"/>
  <c r="K480" i="30"/>
  <c r="K479" i="30"/>
  <c r="K478" i="30"/>
  <c r="K477" i="30"/>
  <c r="K476" i="30"/>
  <c r="K475" i="30"/>
  <c r="K474" i="30"/>
  <c r="K473" i="30"/>
  <c r="K472" i="30"/>
  <c r="K471" i="30"/>
  <c r="K470" i="30"/>
  <c r="K469" i="30"/>
  <c r="K468" i="30"/>
  <c r="K467" i="30"/>
  <c r="K466" i="30"/>
  <c r="K465" i="30"/>
  <c r="K464" i="30"/>
  <c r="K463" i="30"/>
  <c r="K462" i="30"/>
  <c r="K461" i="30"/>
  <c r="K460" i="30"/>
  <c r="K459" i="30"/>
  <c r="K458" i="30"/>
  <c r="K457" i="30"/>
  <c r="K456" i="30"/>
  <c r="K442" i="30" l="1"/>
  <c r="K441" i="30"/>
  <c r="K440" i="30"/>
  <c r="K439" i="30"/>
  <c r="K438" i="30"/>
  <c r="K437" i="30"/>
  <c r="K436" i="30"/>
  <c r="K435" i="30"/>
  <c r="K434" i="30"/>
  <c r="K433" i="30"/>
  <c r="K432" i="30"/>
  <c r="K431" i="30"/>
  <c r="K430" i="30"/>
  <c r="K429" i="30"/>
  <c r="K428" i="30"/>
  <c r="K427" i="30"/>
  <c r="K426" i="30"/>
  <c r="K425" i="30"/>
  <c r="K424" i="30"/>
  <c r="K423" i="30"/>
  <c r="K422" i="30"/>
  <c r="K421" i="30"/>
  <c r="K420" i="30"/>
  <c r="K419" i="30"/>
  <c r="K418" i="30"/>
  <c r="K417" i="30"/>
  <c r="K416" i="30"/>
  <c r="K415" i="30"/>
  <c r="K414" i="30"/>
  <c r="K413" i="30"/>
  <c r="K412" i="30"/>
  <c r="K411" i="30"/>
  <c r="K410" i="30"/>
  <c r="K409" i="30"/>
  <c r="K408" i="30"/>
  <c r="K407" i="30"/>
  <c r="K406" i="30"/>
  <c r="K405" i="30"/>
  <c r="K404" i="30"/>
  <c r="K403" i="30"/>
  <c r="K402" i="30"/>
  <c r="K401" i="30"/>
  <c r="K400" i="30"/>
  <c r="K399" i="30"/>
  <c r="K398" i="30"/>
  <c r="K397" i="30"/>
  <c r="K396" i="30"/>
  <c r="K395" i="30"/>
  <c r="K394" i="30"/>
  <c r="K393" i="30"/>
  <c r="K392" i="30"/>
  <c r="K391" i="30"/>
  <c r="K390" i="30"/>
  <c r="K389" i="30"/>
  <c r="K388" i="30"/>
  <c r="K387" i="30"/>
  <c r="K386" i="30"/>
  <c r="K385" i="30"/>
  <c r="K384" i="30"/>
  <c r="K383" i="30"/>
  <c r="K382" i="30"/>
  <c r="K381" i="30"/>
  <c r="K380" i="30"/>
  <c r="K379" i="30"/>
  <c r="K378" i="30"/>
  <c r="K377" i="30"/>
  <c r="K376" i="30"/>
  <c r="K375" i="30"/>
  <c r="K374" i="30"/>
  <c r="K373" i="30"/>
  <c r="K372" i="30"/>
  <c r="K371" i="30"/>
  <c r="K370" i="30"/>
  <c r="K369" i="30"/>
  <c r="K368" i="30"/>
  <c r="K367" i="30"/>
  <c r="K366" i="30"/>
  <c r="K365" i="30"/>
  <c r="K364" i="30"/>
  <c r="K363" i="30"/>
  <c r="K362" i="30"/>
  <c r="K361" i="30"/>
  <c r="K360" i="30"/>
  <c r="K359" i="30"/>
  <c r="K358" i="30"/>
  <c r="K357" i="30"/>
  <c r="K356" i="30"/>
  <c r="K355" i="30"/>
  <c r="K329" i="30" l="1"/>
  <c r="K328" i="30"/>
  <c r="K327" i="30"/>
  <c r="K326" i="30"/>
  <c r="K325" i="30"/>
  <c r="K324" i="30"/>
  <c r="K323" i="30"/>
  <c r="K322" i="30"/>
  <c r="K321" i="30"/>
  <c r="K320" i="30"/>
  <c r="K319" i="30"/>
  <c r="K318" i="30"/>
  <c r="K317" i="30"/>
  <c r="K316" i="30"/>
  <c r="K315" i="30"/>
  <c r="K314" i="30"/>
  <c r="K313" i="30"/>
  <c r="K312" i="30"/>
  <c r="K311" i="30"/>
  <c r="K310" i="30"/>
  <c r="K309" i="30"/>
  <c r="K308" i="30"/>
  <c r="K307" i="30"/>
  <c r="K306" i="30"/>
  <c r="K305" i="30"/>
  <c r="K304" i="30"/>
  <c r="K303" i="30"/>
  <c r="K302" i="30"/>
  <c r="K301" i="30"/>
  <c r="K300" i="30"/>
  <c r="K299" i="30"/>
  <c r="K298" i="30"/>
  <c r="K297" i="30"/>
  <c r="K296" i="30"/>
  <c r="K295" i="30"/>
  <c r="K294" i="30"/>
  <c r="K293" i="30"/>
  <c r="K292" i="30"/>
  <c r="K291" i="30"/>
  <c r="K290" i="30"/>
  <c r="K289" i="30"/>
  <c r="K288" i="30"/>
  <c r="K287" i="30"/>
  <c r="K286" i="30"/>
  <c r="K285" i="30"/>
  <c r="K284" i="30"/>
  <c r="K283" i="30"/>
  <c r="K282" i="30"/>
  <c r="K281" i="30"/>
  <c r="K280" i="30"/>
  <c r="K279" i="30"/>
  <c r="K278" i="30"/>
  <c r="K277" i="30"/>
  <c r="K276" i="30"/>
  <c r="K275" i="30"/>
  <c r="K274" i="30"/>
  <c r="K273" i="30"/>
  <c r="K272" i="30"/>
  <c r="K271" i="30"/>
  <c r="K270" i="30"/>
  <c r="K269" i="30"/>
  <c r="K268" i="30"/>
  <c r="K267" i="30"/>
  <c r="K266" i="30"/>
  <c r="K265" i="30"/>
  <c r="K264" i="30"/>
  <c r="K263" i="30"/>
  <c r="K262" i="30"/>
  <c r="K261" i="30"/>
  <c r="K260" i="30"/>
  <c r="K259" i="30"/>
  <c r="K258" i="30"/>
  <c r="K257" i="30"/>
  <c r="K256" i="30"/>
  <c r="K255" i="30"/>
  <c r="K150" i="30" l="1"/>
  <c r="K149" i="30"/>
  <c r="K151" i="30" l="1"/>
  <c r="H210" i="30"/>
  <c r="K209" i="30" l="1"/>
  <c r="K208" i="30"/>
  <c r="K207" i="30"/>
  <c r="K206" i="30"/>
  <c r="K205" i="30"/>
  <c r="K204" i="30"/>
  <c r="K203" i="30"/>
  <c r="K202" i="30"/>
  <c r="K201" i="30"/>
  <c r="K200" i="30"/>
  <c r="K199" i="30"/>
  <c r="K198" i="30"/>
  <c r="K197" i="30"/>
  <c r="K196" i="30"/>
  <c r="K195" i="30"/>
  <c r="K194" i="30"/>
  <c r="K193" i="30"/>
  <c r="K192" i="30"/>
  <c r="K191" i="30"/>
  <c r="K190" i="30"/>
  <c r="K189" i="30"/>
  <c r="K188" i="30"/>
  <c r="K187" i="30"/>
  <c r="K186" i="30"/>
  <c r="K185" i="30"/>
  <c r="K184" i="30"/>
  <c r="K183" i="30"/>
  <c r="K182" i="30"/>
  <c r="K181" i="30"/>
  <c r="K180" i="30"/>
  <c r="K179" i="30"/>
  <c r="K178" i="30"/>
  <c r="K177" i="30"/>
  <c r="K176" i="30"/>
  <c r="K175" i="30"/>
  <c r="K174" i="30"/>
  <c r="K173" i="30"/>
  <c r="K172" i="30"/>
  <c r="K171" i="30"/>
  <c r="K170" i="30"/>
  <c r="K169" i="30"/>
  <c r="K168" i="30"/>
  <c r="K167" i="30"/>
  <c r="K166" i="30"/>
  <c r="K165" i="30"/>
  <c r="K164" i="30"/>
  <c r="K163" i="30"/>
  <c r="K162" i="30"/>
  <c r="K161" i="30"/>
  <c r="K160" i="30"/>
  <c r="K159" i="30"/>
  <c r="K158" i="30"/>
  <c r="K157" i="30"/>
  <c r="K156" i="30"/>
  <c r="K155" i="30"/>
  <c r="K154" i="30"/>
  <c r="K153" i="30"/>
  <c r="K152" i="30"/>
  <c r="K148" i="30"/>
  <c r="K147" i="30"/>
  <c r="K146" i="30"/>
  <c r="K145" i="30"/>
  <c r="K144" i="30"/>
  <c r="K143" i="30"/>
  <c r="K142" i="30"/>
  <c r="K141" i="30"/>
  <c r="K140" i="30"/>
  <c r="K139" i="30"/>
  <c r="K138" i="30"/>
  <c r="K137" i="30"/>
  <c r="K136" i="30"/>
  <c r="K135" i="30"/>
  <c r="K134" i="30"/>
  <c r="K133" i="30"/>
  <c r="K132" i="30"/>
  <c r="K131" i="30"/>
  <c r="K130" i="30"/>
  <c r="K129" i="30"/>
  <c r="K128" i="30"/>
  <c r="K127" i="30"/>
  <c r="K126" i="30"/>
  <c r="K125" i="30"/>
  <c r="K124" i="30"/>
  <c r="K123" i="30"/>
  <c r="K122" i="30"/>
  <c r="K121" i="30"/>
  <c r="K120" i="30"/>
  <c r="K119" i="30"/>
  <c r="K118" i="30"/>
  <c r="K117" i="30"/>
  <c r="K116" i="30"/>
  <c r="K115" i="30"/>
  <c r="K114" i="30"/>
  <c r="K113" i="30"/>
  <c r="K112" i="30"/>
  <c r="K111" i="30"/>
  <c r="K110" i="30"/>
  <c r="K109" i="30"/>
  <c r="K108" i="30"/>
  <c r="K107" i="30"/>
  <c r="K31" i="30" l="1"/>
  <c r="H82" i="30" l="1"/>
  <c r="D77" i="30" l="1"/>
  <c r="D78" i="30"/>
  <c r="D79" i="30"/>
  <c r="D80" i="30"/>
  <c r="D81" i="30"/>
  <c r="K81" i="30"/>
  <c r="K80" i="30"/>
  <c r="K79" i="30"/>
  <c r="K78" i="30"/>
  <c r="K77" i="30"/>
  <c r="H85" i="30" l="1"/>
  <c r="H540" i="30" l="1"/>
  <c r="H548" i="30" s="1"/>
  <c r="K75" i="30" l="1"/>
  <c r="D75" i="30"/>
  <c r="K74" i="30"/>
  <c r="D74" i="30"/>
  <c r="D38" i="30"/>
  <c r="D39" i="30"/>
  <c r="K38" i="30" l="1"/>
  <c r="K39" i="30"/>
  <c r="D11" i="30" l="1"/>
  <c r="D12" i="30"/>
  <c r="D13" i="30"/>
  <c r="D14" i="30"/>
  <c r="D15" i="30"/>
  <c r="D16" i="30"/>
  <c r="D17" i="30"/>
  <c r="D18" i="30"/>
  <c r="D19" i="30"/>
  <c r="D20" i="30"/>
  <c r="D21" i="30"/>
  <c r="D22" i="30"/>
  <c r="D23" i="30"/>
  <c r="D24" i="30"/>
  <c r="D25" i="30"/>
  <c r="D26" i="30"/>
  <c r="D27" i="30"/>
  <c r="D28" i="30"/>
  <c r="D29" i="30"/>
  <c r="D30" i="30"/>
  <c r="D32" i="30"/>
  <c r="D33" i="30"/>
  <c r="D34" i="30"/>
  <c r="D35" i="30"/>
  <c r="D36" i="30"/>
  <c r="D37" i="30"/>
  <c r="D40" i="30"/>
  <c r="D41" i="30"/>
  <c r="D42" i="30"/>
  <c r="D43" i="30"/>
  <c r="D44" i="30"/>
  <c r="D45" i="30"/>
  <c r="D46" i="30"/>
  <c r="D47" i="30"/>
  <c r="D48" i="30"/>
  <c r="D49" i="30"/>
  <c r="D50" i="30"/>
  <c r="D51" i="30"/>
  <c r="D52" i="30"/>
  <c r="D53" i="30"/>
  <c r="D54" i="30"/>
  <c r="D55" i="30"/>
  <c r="D56" i="30"/>
  <c r="D57" i="30"/>
  <c r="D58" i="30"/>
  <c r="D59" i="30"/>
  <c r="D60" i="30"/>
  <c r="D61" i="30"/>
  <c r="D62" i="30"/>
  <c r="D63" i="30"/>
  <c r="D64" i="30"/>
  <c r="D65" i="30"/>
  <c r="D66" i="30"/>
  <c r="D67" i="30"/>
  <c r="D68" i="30"/>
  <c r="D69" i="30"/>
  <c r="D70" i="30"/>
  <c r="D71" i="30"/>
  <c r="D72" i="30"/>
  <c r="D73" i="30"/>
  <c r="D76" i="30"/>
  <c r="D9" i="30"/>
  <c r="K64" i="30" l="1"/>
  <c r="K63" i="30"/>
  <c r="K76" i="30" l="1"/>
  <c r="K73" i="30"/>
  <c r="K72" i="30"/>
  <c r="K71" i="30"/>
  <c r="K70" i="30"/>
  <c r="K69" i="30"/>
  <c r="K68" i="30"/>
  <c r="K67" i="30"/>
  <c r="K66" i="30"/>
  <c r="K65" i="30"/>
  <c r="K62" i="30"/>
  <c r="H738" i="17" l="1"/>
  <c r="H705" i="17"/>
  <c r="H711" i="17" s="1"/>
  <c r="H744" i="17"/>
  <c r="G744" i="17"/>
  <c r="F744" i="17"/>
  <c r="E744" i="17"/>
  <c r="D744" i="17"/>
  <c r="I741" i="17"/>
  <c r="I740" i="17"/>
  <c r="I739" i="17"/>
  <c r="I738" i="17"/>
  <c r="G711" i="17"/>
  <c r="F711" i="17"/>
  <c r="E711" i="17"/>
  <c r="D711" i="17"/>
  <c r="I708" i="17"/>
  <c r="I707" i="17"/>
  <c r="I706" i="17"/>
  <c r="I744" i="17" l="1"/>
  <c r="I705" i="17"/>
  <c r="I711" i="17" s="1"/>
  <c r="H672" i="17"/>
  <c r="G678" i="17"/>
  <c r="F678" i="17"/>
  <c r="E678" i="17"/>
  <c r="D678" i="17"/>
  <c r="I675" i="17"/>
  <c r="I674" i="17"/>
  <c r="I673" i="17"/>
  <c r="H678" i="17"/>
  <c r="I672" i="17" l="1"/>
  <c r="I678" i="17" s="1"/>
  <c r="C607" i="17"/>
  <c r="E176" i="13"/>
  <c r="E607" i="17" s="1"/>
  <c r="A169" i="13"/>
  <c r="A170" i="13" s="1"/>
  <c r="A171" i="13" s="1"/>
  <c r="A172" i="13" s="1"/>
  <c r="A173" i="13" s="1"/>
  <c r="A174" i="13" s="1"/>
  <c r="H639" i="17" l="1"/>
  <c r="G645" i="17"/>
  <c r="F645" i="17"/>
  <c r="E645" i="17"/>
  <c r="D645" i="17"/>
  <c r="I642" i="17"/>
  <c r="I641" i="17"/>
  <c r="I640" i="17"/>
  <c r="H645" i="17"/>
  <c r="I639" i="17" l="1"/>
  <c r="I645" i="17" s="1"/>
  <c r="H606" i="17"/>
  <c r="G612" i="17"/>
  <c r="F612" i="17"/>
  <c r="E612" i="17"/>
  <c r="D612" i="17"/>
  <c r="I609" i="17"/>
  <c r="I608" i="17"/>
  <c r="I607" i="17"/>
  <c r="H612" i="17"/>
  <c r="I606" i="17" l="1"/>
  <c r="I612" i="17" s="1"/>
  <c r="C442" i="17"/>
  <c r="A116" i="13"/>
  <c r="A117" i="13" s="1"/>
  <c r="A118" i="13" s="1"/>
  <c r="A119" i="13" s="1"/>
  <c r="A120" i="13" s="1"/>
  <c r="A121" i="13" s="1"/>
  <c r="E123" i="13"/>
  <c r="E442" i="17" s="1"/>
  <c r="H573" i="17" l="1"/>
  <c r="G579" i="17"/>
  <c r="F579" i="17"/>
  <c r="E579" i="17"/>
  <c r="D579" i="17"/>
  <c r="I576" i="17"/>
  <c r="I575" i="17"/>
  <c r="I574" i="17"/>
  <c r="H579" i="17"/>
  <c r="I573" i="17" l="1"/>
  <c r="I579" i="17" s="1"/>
  <c r="H540" i="17"/>
  <c r="G546" i="17"/>
  <c r="F546" i="17"/>
  <c r="E546" i="17"/>
  <c r="D546" i="17"/>
  <c r="I543" i="17"/>
  <c r="I542" i="17"/>
  <c r="I541" i="17"/>
  <c r="H546" i="17"/>
  <c r="H507" i="17"/>
  <c r="H513" i="17" s="1"/>
  <c r="G513" i="17"/>
  <c r="F513" i="17"/>
  <c r="E513" i="17"/>
  <c r="D513" i="17"/>
  <c r="I510" i="17"/>
  <c r="I509" i="17"/>
  <c r="I508" i="17"/>
  <c r="H474" i="17"/>
  <c r="H480" i="17" s="1"/>
  <c r="G480" i="17"/>
  <c r="F480" i="17"/>
  <c r="E480" i="17"/>
  <c r="D480" i="17"/>
  <c r="I477" i="17"/>
  <c r="I476" i="17"/>
  <c r="I475" i="17"/>
  <c r="I540" i="17" l="1"/>
  <c r="I546" i="17" s="1"/>
  <c r="I507" i="17"/>
  <c r="I513" i="17" s="1"/>
  <c r="I474" i="17"/>
  <c r="I480" i="17" s="1"/>
  <c r="H441" i="17"/>
  <c r="H447" i="17" s="1"/>
  <c r="G447" i="17"/>
  <c r="F447" i="17"/>
  <c r="E447" i="17"/>
  <c r="D447" i="17"/>
  <c r="I444" i="17"/>
  <c r="I443" i="17"/>
  <c r="I442" i="17"/>
  <c r="I441" i="17"/>
  <c r="I447" i="17" s="1"/>
  <c r="C376" i="17" l="1"/>
  <c r="E62" i="13"/>
  <c r="E70" i="13" s="1"/>
  <c r="E376" i="17" s="1"/>
  <c r="A63" i="13"/>
  <c r="A64" i="13" s="1"/>
  <c r="A65" i="13" s="1"/>
  <c r="A66" i="13" s="1"/>
  <c r="A67" i="13" s="1"/>
  <c r="A68" i="13" s="1"/>
  <c r="H408" i="17"/>
  <c r="G414" i="17"/>
  <c r="F414" i="17"/>
  <c r="E414" i="17"/>
  <c r="D414" i="17"/>
  <c r="I411" i="17"/>
  <c r="I410" i="17"/>
  <c r="I409" i="17"/>
  <c r="H414" i="17"/>
  <c r="I408" i="17" l="1"/>
  <c r="I414" i="17" s="1"/>
  <c r="H375" i="17"/>
  <c r="G381" i="17"/>
  <c r="F381" i="17"/>
  <c r="E381" i="17"/>
  <c r="D381" i="17"/>
  <c r="I378" i="17"/>
  <c r="I377" i="17"/>
  <c r="I376" i="17"/>
  <c r="H381" i="17"/>
  <c r="I375" i="17" l="1"/>
  <c r="I381" i="17" s="1"/>
  <c r="H342" i="17" l="1"/>
  <c r="H309" i="17" l="1"/>
  <c r="H276" i="17"/>
  <c r="H243" i="17"/>
  <c r="H348" i="17"/>
  <c r="G348" i="17"/>
  <c r="F348" i="17"/>
  <c r="E348" i="17"/>
  <c r="D348" i="17"/>
  <c r="I345" i="17"/>
  <c r="I344" i="17"/>
  <c r="I343" i="17"/>
  <c r="I342" i="17"/>
  <c r="I348" i="17" s="1"/>
  <c r="H315" i="17"/>
  <c r="G315" i="17"/>
  <c r="F315" i="17"/>
  <c r="E315" i="17"/>
  <c r="D315" i="17"/>
  <c r="I312" i="17"/>
  <c r="I311" i="17"/>
  <c r="I310" i="17"/>
  <c r="I309" i="17"/>
  <c r="H282" i="17"/>
  <c r="G282" i="17"/>
  <c r="F282" i="17"/>
  <c r="E282" i="17"/>
  <c r="D282" i="17"/>
  <c r="I279" i="17"/>
  <c r="I278" i="17"/>
  <c r="I277" i="17"/>
  <c r="I276" i="17"/>
  <c r="G249" i="17"/>
  <c r="F249" i="17"/>
  <c r="E249" i="17"/>
  <c r="D249" i="17"/>
  <c r="I246" i="17"/>
  <c r="I245" i="17"/>
  <c r="I244" i="17"/>
  <c r="H249" i="17"/>
  <c r="I282" i="17" l="1"/>
  <c r="I315" i="17"/>
  <c r="I243" i="17"/>
  <c r="I249" i="17" s="1"/>
  <c r="H210" i="17"/>
  <c r="H177" i="17" l="1"/>
  <c r="H216" i="17"/>
  <c r="G216" i="17"/>
  <c r="F216" i="17"/>
  <c r="D216" i="17"/>
  <c r="I213" i="17"/>
  <c r="I212" i="17"/>
  <c r="I211" i="17"/>
  <c r="E216" i="17"/>
  <c r="I210" i="17" l="1"/>
  <c r="I216" i="17" s="1"/>
  <c r="G183" i="17"/>
  <c r="F183" i="17"/>
  <c r="D183" i="17"/>
  <c r="I180" i="17"/>
  <c r="I179" i="17"/>
  <c r="I178" i="17"/>
  <c r="H183" i="17"/>
  <c r="E9" i="13"/>
  <c r="H144" i="17" l="1"/>
  <c r="H111" i="17"/>
  <c r="H150" i="17"/>
  <c r="G150" i="17"/>
  <c r="F150" i="17"/>
  <c r="E150" i="17"/>
  <c r="D150" i="17"/>
  <c r="I147" i="17"/>
  <c r="I146" i="17"/>
  <c r="I145" i="17"/>
  <c r="I144" i="17"/>
  <c r="I150" i="17" s="1"/>
  <c r="H117" i="17"/>
  <c r="G117" i="17"/>
  <c r="F117" i="17"/>
  <c r="E117" i="17"/>
  <c r="D117" i="17"/>
  <c r="I114" i="17"/>
  <c r="I113" i="17"/>
  <c r="I112" i="17"/>
  <c r="I111" i="17"/>
  <c r="H84" i="17"/>
  <c r="G84" i="17"/>
  <c r="F84" i="17"/>
  <c r="E84" i="17"/>
  <c r="D84" i="17"/>
  <c r="I81" i="17"/>
  <c r="I80" i="17"/>
  <c r="I79" i="17"/>
  <c r="I78" i="17"/>
  <c r="H51" i="17"/>
  <c r="G51" i="17"/>
  <c r="F51" i="17"/>
  <c r="E51" i="17"/>
  <c r="D51" i="17"/>
  <c r="I48" i="17"/>
  <c r="I47" i="17"/>
  <c r="I46" i="17"/>
  <c r="I45" i="17"/>
  <c r="I51" i="17" l="1"/>
  <c r="I84" i="17"/>
  <c r="I117" i="17"/>
  <c r="K540" i="30" l="1"/>
  <c r="H443" i="30" l="1"/>
  <c r="H447" i="30" l="1"/>
  <c r="K443" i="30"/>
  <c r="H330" i="30" l="1"/>
  <c r="H336" i="30" s="1"/>
  <c r="K330" i="30" l="1"/>
  <c r="H219" i="30" l="1"/>
  <c r="K210" i="30"/>
  <c r="K10" i="30" l="1"/>
  <c r="K11" i="30"/>
  <c r="K12" i="30"/>
  <c r="K13" i="30"/>
  <c r="K14" i="30"/>
  <c r="K15" i="30"/>
  <c r="K16" i="30"/>
  <c r="K17" i="30"/>
  <c r="K18" i="30"/>
  <c r="K19" i="30"/>
  <c r="K20" i="30"/>
  <c r="K21" i="30"/>
  <c r="K22" i="30"/>
  <c r="K23" i="30"/>
  <c r="K24" i="30"/>
  <c r="K25" i="30"/>
  <c r="K26" i="30"/>
  <c r="K27" i="30"/>
  <c r="K28" i="30"/>
  <c r="K29" i="30"/>
  <c r="K30" i="30"/>
  <c r="K32" i="30"/>
  <c r="K33" i="30"/>
  <c r="K34" i="30"/>
  <c r="K35" i="30"/>
  <c r="K36" i="30"/>
  <c r="K37" i="30"/>
  <c r="K40" i="30"/>
  <c r="K41" i="30"/>
  <c r="K42" i="30"/>
  <c r="K43" i="30"/>
  <c r="K44" i="30"/>
  <c r="K45" i="30"/>
  <c r="K46" i="30"/>
  <c r="K47" i="30"/>
  <c r="K48" i="30"/>
  <c r="K49" i="30"/>
  <c r="K50" i="30"/>
  <c r="K51" i="30"/>
  <c r="K52" i="30"/>
  <c r="K53" i="30"/>
  <c r="K54" i="30"/>
  <c r="K55" i="30"/>
  <c r="K56" i="30"/>
  <c r="K57" i="30"/>
  <c r="K58" i="30"/>
  <c r="K59" i="30"/>
  <c r="K60" i="30"/>
  <c r="K61" i="30"/>
  <c r="K9" i="30"/>
  <c r="H211" i="30"/>
  <c r="H212" i="30" s="1"/>
  <c r="AP62" i="29"/>
  <c r="AO62" i="29"/>
  <c r="AN62" i="29"/>
  <c r="AM62" i="29"/>
  <c r="AL62" i="29"/>
  <c r="AK62" i="29"/>
  <c r="AJ62" i="29"/>
  <c r="AI62" i="29"/>
  <c r="AH62" i="29"/>
  <c r="AG62" i="29"/>
  <c r="AF62" i="29"/>
  <c r="AE62" i="29"/>
  <c r="AD62" i="29"/>
  <c r="AC62" i="29"/>
  <c r="AB62" i="29"/>
  <c r="AA62" i="29"/>
  <c r="Z62" i="29"/>
  <c r="Y62" i="29"/>
  <c r="X62" i="29"/>
  <c r="W62" i="29"/>
  <c r="V62" i="29"/>
  <c r="U62" i="29"/>
  <c r="T62" i="29"/>
  <c r="S62" i="29"/>
  <c r="R62" i="29"/>
  <c r="Q62" i="29"/>
  <c r="P62" i="29"/>
  <c r="O62" i="29"/>
  <c r="N62" i="29"/>
  <c r="M62" i="29"/>
  <c r="L62" i="29"/>
  <c r="K62" i="29"/>
  <c r="J62" i="29"/>
  <c r="I62" i="29"/>
  <c r="H62" i="29"/>
  <c r="G62" i="29"/>
  <c r="D37" i="29"/>
  <c r="F37" i="29"/>
  <c r="D38" i="29"/>
  <c r="F38" i="29"/>
  <c r="D39" i="29"/>
  <c r="F39" i="29"/>
  <c r="D40" i="29"/>
  <c r="F40" i="29"/>
  <c r="D41" i="29"/>
  <c r="F41" i="29"/>
  <c r="D42" i="29"/>
  <c r="F42" i="29"/>
  <c r="D43" i="29"/>
  <c r="F43" i="29"/>
  <c r="D44" i="29"/>
  <c r="F44" i="29"/>
  <c r="D45" i="29"/>
  <c r="F45" i="29"/>
  <c r="D46" i="29"/>
  <c r="F46" i="29"/>
  <c r="D47" i="29"/>
  <c r="F47" i="29"/>
  <c r="D48" i="29"/>
  <c r="F48" i="29"/>
  <c r="D49" i="29"/>
  <c r="F49" i="29"/>
  <c r="D50" i="29"/>
  <c r="F50" i="29"/>
  <c r="D51" i="29"/>
  <c r="F51" i="29"/>
  <c r="D52" i="29"/>
  <c r="F52" i="29"/>
  <c r="D53" i="29"/>
  <c r="F53" i="29"/>
  <c r="D54" i="29"/>
  <c r="F54" i="29"/>
  <c r="D55" i="29"/>
  <c r="F55" i="29"/>
  <c r="D56" i="29"/>
  <c r="F56" i="29"/>
  <c r="D57" i="29"/>
  <c r="F57" i="29"/>
  <c r="D58" i="29"/>
  <c r="F58" i="29"/>
  <c r="D59" i="29"/>
  <c r="F59" i="29"/>
  <c r="D60" i="29"/>
  <c r="F60" i="29"/>
  <c r="D61" i="29"/>
  <c r="F61" i="29"/>
  <c r="F21" i="29"/>
  <c r="F22" i="29"/>
  <c r="F23" i="29"/>
  <c r="F24" i="29"/>
  <c r="F25" i="29"/>
  <c r="F26" i="29"/>
  <c r="F27" i="29"/>
  <c r="F28" i="29"/>
  <c r="F29" i="29"/>
  <c r="F30" i="29"/>
  <c r="F31" i="29"/>
  <c r="F32" i="29"/>
  <c r="F33" i="29"/>
  <c r="F34" i="29"/>
  <c r="F35" i="29"/>
  <c r="F36" i="29"/>
  <c r="F12" i="29"/>
  <c r="F13" i="29"/>
  <c r="F14" i="29"/>
  <c r="F15" i="29"/>
  <c r="F16" i="29"/>
  <c r="F17" i="29"/>
  <c r="F18" i="29"/>
  <c r="F19" i="29"/>
  <c r="F20" i="29"/>
  <c r="F10" i="29"/>
  <c r="F11" i="29"/>
  <c r="K82" i="30" l="1"/>
  <c r="H331" i="30"/>
  <c r="H332" i="30" s="1"/>
  <c r="D15" i="29"/>
  <c r="D13" i="29"/>
  <c r="D14" i="29"/>
  <c r="D16" i="29"/>
  <c r="D17" i="29"/>
  <c r="D20" i="29"/>
  <c r="D21" i="29"/>
  <c r="D22" i="29"/>
  <c r="D23" i="29"/>
  <c r="D24" i="29"/>
  <c r="D25" i="29"/>
  <c r="D26" i="29"/>
  <c r="D27" i="29"/>
  <c r="D28" i="29"/>
  <c r="D29" i="29"/>
  <c r="D30" i="29"/>
  <c r="D31" i="29"/>
  <c r="D32" i="29"/>
  <c r="D33" i="29"/>
  <c r="D34" i="29"/>
  <c r="D35" i="29"/>
  <c r="D36" i="29"/>
  <c r="D12" i="29"/>
  <c r="H444" i="30" l="1"/>
  <c r="H445" i="30" s="1"/>
  <c r="K211" i="30"/>
  <c r="K212" i="30" s="1"/>
  <c r="K331" i="30" s="1"/>
  <c r="K332" i="30" s="1"/>
  <c r="K444" i="30" s="1"/>
  <c r="K445" i="30" s="1"/>
  <c r="H541" i="30" l="1"/>
  <c r="H542" i="30" s="1"/>
  <c r="H650" i="30" l="1"/>
  <c r="H651" i="30" s="1"/>
  <c r="H798" i="30" s="1"/>
  <c r="H799" i="30" s="1"/>
  <c r="K541" i="30"/>
  <c r="K542" i="30" s="1"/>
  <c r="K650" i="30" s="1"/>
  <c r="K651" i="30" s="1"/>
  <c r="K798" i="30" s="1"/>
  <c r="K799" i="30" s="1"/>
  <c r="K949" i="30" s="1"/>
  <c r="AQ62" i="29"/>
  <c r="F62" i="29"/>
  <c r="K950" i="30" l="1"/>
  <c r="K1110" i="30" s="1"/>
  <c r="K1111" i="30" s="1"/>
  <c r="H949" i="30"/>
  <c r="H950" i="30" s="1"/>
  <c r="H1110" i="30" s="1"/>
  <c r="H1111" i="30" s="1"/>
  <c r="H1237" i="30" s="1"/>
  <c r="H1238" i="30" s="1"/>
  <c r="H1345" i="30" l="1"/>
  <c r="H1346" i="30" s="1"/>
  <c r="H1478" i="30" s="1"/>
  <c r="H1479" i="30" s="1"/>
  <c r="K1237" i="30"/>
  <c r="K1238" i="30" s="1"/>
  <c r="K1345" i="30" s="1"/>
  <c r="K1346" i="30" s="1"/>
  <c r="K1478" i="30" s="1"/>
  <c r="K1479" i="30" s="1"/>
  <c r="G21" i="25"/>
  <c r="F21" i="25"/>
  <c r="G112" i="10" l="1"/>
  <c r="E17" i="13" l="1"/>
  <c r="E177" i="17" s="1"/>
  <c r="A10" i="13"/>
  <c r="A11" i="13" s="1"/>
  <c r="A12" i="13" s="1"/>
  <c r="A13" i="13" s="1"/>
  <c r="A14" i="13" s="1"/>
  <c r="A15" i="13" s="1"/>
  <c r="E183" i="17" l="1"/>
  <c r="I177" i="17"/>
  <c r="I183" i="17" s="1"/>
  <c r="F210" i="10" l="1"/>
  <c r="F209" i="10"/>
  <c r="F159" i="10" l="1"/>
  <c r="F160" i="10"/>
  <c r="A4356" i="15" l="1"/>
  <c r="A4357" i="15" s="1"/>
  <c r="A4358" i="15" s="1"/>
  <c r="A4359" i="15" s="1"/>
  <c r="A4360" i="15" s="1"/>
  <c r="A4361" i="15" s="1"/>
  <c r="A4362" i="15" s="1"/>
  <c r="A4363" i="15" s="1"/>
  <c r="A4364" i="15" s="1"/>
  <c r="A4365" i="15" s="1"/>
  <c r="A4366" i="15" s="1"/>
  <c r="A4367" i="15" s="1"/>
  <c r="A4368" i="15" s="1"/>
  <c r="A4369" i="15" s="1"/>
  <c r="A4370" i="15" s="1"/>
  <c r="A4371" i="15" s="1"/>
  <c r="A4372" i="15" s="1"/>
  <c r="A4373" i="15" s="1"/>
  <c r="A4374" i="15" s="1"/>
  <c r="A4375" i="15" s="1"/>
  <c r="A4376" i="15" s="1"/>
  <c r="A4377" i="15" s="1"/>
  <c r="A4378" i="15" s="1"/>
  <c r="A4379" i="15" s="1"/>
  <c r="A4380" i="15" s="1"/>
  <c r="A4381" i="15" s="1"/>
  <c r="A4382" i="15" s="1"/>
  <c r="A4383" i="15" s="1"/>
  <c r="A4384" i="15" s="1"/>
  <c r="A4385" i="15" s="1"/>
  <c r="A4386" i="15" s="1"/>
  <c r="A4387" i="15" s="1"/>
  <c r="A4388" i="15" s="1"/>
  <c r="A4389" i="15" s="1"/>
  <c r="A4390" i="15" s="1"/>
  <c r="A4391" i="15" s="1"/>
  <c r="A4392" i="15" s="1"/>
  <c r="A4393" i="15" s="1"/>
  <c r="E4395" i="15"/>
  <c r="E4345" i="15" l="1"/>
  <c r="A4303" i="15"/>
  <c r="A4304" i="15" s="1"/>
  <c r="A4305" i="15" s="1"/>
  <c r="A4306" i="15" s="1"/>
  <c r="A4307" i="15" s="1"/>
  <c r="A4308" i="15" s="1"/>
  <c r="A4309" i="15" s="1"/>
  <c r="A4310" i="15" s="1"/>
  <c r="A4311" i="15" s="1"/>
  <c r="A4312" i="15" s="1"/>
  <c r="A4313" i="15" s="1"/>
  <c r="A4314" i="15" s="1"/>
  <c r="A4315" i="15" s="1"/>
  <c r="A4316" i="15" s="1"/>
  <c r="A4317" i="15" s="1"/>
  <c r="A4318" i="15" s="1"/>
  <c r="A4319" i="15" s="1"/>
  <c r="A4320" i="15" s="1"/>
  <c r="A4321" i="15" s="1"/>
  <c r="A4322" i="15" s="1"/>
  <c r="A4323" i="15" s="1"/>
  <c r="A4324" i="15" s="1"/>
  <c r="A4325" i="15" s="1"/>
  <c r="A4326" i="15" s="1"/>
  <c r="A4327" i="15" s="1"/>
  <c r="A4328" i="15" s="1"/>
  <c r="A4329" i="15" s="1"/>
  <c r="A4330" i="15" s="1"/>
  <c r="A4331" i="15" s="1"/>
  <c r="A4332" i="15" s="1"/>
  <c r="A4333" i="15" s="1"/>
  <c r="A4334" i="15" s="1"/>
  <c r="A4335" i="15" s="1"/>
  <c r="A4336" i="15" s="1"/>
  <c r="A4337" i="15" s="1"/>
  <c r="A4338" i="15" s="1"/>
  <c r="A4339" i="15" s="1"/>
  <c r="A4340" i="15" s="1"/>
  <c r="A4341" i="15" s="1"/>
  <c r="A4342" i="15" s="1"/>
  <c r="A4343" i="15" s="1"/>
  <c r="A4344" i="15" s="1"/>
  <c r="E4271" i="15"/>
  <c r="A4250" i="15"/>
  <c r="A4251" i="15" s="1"/>
  <c r="A4252" i="15" s="1"/>
  <c r="A4253" i="15" s="1"/>
  <c r="A4254" i="15" s="1"/>
  <c r="A4255" i="15" s="1"/>
  <c r="A4256" i="15" s="1"/>
  <c r="A4257" i="15" s="1"/>
  <c r="A4258" i="15" s="1"/>
  <c r="A4259" i="15" s="1"/>
  <c r="A4260" i="15" s="1"/>
  <c r="A4261" i="15" s="1"/>
  <c r="A4262" i="15" s="1"/>
  <c r="A4263" i="15" s="1"/>
  <c r="A4264" i="15" s="1"/>
  <c r="A4265" i="15" s="1"/>
  <c r="A4266" i="15" s="1"/>
  <c r="A4267" i="15" s="1"/>
  <c r="A4268" i="15" s="1"/>
  <c r="A4269" i="15" s="1"/>
  <c r="E4218" i="15" l="1"/>
  <c r="A4197" i="15" l="1"/>
  <c r="A4198" i="15" s="1"/>
  <c r="A4199" i="15" s="1"/>
  <c r="A4200" i="15" s="1"/>
  <c r="A4201" i="15" s="1"/>
  <c r="A4202" i="15" s="1"/>
  <c r="A4203" i="15" s="1"/>
  <c r="A4204" i="15" s="1"/>
  <c r="A4205" i="15" s="1"/>
  <c r="A4206" i="15" s="1"/>
  <c r="A4207" i="15" s="1"/>
  <c r="A4208" i="15" s="1"/>
  <c r="A4209" i="15" s="1"/>
  <c r="A4210" i="15" s="1"/>
  <c r="A4211" i="15" s="1"/>
  <c r="A4212" i="15" s="1"/>
  <c r="A4213" i="15" s="1"/>
  <c r="A4214" i="15" s="1"/>
  <c r="A4215" i="15" s="1"/>
  <c r="A4216" i="15" s="1"/>
  <c r="E4158" i="15"/>
  <c r="A4144" i="15"/>
  <c r="A4145" i="15" s="1"/>
  <c r="A4146" i="15" s="1"/>
  <c r="A4147" i="15" s="1"/>
  <c r="A4148" i="15" s="1"/>
  <c r="A4149" i="15" s="1"/>
  <c r="A4150" i="15" s="1"/>
  <c r="A4151" i="15" s="1"/>
  <c r="A4152" i="15" s="1"/>
  <c r="A4153" i="15" s="1"/>
  <c r="A4154" i="15" s="1"/>
  <c r="A4155" i="15" s="1"/>
  <c r="A4156" i="15" s="1"/>
  <c r="E4117" i="15" l="1"/>
  <c r="A4091" i="15"/>
  <c r="A4092" i="15" s="1"/>
  <c r="A4093" i="15" s="1"/>
  <c r="A4094" i="15" s="1"/>
  <c r="A4095" i="15" s="1"/>
  <c r="A4096" i="15" s="1"/>
  <c r="A4097" i="15" s="1"/>
  <c r="A4098" i="15" s="1"/>
  <c r="A4099" i="15" s="1"/>
  <c r="A4100" i="15" s="1"/>
  <c r="A4101" i="15" s="1"/>
  <c r="A4102" i="15" s="1"/>
  <c r="A4103" i="15" s="1"/>
  <c r="A4104" i="15" s="1"/>
  <c r="A4105" i="15" s="1"/>
  <c r="A4106" i="15" s="1"/>
  <c r="A4107" i="15" s="1"/>
  <c r="A4108" i="15" s="1"/>
  <c r="A4109" i="15" s="1"/>
  <c r="A4110" i="15" s="1"/>
  <c r="A4111" i="15" s="1"/>
  <c r="A4112" i="15" s="1"/>
  <c r="A4113" i="15" s="1"/>
  <c r="A4114" i="15" s="1"/>
  <c r="A4115" i="15" s="1"/>
  <c r="E4057" i="15" l="1"/>
  <c r="A4038" i="15"/>
  <c r="A4039" i="15" s="1"/>
  <c r="A4040" i="15" s="1"/>
  <c r="A4041" i="15" s="1"/>
  <c r="A4042" i="15" s="1"/>
  <c r="A4043" i="15" s="1"/>
  <c r="A4044" i="15" s="1"/>
  <c r="A4045" i="15" s="1"/>
  <c r="A4046" i="15" s="1"/>
  <c r="A4047" i="15" s="1"/>
  <c r="A4048" i="15" s="1"/>
  <c r="A4049" i="15" s="1"/>
  <c r="A4050" i="15" s="1"/>
  <c r="A4051" i="15" s="1"/>
  <c r="A4052" i="15" s="1"/>
  <c r="A4053" i="15" s="1"/>
  <c r="A4054" i="15" s="1"/>
  <c r="A4055" i="15" s="1"/>
  <c r="E3998" i="15" l="1"/>
  <c r="A3985" i="15"/>
  <c r="A3986" i="15" s="1"/>
  <c r="A3987" i="15" s="1"/>
  <c r="A3988" i="15" s="1"/>
  <c r="A3989" i="15" s="1"/>
  <c r="A3990" i="15" s="1"/>
  <c r="A3991" i="15" s="1"/>
  <c r="A3992" i="15" s="1"/>
  <c r="A3993" i="15" s="1"/>
  <c r="A3994" i="15" s="1"/>
  <c r="A3995" i="15" s="1"/>
  <c r="A3996" i="15" s="1"/>
  <c r="E3954" i="15"/>
  <c r="A3932" i="15"/>
  <c r="A3933" i="15" s="1"/>
  <c r="A3934" i="15" s="1"/>
  <c r="A3935" i="15" s="1"/>
  <c r="A3936" i="15" s="1"/>
  <c r="A3937" i="15" s="1"/>
  <c r="A3938" i="15" s="1"/>
  <c r="A3939" i="15" s="1"/>
  <c r="A3940" i="15" s="1"/>
  <c r="A3941" i="15" s="1"/>
  <c r="A3942" i="15" s="1"/>
  <c r="A3943" i="15" s="1"/>
  <c r="A3944" i="15" s="1"/>
  <c r="A3945" i="15" s="1"/>
  <c r="A3946" i="15" s="1"/>
  <c r="A3947" i="15" s="1"/>
  <c r="A3948" i="15" s="1"/>
  <c r="A3949" i="15" s="1"/>
  <c r="A3950" i="15" s="1"/>
  <c r="A3951" i="15" s="1"/>
  <c r="A3952" i="15" s="1"/>
  <c r="E3908" i="15" l="1"/>
  <c r="A3879" i="15"/>
  <c r="A3880" i="15" s="1"/>
  <c r="A3881" i="15" s="1"/>
  <c r="A3882" i="15" s="1"/>
  <c r="A3883" i="15" s="1"/>
  <c r="A3884" i="15" s="1"/>
  <c r="A3885" i="15" s="1"/>
  <c r="A3886" i="15" s="1"/>
  <c r="A3887" i="15" s="1"/>
  <c r="A3888" i="15" s="1"/>
  <c r="A3889" i="15" s="1"/>
  <c r="A3890" i="15" s="1"/>
  <c r="A3891" i="15" s="1"/>
  <c r="A3892" i="15" s="1"/>
  <c r="A3893" i="15" s="1"/>
  <c r="A3894" i="15" s="1"/>
  <c r="A3895" i="15" s="1"/>
  <c r="A3896" i="15" s="1"/>
  <c r="A3897" i="15" s="1"/>
  <c r="A3898" i="15" s="1"/>
  <c r="A3899" i="15" s="1"/>
  <c r="A3900" i="15" s="1"/>
  <c r="A3901" i="15" s="1"/>
  <c r="A3902" i="15" s="1"/>
  <c r="A3903" i="15" s="1"/>
  <c r="A3904" i="15" s="1"/>
  <c r="A3905" i="15" s="1"/>
  <c r="A3906" i="15" s="1"/>
  <c r="E3858" i="15" l="1"/>
  <c r="A3826" i="15"/>
  <c r="A3827" i="15" s="1"/>
  <c r="A3828" i="15" s="1"/>
  <c r="A3829" i="15" s="1"/>
  <c r="A3830" i="15" s="1"/>
  <c r="A3831" i="15" s="1"/>
  <c r="A3832" i="15" s="1"/>
  <c r="A3833" i="15" s="1"/>
  <c r="A3834" i="15" s="1"/>
  <c r="A3835" i="15" s="1"/>
  <c r="A3836" i="15" s="1"/>
  <c r="A3837" i="15" s="1"/>
  <c r="A3838" i="15" s="1"/>
  <c r="A3839" i="15" s="1"/>
  <c r="A3840" i="15" s="1"/>
  <c r="A3841" i="15" s="1"/>
  <c r="A3842" i="15" s="1"/>
  <c r="A3843" i="15" s="1"/>
  <c r="A3844" i="15" s="1"/>
  <c r="A3845" i="15" s="1"/>
  <c r="A3846" i="15" s="1"/>
  <c r="A3847" i="15" s="1"/>
  <c r="A3848" i="15" s="1"/>
  <c r="A3849" i="15" s="1"/>
  <c r="A3850" i="15" s="1"/>
  <c r="A3851" i="15" s="1"/>
  <c r="A3852" i="15" s="1"/>
  <c r="A3853" i="15" s="1"/>
  <c r="A3854" i="15" s="1"/>
  <c r="A3855" i="15" s="1"/>
  <c r="A3856" i="15" s="1"/>
  <c r="E3812" i="15" l="1"/>
  <c r="A3773" i="15"/>
  <c r="A3774" i="15" s="1"/>
  <c r="A3775" i="15" s="1"/>
  <c r="A3776" i="15" s="1"/>
  <c r="A3777" i="15" s="1"/>
  <c r="A3778" i="15" s="1"/>
  <c r="A3779" i="15" s="1"/>
  <c r="A3780" i="15" s="1"/>
  <c r="A3781" i="15" s="1"/>
  <c r="A3782" i="15" s="1"/>
  <c r="A3783" i="15" s="1"/>
  <c r="A3784" i="15" s="1"/>
  <c r="A3785" i="15" s="1"/>
  <c r="A3786" i="15" s="1"/>
  <c r="A3787" i="15" s="1"/>
  <c r="A3788" i="15" s="1"/>
  <c r="A3789" i="15" s="1"/>
  <c r="A3790" i="15" s="1"/>
  <c r="A3791" i="15" s="1"/>
  <c r="A3792" i="15" s="1"/>
  <c r="A3793" i="15" s="1"/>
  <c r="A3794" i="15" s="1"/>
  <c r="A3795" i="15" l="1"/>
  <c r="A3796" i="15" s="1"/>
  <c r="A3797" i="15" s="1"/>
  <c r="A3798" i="15" s="1"/>
  <c r="A3799" i="15" s="1"/>
  <c r="A3800" i="15" s="1"/>
  <c r="A3801" i="15" s="1"/>
  <c r="A3802" i="15" s="1"/>
  <c r="A3803" i="15" s="1"/>
  <c r="A3804" i="15" s="1"/>
  <c r="A3805" i="15" s="1"/>
  <c r="A3806" i="15" s="1"/>
  <c r="A3807" i="15" s="1"/>
  <c r="A3808" i="15" s="1"/>
  <c r="A3809" i="15" s="1"/>
  <c r="A3810" i="15" s="1"/>
  <c r="F110" i="10" l="1"/>
  <c r="F109" i="10"/>
  <c r="E3713" i="15" l="1"/>
  <c r="A3667" i="15"/>
  <c r="A3668" i="15" s="1"/>
  <c r="A3669" i="15" s="1"/>
  <c r="A3670" i="15" s="1"/>
  <c r="A3671" i="15" s="1"/>
  <c r="A3672" i="15" s="1"/>
  <c r="A3673" i="15" s="1"/>
  <c r="A3674" i="15" s="1"/>
  <c r="A3675" i="15" s="1"/>
  <c r="A3676" i="15" s="1"/>
  <c r="A3677" i="15" s="1"/>
  <c r="A3678" i="15" s="1"/>
  <c r="A3679" i="15" s="1"/>
  <c r="A3680" i="15" s="1"/>
  <c r="A3681" i="15" s="1"/>
  <c r="A3682" i="15" s="1"/>
  <c r="A3683" i="15" s="1"/>
  <c r="A3684" i="15" s="1"/>
  <c r="A3685" i="15" s="1"/>
  <c r="A3686" i="15" s="1"/>
  <c r="A3687" i="15" s="1"/>
  <c r="A3688" i="15" s="1"/>
  <c r="A3689" i="15" s="1"/>
  <c r="A3690" i="15" s="1"/>
  <c r="A3691" i="15" s="1"/>
  <c r="A3692" i="15" s="1"/>
  <c r="A3693" i="15" s="1"/>
  <c r="A3694" i="15" s="1"/>
  <c r="A3695" i="15" s="1"/>
  <c r="A3696" i="15" s="1"/>
  <c r="A3697" i="15" s="1"/>
  <c r="A3698" i="15" s="1"/>
  <c r="A3699" i="15" s="1"/>
  <c r="A3700" i="15" s="1"/>
  <c r="A3701" i="15" s="1"/>
  <c r="A3702" i="15" s="1"/>
  <c r="A3703" i="15" s="1"/>
  <c r="A3704" i="15" s="1"/>
  <c r="A3705" i="15" s="1"/>
  <c r="A3706" i="15" s="1"/>
  <c r="A3707" i="15" s="1"/>
  <c r="A3708" i="15" s="1"/>
  <c r="A3709" i="15" s="1"/>
  <c r="A3710" i="15" s="1"/>
  <c r="A3711" i="15" s="1"/>
  <c r="E3637" i="15" l="1"/>
  <c r="A3614" i="15"/>
  <c r="A3615" i="15" s="1"/>
  <c r="A3616" i="15" s="1"/>
  <c r="A3617" i="15" s="1"/>
  <c r="A3618" i="15" s="1"/>
  <c r="A3619" i="15" s="1"/>
  <c r="A3620" i="15" s="1"/>
  <c r="A3621" i="15" s="1"/>
  <c r="A3622" i="15" s="1"/>
  <c r="A3623" i="15" s="1"/>
  <c r="A3624" i="15" s="1"/>
  <c r="A3625" i="15" s="1"/>
  <c r="A3626" i="15" s="1"/>
  <c r="A3627" i="15" s="1"/>
  <c r="A3628" i="15" s="1"/>
  <c r="A3629" i="15" s="1"/>
  <c r="A3630" i="15" s="1"/>
  <c r="A3631" i="15" s="1"/>
  <c r="A3632" i="15" s="1"/>
  <c r="A3633" i="15" s="1"/>
  <c r="A3634" i="15" s="1"/>
  <c r="A3635" i="15" s="1"/>
  <c r="E3585" i="15" l="1"/>
  <c r="A3561" i="15"/>
  <c r="A3562" i="15" s="1"/>
  <c r="A3563" i="15" s="1"/>
  <c r="A3564" i="15" s="1"/>
  <c r="A3565" i="15" s="1"/>
  <c r="A3566" i="15" s="1"/>
  <c r="A3567" i="15" s="1"/>
  <c r="A3568" i="15" s="1"/>
  <c r="A3569" i="15" s="1"/>
  <c r="A3570" i="15" s="1"/>
  <c r="A3571" i="15" s="1"/>
  <c r="A3572" i="15" s="1"/>
  <c r="A3573" i="15" s="1"/>
  <c r="A3574" i="15" s="1"/>
  <c r="A3575" i="15" s="1"/>
  <c r="A3576" i="15" s="1"/>
  <c r="A3577" i="15" s="1"/>
  <c r="A3578" i="15" s="1"/>
  <c r="A3579" i="15" s="1"/>
  <c r="A3580" i="15" s="1"/>
  <c r="A3581" i="15" s="1"/>
  <c r="A3582" i="15" s="1"/>
  <c r="A3583" i="15" s="1"/>
  <c r="E3526" i="15"/>
  <c r="A3508" i="15"/>
  <c r="A3509" i="15" s="1"/>
  <c r="A3510" i="15" s="1"/>
  <c r="A3511" i="15" s="1"/>
  <c r="A3512" i="15" s="1"/>
  <c r="A3513" i="15" s="1"/>
  <c r="A3514" i="15" s="1"/>
  <c r="A3515" i="15" s="1"/>
  <c r="A3516" i="15" s="1"/>
  <c r="A3517" i="15" s="1"/>
  <c r="A3518" i="15" s="1"/>
  <c r="A3519" i="15" s="1"/>
  <c r="A3520" i="15" s="1"/>
  <c r="A3521" i="15" s="1"/>
  <c r="A3522" i="15" s="1"/>
  <c r="A3523" i="15" s="1"/>
  <c r="A3524" i="15" s="1"/>
  <c r="E3474" i="15"/>
  <c r="A3455" i="15"/>
  <c r="A3456" i="15" s="1"/>
  <c r="A3457" i="15" s="1"/>
  <c r="A3458" i="15" s="1"/>
  <c r="A3459" i="15" s="1"/>
  <c r="A3460" i="15" s="1"/>
  <c r="A3461" i="15" s="1"/>
  <c r="A3462" i="15" s="1"/>
  <c r="A3463" i="15" s="1"/>
  <c r="A3464" i="15" s="1"/>
  <c r="A3465" i="15" s="1"/>
  <c r="A3466" i="15" s="1"/>
  <c r="A3467" i="15" s="1"/>
  <c r="A3468" i="15" s="1"/>
  <c r="A3469" i="15" s="1"/>
  <c r="A3470" i="15" s="1"/>
  <c r="A3471" i="15" s="1"/>
  <c r="A3472" i="15" s="1"/>
  <c r="E3438" i="15"/>
  <c r="A3402" i="15"/>
  <c r="A3403" i="15" s="1"/>
  <c r="A3404" i="15" s="1"/>
  <c r="A3405" i="15" s="1"/>
  <c r="A3406" i="15" s="1"/>
  <c r="A3407" i="15" s="1"/>
  <c r="A3408" i="15" s="1"/>
  <c r="A3409" i="15" s="1"/>
  <c r="A3410" i="15" s="1"/>
  <c r="A3411" i="15" s="1"/>
  <c r="A3412" i="15" s="1"/>
  <c r="A3413" i="15" s="1"/>
  <c r="A3414" i="15" s="1"/>
  <c r="A3415" i="15" s="1"/>
  <c r="A3416" i="15" s="1"/>
  <c r="A3417" i="15" s="1"/>
  <c r="A3418" i="15" s="1"/>
  <c r="A3419" i="15" s="1"/>
  <c r="A3420" i="15" s="1"/>
  <c r="A3421" i="15" s="1"/>
  <c r="A3422" i="15" s="1"/>
  <c r="A3423" i="15" s="1"/>
  <c r="A3424" i="15" s="1"/>
  <c r="A3425" i="15" s="1"/>
  <c r="A3426" i="15" s="1"/>
  <c r="A3427" i="15" s="1"/>
  <c r="A3428" i="15" s="1"/>
  <c r="A3429" i="15" s="1"/>
  <c r="A3430" i="15" s="1"/>
  <c r="A3431" i="15" s="1"/>
  <c r="A3432" i="15" s="1"/>
  <c r="A3433" i="15" s="1"/>
  <c r="A3434" i="15" s="1"/>
  <c r="A3435" i="15" s="1"/>
  <c r="A3436" i="15" s="1"/>
  <c r="E3368" i="15" l="1"/>
  <c r="A3349" i="15"/>
  <c r="A3350" i="15" s="1"/>
  <c r="A3351" i="15" s="1"/>
  <c r="A3352" i="15" s="1"/>
  <c r="A3353" i="15" s="1"/>
  <c r="A3354" i="15" s="1"/>
  <c r="A3355" i="15" s="1"/>
  <c r="A3356" i="15" s="1"/>
  <c r="A3357" i="15" s="1"/>
  <c r="A3358" i="15" s="1"/>
  <c r="A3359" i="15" s="1"/>
  <c r="A3360" i="15" s="1"/>
  <c r="A3361" i="15" s="1"/>
  <c r="A3362" i="15" s="1"/>
  <c r="A3363" i="15" s="1"/>
  <c r="A3364" i="15" s="1"/>
  <c r="A3365" i="15" s="1"/>
  <c r="A3366" i="15" s="1"/>
  <c r="E3321" i="15" l="1"/>
  <c r="A3296" i="15" l="1"/>
  <c r="A3297" i="15" s="1"/>
  <c r="A3298" i="15" s="1"/>
  <c r="A3299" i="15" s="1"/>
  <c r="A3300" i="15" s="1"/>
  <c r="A3301" i="15" s="1"/>
  <c r="A3302" i="15" s="1"/>
  <c r="A3303" i="15" s="1"/>
  <c r="A3304" i="15" s="1"/>
  <c r="A3305" i="15" s="1"/>
  <c r="A3306" i="15" s="1"/>
  <c r="A3307" i="15" s="1"/>
  <c r="A3308" i="15" s="1"/>
  <c r="A3309" i="15" s="1"/>
  <c r="A3310" i="15" s="1"/>
  <c r="A3311" i="15" s="1"/>
  <c r="A3312" i="15" s="1"/>
  <c r="A3313" i="15" s="1"/>
  <c r="A3314" i="15" s="1"/>
  <c r="A3315" i="15" s="1"/>
  <c r="A3316" i="15" s="1"/>
  <c r="A3317" i="15" s="1"/>
  <c r="A3318" i="15" s="1"/>
  <c r="A3319" i="15" s="1"/>
  <c r="E3262" i="15"/>
  <c r="A3243" i="15"/>
  <c r="A3244" i="15" s="1"/>
  <c r="A3245" i="15" s="1"/>
  <c r="A3246" i="15" s="1"/>
  <c r="A3247" i="15" s="1"/>
  <c r="A3248" i="15" s="1"/>
  <c r="A3249" i="15" s="1"/>
  <c r="A3250" i="15" s="1"/>
  <c r="A3251" i="15" s="1"/>
  <c r="A3252" i="15" s="1"/>
  <c r="A3253" i="15" s="1"/>
  <c r="A3254" i="15" s="1"/>
  <c r="A3255" i="15" s="1"/>
  <c r="A3256" i="15" s="1"/>
  <c r="A3257" i="15" s="1"/>
  <c r="A3258" i="15" s="1"/>
  <c r="A3259" i="15" s="1"/>
  <c r="A3260" i="15" s="1"/>
  <c r="E3217" i="15"/>
  <c r="A3190" i="15"/>
  <c r="A3191" i="15" s="1"/>
  <c r="A3192" i="15" s="1"/>
  <c r="A3193" i="15" s="1"/>
  <c r="A3194" i="15" s="1"/>
  <c r="A3195" i="15" s="1"/>
  <c r="A3196" i="15" s="1"/>
  <c r="A3197" i="15" s="1"/>
  <c r="A3198" i="15" s="1"/>
  <c r="A3199" i="15" s="1"/>
  <c r="A3200" i="15" s="1"/>
  <c r="A3201" i="15" s="1"/>
  <c r="A3202" i="15" s="1"/>
  <c r="A3203" i="15" s="1"/>
  <c r="A3204" i="15" s="1"/>
  <c r="A3205" i="15" s="1"/>
  <c r="A3206" i="15" s="1"/>
  <c r="A3207" i="15" s="1"/>
  <c r="A3208" i="15" s="1"/>
  <c r="A3209" i="15" s="1"/>
  <c r="A3210" i="15" s="1"/>
  <c r="A3211" i="15" s="1"/>
  <c r="A3212" i="15" s="1"/>
  <c r="A3213" i="15" s="1"/>
  <c r="A3214" i="15" s="1"/>
  <c r="A3215" i="15" s="1"/>
  <c r="E3166" i="15"/>
  <c r="A3137" i="15" l="1"/>
  <c r="A3138" i="15" s="1"/>
  <c r="A3139" i="15" s="1"/>
  <c r="A3140" i="15" s="1"/>
  <c r="A3141" i="15" s="1"/>
  <c r="A3142" i="15" s="1"/>
  <c r="A3143" i="15" s="1"/>
  <c r="A3144" i="15" s="1"/>
  <c r="A3145" i="15" s="1"/>
  <c r="A3146" i="15" s="1"/>
  <c r="A3147" i="15" s="1"/>
  <c r="A3148" i="15" s="1"/>
  <c r="A3149" i="15" s="1"/>
  <c r="A3150" i="15" s="1"/>
  <c r="A3151" i="15" s="1"/>
  <c r="A3152" i="15" s="1"/>
  <c r="A3153" i="15" s="1"/>
  <c r="A3154" i="15" s="1"/>
  <c r="A3155" i="15" s="1"/>
  <c r="A3156" i="15" s="1"/>
  <c r="A3157" i="15" s="1"/>
  <c r="A3158" i="15" s="1"/>
  <c r="A3159" i="15" s="1"/>
  <c r="A3160" i="15" s="1"/>
  <c r="A3161" i="15" s="1"/>
  <c r="A3162" i="15" s="1"/>
  <c r="A3163" i="15" s="1"/>
  <c r="A3164" i="15" s="1"/>
  <c r="E3107" i="15"/>
  <c r="A3084" i="15"/>
  <c r="A3085" i="15" s="1"/>
  <c r="A3086" i="15" s="1"/>
  <c r="A3087" i="15" s="1"/>
  <c r="A3088" i="15" s="1"/>
  <c r="A3089" i="15" s="1"/>
  <c r="A3090" i="15" s="1"/>
  <c r="A3091" i="15" s="1"/>
  <c r="A3092" i="15" s="1"/>
  <c r="A3093" i="15" s="1"/>
  <c r="A3094" i="15" s="1"/>
  <c r="A3095" i="15" s="1"/>
  <c r="A3096" i="15" s="1"/>
  <c r="A3097" i="15" s="1"/>
  <c r="A3098" i="15" s="1"/>
  <c r="A3099" i="15" s="1"/>
  <c r="A3100" i="15" s="1"/>
  <c r="A3101" i="15" s="1"/>
  <c r="A3102" i="15" s="1"/>
  <c r="A3103" i="15" s="1"/>
  <c r="A3104" i="15" s="1"/>
  <c r="A3105" i="15" s="1"/>
  <c r="E3056" i="15" l="1"/>
  <c r="A3031" i="15"/>
  <c r="A3032" i="15" s="1"/>
  <c r="A3033" i="15" s="1"/>
  <c r="A3034" i="15" s="1"/>
  <c r="A3035" i="15" s="1"/>
  <c r="A3036" i="15" s="1"/>
  <c r="A3037" i="15" s="1"/>
  <c r="A3038" i="15" s="1"/>
  <c r="A3039" i="15" s="1"/>
  <c r="A3040" i="15" s="1"/>
  <c r="A3041" i="15" s="1"/>
  <c r="A3042" i="15" s="1"/>
  <c r="A3043" i="15" s="1"/>
  <c r="A3044" i="15" s="1"/>
  <c r="A3045" i="15" s="1"/>
  <c r="A3046" i="15" s="1"/>
  <c r="A3047" i="15" s="1"/>
  <c r="A3048" i="15" s="1"/>
  <c r="A3049" i="15" s="1"/>
  <c r="A3050" i="15" s="1"/>
  <c r="A3051" i="15" s="1"/>
  <c r="A3052" i="15" s="1"/>
  <c r="A3053" i="15" s="1"/>
  <c r="A3054" i="15" s="1"/>
  <c r="E2998" i="15" l="1"/>
  <c r="A2978" i="15"/>
  <c r="A2979" i="15" s="1"/>
  <c r="A2980" i="15" s="1"/>
  <c r="A2981" i="15" s="1"/>
  <c r="A2982" i="15" s="1"/>
  <c r="A2983" i="15" s="1"/>
  <c r="A2984" i="15" s="1"/>
  <c r="A2985" i="15" s="1"/>
  <c r="A2986" i="15" s="1"/>
  <c r="A2987" i="15" s="1"/>
  <c r="A2988" i="15" s="1"/>
  <c r="A2989" i="15" s="1"/>
  <c r="A2990" i="15" s="1"/>
  <c r="A2991" i="15" s="1"/>
  <c r="A2992" i="15" s="1"/>
  <c r="A2993" i="15" s="1"/>
  <c r="A2994" i="15" s="1"/>
  <c r="A2995" i="15" s="1"/>
  <c r="A2996" i="15" s="1"/>
  <c r="E2945" i="15"/>
  <c r="A2925" i="15"/>
  <c r="A2926" i="15" s="1"/>
  <c r="A2927" i="15" s="1"/>
  <c r="A2928" i="15" s="1"/>
  <c r="A2929" i="15" s="1"/>
  <c r="A2930" i="15" s="1"/>
  <c r="A2931" i="15" s="1"/>
  <c r="A2932" i="15" s="1"/>
  <c r="A2933" i="15" s="1"/>
  <c r="A2934" i="15" s="1"/>
  <c r="A2935" i="15" s="1"/>
  <c r="A2936" i="15" s="1"/>
  <c r="A2937" i="15" s="1"/>
  <c r="A2938" i="15" s="1"/>
  <c r="A2939" i="15" s="1"/>
  <c r="A2940" i="15" s="1"/>
  <c r="A2941" i="15" s="1"/>
  <c r="A2942" i="15" s="1"/>
  <c r="A2943" i="15" s="1"/>
  <c r="E2887" i="15" l="1"/>
  <c r="A2872" i="15"/>
  <c r="A2873" i="15" s="1"/>
  <c r="A2874" i="15" s="1"/>
  <c r="A2875" i="15" s="1"/>
  <c r="A2876" i="15" s="1"/>
  <c r="A2877" i="15" s="1"/>
  <c r="A2878" i="15" s="1"/>
  <c r="A2879" i="15" s="1"/>
  <c r="A2880" i="15" s="1"/>
  <c r="A2881" i="15" s="1"/>
  <c r="A2882" i="15" s="1"/>
  <c r="A2883" i="15" s="1"/>
  <c r="A2884" i="15" s="1"/>
  <c r="A2885" i="15" s="1"/>
  <c r="E2845" i="15"/>
  <c r="A2819" i="15"/>
  <c r="A2820" i="15" s="1"/>
  <c r="A2821" i="15" s="1"/>
  <c r="A2822" i="15" s="1"/>
  <c r="A2823" i="15" s="1"/>
  <c r="A2824" i="15" s="1"/>
  <c r="A2825" i="15" s="1"/>
  <c r="A2826" i="15" s="1"/>
  <c r="A2827" i="15" s="1"/>
  <c r="A2828" i="15" s="1"/>
  <c r="A2829" i="15" s="1"/>
  <c r="A2830" i="15" s="1"/>
  <c r="A2831" i="15" s="1"/>
  <c r="A2832" i="15" s="1"/>
  <c r="A2833" i="15" s="1"/>
  <c r="A2834" i="15" s="1"/>
  <c r="A2835" i="15" s="1"/>
  <c r="A2836" i="15" s="1"/>
  <c r="A2837" i="15" s="1"/>
  <c r="A2838" i="15" s="1"/>
  <c r="A2839" i="15" s="1"/>
  <c r="A2840" i="15" s="1"/>
  <c r="A2841" i="15" s="1"/>
  <c r="A2842" i="15" s="1"/>
  <c r="A2843" i="15" s="1"/>
  <c r="E2779" i="15" l="1"/>
  <c r="A2766" i="15"/>
  <c r="A2767" i="15" s="1"/>
  <c r="A2768" i="15" s="1"/>
  <c r="A2769" i="15" s="1"/>
  <c r="A2770" i="15" s="1"/>
  <c r="A2771" i="15" s="1"/>
  <c r="A2772" i="15" s="1"/>
  <c r="A2773" i="15" s="1"/>
  <c r="A2774" i="15" s="1"/>
  <c r="A2775" i="15" s="1"/>
  <c r="A2776" i="15" s="1"/>
  <c r="A2777" i="15" s="1"/>
  <c r="E2721" i="15" l="1"/>
  <c r="A2713" i="15"/>
  <c r="A2714" i="15" s="1"/>
  <c r="A2715" i="15" s="1"/>
  <c r="A2716" i="15" s="1"/>
  <c r="A2717" i="15" s="1"/>
  <c r="A2718" i="15" s="1"/>
  <c r="A2719" i="15" s="1"/>
  <c r="E2673" i="15" l="1"/>
  <c r="A2660" i="15"/>
  <c r="A2661" i="15" s="1"/>
  <c r="A2662" i="15" s="1"/>
  <c r="A2663" i="15" s="1"/>
  <c r="A2664" i="15" s="1"/>
  <c r="A2665" i="15" s="1"/>
  <c r="A2666" i="15" s="1"/>
  <c r="A2667" i="15" s="1"/>
  <c r="A2668" i="15" s="1"/>
  <c r="A2669" i="15" s="1"/>
  <c r="A2670" i="15" s="1"/>
  <c r="A2671" i="15" s="1"/>
  <c r="E2630" i="15" l="1"/>
  <c r="A2607" i="15"/>
  <c r="A2608" i="15" s="1"/>
  <c r="A2609" i="15" s="1"/>
  <c r="A2610" i="15" s="1"/>
  <c r="A2611" i="15" s="1"/>
  <c r="A2612" i="15" s="1"/>
  <c r="A2613" i="15" s="1"/>
  <c r="A2614" i="15" s="1"/>
  <c r="A2615" i="15" s="1"/>
  <c r="A2616" i="15" s="1"/>
  <c r="A2617" i="15" s="1"/>
  <c r="A2618" i="15" s="1"/>
  <c r="A2619" i="15" s="1"/>
  <c r="A2620" i="15" s="1"/>
  <c r="A2621" i="15" s="1"/>
  <c r="A2622" i="15" s="1"/>
  <c r="A2623" i="15" s="1"/>
  <c r="A2624" i="15" s="1"/>
  <c r="A2625" i="15" s="1"/>
  <c r="A2626" i="15" s="1"/>
  <c r="A2627" i="15" s="1"/>
  <c r="A2628" i="15" s="1"/>
  <c r="E2548" i="15" l="1"/>
  <c r="A2501" i="15"/>
  <c r="A2502" i="15" s="1"/>
  <c r="A2503" i="15" s="1"/>
  <c r="A2504" i="15" s="1"/>
  <c r="A2505" i="15" s="1"/>
  <c r="A2506" i="15" s="1"/>
  <c r="A2507" i="15" s="1"/>
  <c r="A2508" i="15" s="1"/>
  <c r="A2509" i="15" s="1"/>
  <c r="A2510" i="15" s="1"/>
  <c r="A2511" i="15" s="1"/>
  <c r="A2512" i="15" s="1"/>
  <c r="A2513" i="15" s="1"/>
  <c r="A2514" i="15" s="1"/>
  <c r="A2515" i="15" s="1"/>
  <c r="A2516" i="15" s="1"/>
  <c r="A2517" i="15" s="1"/>
  <c r="A2518" i="15" s="1"/>
  <c r="A2519" i="15" s="1"/>
  <c r="A2520" i="15" s="1"/>
  <c r="A2521" i="15" s="1"/>
  <c r="A2522" i="15" s="1"/>
  <c r="A2523" i="15" s="1"/>
  <c r="A2524" i="15" s="1"/>
  <c r="A2525" i="15" s="1"/>
  <c r="A2526" i="15" s="1"/>
  <c r="A2527" i="15" s="1"/>
  <c r="A2528" i="15" s="1"/>
  <c r="A2529" i="15" s="1"/>
  <c r="A2530" i="15" s="1"/>
  <c r="A2531" i="15" s="1"/>
  <c r="A2532" i="15" s="1"/>
  <c r="A2533" i="15" s="1"/>
  <c r="A2534" i="15" s="1"/>
  <c r="A2535" i="15" s="1"/>
  <c r="A2536" i="15" s="1"/>
  <c r="A2537" i="15" s="1"/>
  <c r="A2538" i="15" s="1"/>
  <c r="A2539" i="15" s="1"/>
  <c r="A2540" i="15" s="1"/>
  <c r="A2541" i="15" s="1"/>
  <c r="A2542" i="15" s="1"/>
  <c r="A2543" i="15" s="1"/>
  <c r="A2544" i="15" s="1"/>
  <c r="A2545" i="15" s="1"/>
  <c r="A2546" i="15" s="1"/>
  <c r="E2487" i="15"/>
  <c r="A2448" i="15"/>
  <c r="A2449" i="15" s="1"/>
  <c r="A2450" i="15" s="1"/>
  <c r="A2451" i="15" s="1"/>
  <c r="A2452" i="15" s="1"/>
  <c r="A2453" i="15" s="1"/>
  <c r="A2454" i="15" s="1"/>
  <c r="A2455" i="15" s="1"/>
  <c r="A2456" i="15" s="1"/>
  <c r="A2457" i="15" s="1"/>
  <c r="A2458" i="15" s="1"/>
  <c r="A2459" i="15" s="1"/>
  <c r="A2460" i="15" s="1"/>
  <c r="A2461" i="15" s="1"/>
  <c r="A2462" i="15" s="1"/>
  <c r="A2463" i="15" s="1"/>
  <c r="A2464" i="15" s="1"/>
  <c r="A2465" i="15" s="1"/>
  <c r="A2466" i="15" s="1"/>
  <c r="A2467" i="15" s="1"/>
  <c r="A2468" i="15" s="1"/>
  <c r="A2469" i="15" s="1"/>
  <c r="A2470" i="15" s="1"/>
  <c r="A2471" i="15" s="1"/>
  <c r="A2472" i="15" s="1"/>
  <c r="A2473" i="15" s="1"/>
  <c r="A2474" i="15" s="1"/>
  <c r="A2475" i="15" s="1"/>
  <c r="A2476" i="15" s="1"/>
  <c r="A2477" i="15" s="1"/>
  <c r="A2478" i="15" s="1"/>
  <c r="A2479" i="15" s="1"/>
  <c r="A2480" i="15" s="1"/>
  <c r="A2481" i="15" s="1"/>
  <c r="A2482" i="15" s="1"/>
  <c r="A2483" i="15" s="1"/>
  <c r="A2484" i="15" s="1"/>
  <c r="A2485" i="15" s="1"/>
  <c r="E2425" i="15"/>
  <c r="A2395" i="15"/>
  <c r="A2396" i="15" s="1"/>
  <c r="A2397" i="15" s="1"/>
  <c r="A2398" i="15" s="1"/>
  <c r="A2399" i="15" s="1"/>
  <c r="A2400" i="15" s="1"/>
  <c r="A2401" i="15" s="1"/>
  <c r="A2402" i="15" s="1"/>
  <c r="A2403" i="15" s="1"/>
  <c r="A2404" i="15" s="1"/>
  <c r="A2405" i="15" s="1"/>
  <c r="A2406" i="15" s="1"/>
  <c r="A2407" i="15" s="1"/>
  <c r="A2408" i="15" s="1"/>
  <c r="A2409" i="15" s="1"/>
  <c r="A2410" i="15" s="1"/>
  <c r="A2411" i="15" s="1"/>
  <c r="A2412" i="15" s="1"/>
  <c r="A2413" i="15" s="1"/>
  <c r="A2414" i="15" s="1"/>
  <c r="A2415" i="15" s="1"/>
  <c r="A2416" i="15" s="1"/>
  <c r="A2417" i="15" s="1"/>
  <c r="A2418" i="15" s="1"/>
  <c r="A2419" i="15" s="1"/>
  <c r="A2420" i="15" s="1"/>
  <c r="A2421" i="15" s="1"/>
  <c r="A2422" i="15" s="1"/>
  <c r="A2423" i="15" s="1"/>
  <c r="E2351" i="15"/>
  <c r="A2342" i="15"/>
  <c r="A2343" i="15" s="1"/>
  <c r="A2344" i="15" s="1"/>
  <c r="A2345" i="15" s="1"/>
  <c r="A2346" i="15" s="1"/>
  <c r="A2347" i="15" s="1"/>
  <c r="A2348" i="15" s="1"/>
  <c r="A2349" i="15" s="1"/>
  <c r="E2315" i="15" l="1"/>
  <c r="A2289" i="15"/>
  <c r="A2290" i="15" s="1"/>
  <c r="A2291" i="15" s="1"/>
  <c r="A2292" i="15" s="1"/>
  <c r="A2293" i="15" s="1"/>
  <c r="A2294" i="15" s="1"/>
  <c r="A2295" i="15" s="1"/>
  <c r="A2296" i="15" s="1"/>
  <c r="A2297" i="15" s="1"/>
  <c r="A2298" i="15" s="1"/>
  <c r="A2299" i="15" s="1"/>
  <c r="A2300" i="15" s="1"/>
  <c r="A2301" i="15" s="1"/>
  <c r="A2302" i="15" s="1"/>
  <c r="A2303" i="15" s="1"/>
  <c r="A2304" i="15" s="1"/>
  <c r="A2305" i="15" s="1"/>
  <c r="A2306" i="15" s="1"/>
  <c r="A2307" i="15" l="1"/>
  <c r="A2308" i="15" s="1"/>
  <c r="A2309" i="15" s="1"/>
  <c r="A2310" i="15" s="1"/>
  <c r="A2311" i="15" s="1"/>
  <c r="A2312" i="15" s="1"/>
  <c r="A2313" i="15" s="1"/>
  <c r="E2259" i="15" l="1"/>
  <c r="A2236" i="15"/>
  <c r="A2237" i="15" s="1"/>
  <c r="A2238" i="15" s="1"/>
  <c r="A2239" i="15" s="1"/>
  <c r="A2240" i="15" s="1"/>
  <c r="A2241" i="15" s="1"/>
  <c r="A2242" i="15" s="1"/>
  <c r="A2243" i="15" s="1"/>
  <c r="A2244" i="15" s="1"/>
  <c r="A2245" i="15" s="1"/>
  <c r="A2246" i="15" s="1"/>
  <c r="A2247" i="15" s="1"/>
  <c r="A2248" i="15" s="1"/>
  <c r="A2249" i="15" s="1"/>
  <c r="A2250" i="15" s="1"/>
  <c r="A2251" i="15" s="1"/>
  <c r="A2252" i="15" s="1"/>
  <c r="A2253" i="15" s="1"/>
  <c r="A2254" i="15" s="1"/>
  <c r="A2255" i="15" s="1"/>
  <c r="A2256" i="15" s="1"/>
  <c r="A2257" i="15" s="1"/>
  <c r="E2204" i="15" l="1"/>
  <c r="A2183" i="15"/>
  <c r="A2184" i="15" s="1"/>
  <c r="A2185" i="15" s="1"/>
  <c r="A2186" i="15" s="1"/>
  <c r="A2187" i="15" s="1"/>
  <c r="A2188" i="15" s="1"/>
  <c r="A2189" i="15" s="1"/>
  <c r="A2190" i="15" s="1"/>
  <c r="A2191" i="15" s="1"/>
  <c r="A2192" i="15" s="1"/>
  <c r="A2193" i="15" s="1"/>
  <c r="A2194" i="15" s="1"/>
  <c r="A2195" i="15" s="1"/>
  <c r="A2196" i="15" s="1"/>
  <c r="A2197" i="15" s="1"/>
  <c r="A2198" i="15" s="1"/>
  <c r="A2199" i="15" s="1"/>
  <c r="A2200" i="15" s="1"/>
  <c r="A2201" i="15" s="1"/>
  <c r="A2202" i="15" s="1"/>
  <c r="E2121" i="15" l="1"/>
  <c r="A2077" i="15"/>
  <c r="A2078" i="15" s="1"/>
  <c r="A2079" i="15" s="1"/>
  <c r="A2080" i="15" s="1"/>
  <c r="A2081" i="15" s="1"/>
  <c r="A2082" i="15" s="1"/>
  <c r="A2083" i="15" s="1"/>
  <c r="A2084" i="15" s="1"/>
  <c r="A2085" i="15" s="1"/>
  <c r="A2086" i="15" s="1"/>
  <c r="A2087" i="15" s="1"/>
  <c r="A2088" i="15" s="1"/>
  <c r="A2089" i="15" s="1"/>
  <c r="A2090" i="15" s="1"/>
  <c r="A2091" i="15" s="1"/>
  <c r="A2092" i="15" s="1"/>
  <c r="A2093" i="15" s="1"/>
  <c r="A2094" i="15" s="1"/>
  <c r="A2095" i="15" s="1"/>
  <c r="A2096" i="15" s="1"/>
  <c r="A2097" i="15" s="1"/>
  <c r="A2098" i="15" s="1"/>
  <c r="A2099" i="15" s="1"/>
  <c r="A2100" i="15" s="1"/>
  <c r="A2101" i="15" s="1"/>
  <c r="A2102" i="15" s="1"/>
  <c r="A2103" i="15" s="1"/>
  <c r="A2104" i="15" s="1"/>
  <c r="A2105" i="15" s="1"/>
  <c r="A2106" i="15" s="1"/>
  <c r="A2107" i="15" s="1"/>
  <c r="A2108" i="15" s="1"/>
  <c r="A2109" i="15" s="1"/>
  <c r="A2110" i="15" s="1"/>
  <c r="A2111" i="15" s="1"/>
  <c r="A2112" i="15" s="1"/>
  <c r="A2113" i="15" s="1"/>
  <c r="A2114" i="15" s="1"/>
  <c r="A2115" i="15" s="1"/>
  <c r="A2116" i="15" s="1"/>
  <c r="A2117" i="15" s="1"/>
  <c r="A2118" i="15" s="1"/>
  <c r="A2119" i="15" s="1"/>
  <c r="E2039" i="15" l="1"/>
  <c r="A2024" i="15"/>
  <c r="A2025" i="15" s="1"/>
  <c r="A2026" i="15" s="1"/>
  <c r="A2027" i="15" s="1"/>
  <c r="A2028" i="15" s="1"/>
  <c r="A2029" i="15" s="1"/>
  <c r="A2030" i="15" s="1"/>
  <c r="A2031" i="15" s="1"/>
  <c r="A2032" i="15" s="1"/>
  <c r="A2033" i="15" s="1"/>
  <c r="A2034" i="15" s="1"/>
  <c r="A2035" i="15" s="1"/>
  <c r="A2036" i="15" s="1"/>
  <c r="A2037" i="15" s="1"/>
  <c r="E1985" i="15" l="1"/>
  <c r="A1971" i="15"/>
  <c r="A1972" i="15" s="1"/>
  <c r="A1973" i="15" s="1"/>
  <c r="A1974" i="15" s="1"/>
  <c r="A1975" i="15" s="1"/>
  <c r="A1976" i="15" s="1"/>
  <c r="A1977" i="15" s="1"/>
  <c r="A1978" i="15" s="1"/>
  <c r="A1979" i="15" s="1"/>
  <c r="A1980" i="15" s="1"/>
  <c r="A1981" i="15" s="1"/>
  <c r="A1982" i="15" s="1"/>
  <c r="A1983" i="15" s="1"/>
  <c r="E1951" i="15"/>
  <c r="A1918" i="15"/>
  <c r="A1919" i="15" s="1"/>
  <c r="A1920" i="15" s="1"/>
  <c r="A1921" i="15" s="1"/>
  <c r="A1922" i="15" s="1"/>
  <c r="A1923" i="15" s="1"/>
  <c r="A1924" i="15" s="1"/>
  <c r="A1925" i="15" s="1"/>
  <c r="A1926" i="15" s="1"/>
  <c r="A1927" i="15" s="1"/>
  <c r="A1928" i="15" s="1"/>
  <c r="A1929" i="15" s="1"/>
  <c r="A1930" i="15" s="1"/>
  <c r="A1931" i="15" s="1"/>
  <c r="A1932" i="15" s="1"/>
  <c r="A1933" i="15" s="1"/>
  <c r="A1934" i="15" s="1"/>
  <c r="A1935" i="15" s="1"/>
  <c r="A1936" i="15" s="1"/>
  <c r="A1937" i="15" s="1"/>
  <c r="A1938" i="15" s="1"/>
  <c r="A1939" i="15" s="1"/>
  <c r="A1940" i="15" s="1"/>
  <c r="A1941" i="15" s="1"/>
  <c r="A1942" i="15" s="1"/>
  <c r="A1943" i="15" s="1"/>
  <c r="A1944" i="15" s="1"/>
  <c r="A1945" i="15" s="1"/>
  <c r="A1946" i="15" s="1"/>
  <c r="A1947" i="15" s="1"/>
  <c r="A1948" i="15" s="1"/>
  <c r="A1949" i="15" s="1"/>
  <c r="E1895" i="15"/>
  <c r="A1865" i="15"/>
  <c r="A1866" i="15" s="1"/>
  <c r="A1867" i="15" s="1"/>
  <c r="A1868" i="15" s="1"/>
  <c r="A1869" i="15" s="1"/>
  <c r="A1870" i="15" s="1"/>
  <c r="A1871" i="15" s="1"/>
  <c r="A1872" i="15" s="1"/>
  <c r="A1873" i="15" s="1"/>
  <c r="A1874" i="15" s="1"/>
  <c r="A1875" i="15" s="1"/>
  <c r="A1876" i="15" s="1"/>
  <c r="A1877" i="15" s="1"/>
  <c r="A1878" i="15" s="1"/>
  <c r="A1879" i="15" s="1"/>
  <c r="A1880" i="15" s="1"/>
  <c r="A1881" i="15" s="1"/>
  <c r="A1882" i="15" s="1"/>
  <c r="A1883" i="15" s="1"/>
  <c r="A1884" i="15" s="1"/>
  <c r="A1885" i="15" s="1"/>
  <c r="A1886" i="15" s="1"/>
  <c r="A1887" i="15" s="1"/>
  <c r="A1888" i="15" s="1"/>
  <c r="A1889" i="15" s="1"/>
  <c r="A1890" i="15" s="1"/>
  <c r="A1891" i="15" s="1"/>
  <c r="A1892" i="15" s="1"/>
  <c r="A1893" i="15" s="1"/>
  <c r="E1849" i="15" l="1"/>
  <c r="A1812" i="15"/>
  <c r="A1813" i="15" s="1"/>
  <c r="A1814" i="15" s="1"/>
  <c r="A1815" i="15" s="1"/>
  <c r="A1816" i="15" s="1"/>
  <c r="A1817" i="15" s="1"/>
  <c r="A1818" i="15" s="1"/>
  <c r="A1819" i="15" s="1"/>
  <c r="A1820" i="15" s="1"/>
  <c r="A1821" i="15" s="1"/>
  <c r="A1822" i="15" s="1"/>
  <c r="A1823" i="15" s="1"/>
  <c r="A1824" i="15" s="1"/>
  <c r="A1825" i="15" s="1"/>
  <c r="A1826" i="15" s="1"/>
  <c r="A1827" i="15" s="1"/>
  <c r="A1828" i="15" s="1"/>
  <c r="A1829" i="15" s="1"/>
  <c r="A1830" i="15" s="1"/>
  <c r="A1831" i="15" s="1"/>
  <c r="A1832" i="15" s="1"/>
  <c r="A1833" i="15" s="1"/>
  <c r="A1834" i="15" s="1"/>
  <c r="A1835" i="15" s="1"/>
  <c r="A1836" i="15" s="1"/>
  <c r="A1837" i="15" s="1"/>
  <c r="A1838" i="15" s="1"/>
  <c r="A1839" i="15" s="1"/>
  <c r="A1840" i="15" s="1"/>
  <c r="A1841" i="15" s="1"/>
  <c r="A1842" i="15" s="1"/>
  <c r="A1843" i="15" s="1"/>
  <c r="A1844" i="15" s="1"/>
  <c r="A1845" i="15" s="1"/>
  <c r="A1846" i="15" s="1"/>
  <c r="A1847" i="15" s="1"/>
  <c r="E1771" i="15"/>
  <c r="A1759" i="15"/>
  <c r="A1760" i="15" s="1"/>
  <c r="A1761" i="15" s="1"/>
  <c r="A1762" i="15" s="1"/>
  <c r="A1763" i="15" s="1"/>
  <c r="A1764" i="15" s="1"/>
  <c r="A1765" i="15" s="1"/>
  <c r="A1766" i="15" s="1"/>
  <c r="A1767" i="15" s="1"/>
  <c r="A1768" i="15" s="1"/>
  <c r="A1769" i="15" s="1"/>
  <c r="E1718" i="15" l="1"/>
  <c r="A1706" i="15"/>
  <c r="A1707" i="15" s="1"/>
  <c r="A1708" i="15" s="1"/>
  <c r="A1709" i="15" s="1"/>
  <c r="A1710" i="15" s="1"/>
  <c r="E1660" i="15"/>
  <c r="A1653" i="15"/>
  <c r="A1654" i="15" s="1"/>
  <c r="A1655" i="15" s="1"/>
  <c r="A1656" i="15" s="1"/>
  <c r="A1657" i="15" s="1"/>
  <c r="A1658" i="15" s="1"/>
  <c r="E1613" i="15"/>
  <c r="A1600" i="15"/>
  <c r="A1601" i="15" s="1"/>
  <c r="A1602" i="15" s="1"/>
  <c r="A1603" i="15" s="1"/>
  <c r="A1604" i="15" s="1"/>
  <c r="A1605" i="15" s="1"/>
  <c r="A1606" i="15" s="1"/>
  <c r="A1607" i="15" s="1"/>
  <c r="A1608" i="15" s="1"/>
  <c r="A1609" i="15" s="1"/>
  <c r="A1610" i="15" s="1"/>
  <c r="A1611" i="15" s="1"/>
  <c r="A1711" i="15" l="1"/>
  <c r="A1712" i="15" s="1"/>
  <c r="A1713" i="15" s="1"/>
  <c r="A1714" i="15" s="1"/>
  <c r="A1715" i="15" s="1"/>
  <c r="A1716" i="15" s="1"/>
  <c r="E1572" i="15"/>
  <c r="A1547" i="15"/>
  <c r="A1548" i="15" s="1"/>
  <c r="A1549" i="15" s="1"/>
  <c r="A1550" i="15" s="1"/>
  <c r="A1551" i="15" s="1"/>
  <c r="A1552" i="15" s="1"/>
  <c r="A1553" i="15" s="1"/>
  <c r="A1554" i="15" s="1"/>
  <c r="A1555" i="15" s="1"/>
  <c r="A1556" i="15" s="1"/>
  <c r="A1557" i="15" s="1"/>
  <c r="A1558" i="15" s="1"/>
  <c r="A1559" i="15" s="1"/>
  <c r="A1560" i="15" s="1"/>
  <c r="A1561" i="15" s="1"/>
  <c r="A1562" i="15" s="1"/>
  <c r="A1563" i="15" s="1"/>
  <c r="A1564" i="15" s="1"/>
  <c r="A1565" i="15" s="1"/>
  <c r="A1566" i="15" s="1"/>
  <c r="A1567" i="15" s="1"/>
  <c r="A1568" i="15" s="1"/>
  <c r="A1569" i="15" s="1"/>
  <c r="A1570" i="15" s="1"/>
  <c r="E1501" i="15" l="1"/>
  <c r="A1494" i="15"/>
  <c r="A1495" i="15" s="1"/>
  <c r="A1496" i="15" s="1"/>
  <c r="A1497" i="15" s="1"/>
  <c r="A1498" i="15" s="1"/>
  <c r="A1499" i="15" s="1"/>
  <c r="E1459" i="15" l="1"/>
  <c r="A1441" i="15"/>
  <c r="A1442" i="15" s="1"/>
  <c r="A1443" i="15" s="1"/>
  <c r="A1444" i="15" s="1"/>
  <c r="A1445" i="15" s="1"/>
  <c r="A1446" i="15" s="1"/>
  <c r="A1447" i="15" s="1"/>
  <c r="A1448" i="15" s="1"/>
  <c r="A1449" i="15" s="1"/>
  <c r="A1450" i="15" s="1"/>
  <c r="A1451" i="15" s="1"/>
  <c r="A1452" i="15" s="1"/>
  <c r="A1453" i="15" s="1"/>
  <c r="A1454" i="15" s="1"/>
  <c r="A1455" i="15" s="1"/>
  <c r="A1456" i="15" s="1"/>
  <c r="A1457" i="15" s="1"/>
  <c r="E1344" i="15" l="1"/>
  <c r="A1335" i="15"/>
  <c r="A1336" i="15" s="1"/>
  <c r="A1337" i="15" s="1"/>
  <c r="A1338" i="15" s="1"/>
  <c r="A1339" i="15" s="1"/>
  <c r="A1340" i="15" s="1"/>
  <c r="A1341" i="15" s="1"/>
  <c r="A1342" i="15" s="1"/>
  <c r="E1289" i="15"/>
  <c r="A1282" i="15"/>
  <c r="A1283" i="15" s="1"/>
  <c r="A1284" i="15" s="1"/>
  <c r="A1285" i="15" s="1"/>
  <c r="A1286" i="15" s="1"/>
  <c r="A1287" i="15" s="1"/>
  <c r="E1253" i="15"/>
  <c r="A1229" i="15"/>
  <c r="A1230" i="15" s="1"/>
  <c r="A1231" i="15" s="1"/>
  <c r="A1232" i="15" s="1"/>
  <c r="A1233" i="15" s="1"/>
  <c r="A1234" i="15" s="1"/>
  <c r="A1235" i="15" s="1"/>
  <c r="A1236" i="15" s="1"/>
  <c r="A1237" i="15" s="1"/>
  <c r="A1238" i="15" s="1"/>
  <c r="A1239" i="15" s="1"/>
  <c r="A1240" i="15" s="1"/>
  <c r="A1241" i="15" s="1"/>
  <c r="A1242" i="15" s="1"/>
  <c r="A1243" i="15" s="1"/>
  <c r="A1244" i="15" s="1"/>
  <c r="A1245" i="15" s="1"/>
  <c r="A1246" i="15" s="1"/>
  <c r="A1247" i="15" s="1"/>
  <c r="A1248" i="15" s="1"/>
  <c r="A1249" i="15" s="1"/>
  <c r="A1250" i="15" s="1"/>
  <c r="A1251" i="15" s="1"/>
  <c r="E1169" i="15"/>
  <c r="A1123" i="15"/>
  <c r="A1124" i="15" s="1"/>
  <c r="A1125" i="15" s="1"/>
  <c r="A1126" i="15" s="1"/>
  <c r="A1127" i="15" s="1"/>
  <c r="A1128" i="15" s="1"/>
  <c r="A1129" i="15" s="1"/>
  <c r="A1130" i="15" s="1"/>
  <c r="A1131" i="15" s="1"/>
  <c r="A1132" i="15" s="1"/>
  <c r="A1133" i="15" s="1"/>
  <c r="A1134" i="15" s="1"/>
  <c r="A1135" i="15" s="1"/>
  <c r="A1136" i="15" s="1"/>
  <c r="A1137" i="15" s="1"/>
  <c r="A1138" i="15" s="1"/>
  <c r="A1139" i="15" s="1"/>
  <c r="A1140" i="15" s="1"/>
  <c r="A1141" i="15" s="1"/>
  <c r="A1142" i="15" s="1"/>
  <c r="A1143" i="15" s="1"/>
  <c r="A1144" i="15" s="1"/>
  <c r="A1145" i="15" s="1"/>
  <c r="A1146" i="15" s="1"/>
  <c r="A1147" i="15" s="1"/>
  <c r="A1148" i="15" s="1"/>
  <c r="A1149" i="15" s="1"/>
  <c r="A1150" i="15" s="1"/>
  <c r="A1151" i="15" s="1"/>
  <c r="A1152" i="15" s="1"/>
  <c r="A1153" i="15" s="1"/>
  <c r="A1154" i="15" s="1"/>
  <c r="A1155" i="15" s="1"/>
  <c r="A1156" i="15" s="1"/>
  <c r="A1157" i="15" s="1"/>
  <c r="A1158" i="15" s="1"/>
  <c r="A1159" i="15" s="1"/>
  <c r="A1160" i="15" s="1"/>
  <c r="A1161" i="15" s="1"/>
  <c r="A1162" i="15" s="1"/>
  <c r="A1163" i="15" s="1"/>
  <c r="E1400" i="15"/>
  <c r="A1388" i="15"/>
  <c r="A1389" i="15" s="1"/>
  <c r="A1390" i="15" s="1"/>
  <c r="A1391" i="15" s="1"/>
  <c r="A1392" i="15" s="1"/>
  <c r="A1393" i="15" s="1"/>
  <c r="A1394" i="15" s="1"/>
  <c r="A1395" i="15" s="1"/>
  <c r="A1396" i="15" s="1"/>
  <c r="A1397" i="15" s="1"/>
  <c r="A1398" i="15" s="1"/>
  <c r="A1164" i="15" l="1"/>
  <c r="A1165" i="15" s="1"/>
  <c r="A1166" i="15" s="1"/>
  <c r="A1167" i="15" s="1"/>
  <c r="E1093" i="15"/>
  <c r="A1070" i="15"/>
  <c r="A1071" i="15" s="1"/>
  <c r="A1072" i="15" s="1"/>
  <c r="A1073" i="15" s="1"/>
  <c r="A1074" i="15" s="1"/>
  <c r="A1075" i="15" s="1"/>
  <c r="A1076" i="15" s="1"/>
  <c r="A1077" i="15" s="1"/>
  <c r="A1078" i="15" s="1"/>
  <c r="A1079" i="15" s="1"/>
  <c r="A1080" i="15" s="1"/>
  <c r="A1081" i="15" s="1"/>
  <c r="A1082" i="15" s="1"/>
  <c r="A1083" i="15" s="1"/>
  <c r="A1084" i="15" s="1"/>
  <c r="A1085" i="15" s="1"/>
  <c r="A1086" i="15" s="1"/>
  <c r="A1087" i="15" s="1"/>
  <c r="A1088" i="15" s="1"/>
  <c r="A1089" i="15" s="1"/>
  <c r="A1090" i="15" s="1"/>
  <c r="A1091" i="15" s="1"/>
  <c r="E1032" i="15" l="1"/>
  <c r="A1017" i="15"/>
  <c r="A1018" i="15" s="1"/>
  <c r="A1019" i="15" s="1"/>
  <c r="A1020" i="15" s="1"/>
  <c r="A1021" i="15" s="1"/>
  <c r="A1022" i="15" s="1"/>
  <c r="A1023" i="15" s="1"/>
  <c r="A1024" i="15" s="1"/>
  <c r="A1025" i="15" s="1"/>
  <c r="A1026" i="15" s="1"/>
  <c r="A1027" i="15" s="1"/>
  <c r="A1028" i="15" s="1"/>
  <c r="A1029" i="15" s="1"/>
  <c r="A1030" i="15" s="1"/>
  <c r="E988" i="15"/>
  <c r="A964" i="15"/>
  <c r="A965" i="15" s="1"/>
  <c r="A966" i="15" s="1"/>
  <c r="A967" i="15" s="1"/>
  <c r="A968" i="15" s="1"/>
  <c r="A969" i="15" s="1"/>
  <c r="A970" i="15" s="1"/>
  <c r="A971" i="15" s="1"/>
  <c r="A972" i="15" s="1"/>
  <c r="A973" i="15" s="1"/>
  <c r="A974" i="15" s="1"/>
  <c r="A975" i="15" s="1"/>
  <c r="A976" i="15" s="1"/>
  <c r="A977" i="15" s="1"/>
  <c r="A978" i="15" s="1"/>
  <c r="A979" i="15" s="1"/>
  <c r="A980" i="15" s="1"/>
  <c r="A981" i="15" s="1"/>
  <c r="A982" i="15" s="1"/>
  <c r="A983" i="15" s="1"/>
  <c r="A984" i="15" s="1"/>
  <c r="A985" i="15" s="1"/>
  <c r="A986" i="15" s="1"/>
  <c r="E938" i="15"/>
  <c r="A911" i="15"/>
  <c r="A912" i="15" s="1"/>
  <c r="A913" i="15" s="1"/>
  <c r="A914" i="15" s="1"/>
  <c r="A915" i="15" s="1"/>
  <c r="A916" i="15" s="1"/>
  <c r="A917" i="15" s="1"/>
  <c r="A918" i="15" s="1"/>
  <c r="A919" i="15" s="1"/>
  <c r="A920" i="15" s="1"/>
  <c r="A921" i="15" s="1"/>
  <c r="A922" i="15" s="1"/>
  <c r="A923" i="15" s="1"/>
  <c r="A924" i="15" s="1"/>
  <c r="A925" i="15" s="1"/>
  <c r="A926" i="15" s="1"/>
  <c r="A927" i="15" s="1"/>
  <c r="A928" i="15" s="1"/>
  <c r="A929" i="15" s="1"/>
  <c r="A930" i="15" s="1"/>
  <c r="A931" i="15" s="1"/>
  <c r="A932" i="15" l="1"/>
  <c r="A933" i="15" s="1"/>
  <c r="A934" i="15" s="1"/>
  <c r="A935" i="15" s="1"/>
  <c r="A936" i="15" s="1"/>
  <c r="E877" i="15"/>
  <c r="A858" i="15"/>
  <c r="A859" i="15" s="1"/>
  <c r="A860" i="15" s="1"/>
  <c r="A861" i="15" s="1"/>
  <c r="A862" i="15" s="1"/>
  <c r="A863" i="15" s="1"/>
  <c r="A864" i="15" s="1"/>
  <c r="A865" i="15" s="1"/>
  <c r="A866" i="15" s="1"/>
  <c r="A867" i="15" s="1"/>
  <c r="A868" i="15" s="1"/>
  <c r="A869" i="15" s="1"/>
  <c r="A870" i="15" s="1"/>
  <c r="A871" i="15" s="1"/>
  <c r="A872" i="15" s="1"/>
  <c r="A873" i="15" s="1"/>
  <c r="A874" i="15" s="1"/>
  <c r="A875" i="15" s="1"/>
  <c r="E830" i="15" l="1"/>
  <c r="A805" i="15"/>
  <c r="A806" i="15" s="1"/>
  <c r="A807" i="15" s="1"/>
  <c r="A808" i="15" s="1"/>
  <c r="A809" i="15" s="1"/>
  <c r="A810" i="15" s="1"/>
  <c r="A811" i="15" s="1"/>
  <c r="A812" i="15" s="1"/>
  <c r="A813" i="15" s="1"/>
  <c r="A814" i="15" s="1"/>
  <c r="A815" i="15" s="1"/>
  <c r="A816" i="15" s="1"/>
  <c r="A817" i="15" s="1"/>
  <c r="A818" i="15" s="1"/>
  <c r="A819" i="15" s="1"/>
  <c r="A820" i="15" s="1"/>
  <c r="A821" i="15" s="1"/>
  <c r="A822" i="15" s="1"/>
  <c r="A823" i="15" s="1"/>
  <c r="A824" i="15" s="1"/>
  <c r="A825" i="15" s="1"/>
  <c r="A826" i="15" s="1"/>
  <c r="A827" i="15" s="1"/>
  <c r="A828" i="15" s="1"/>
  <c r="E791" i="15"/>
  <c r="A752" i="15"/>
  <c r="A753" i="15" s="1"/>
  <c r="A754" i="15" s="1"/>
  <c r="A755" i="15" s="1"/>
  <c r="A756" i="15" s="1"/>
  <c r="A757" i="15" s="1"/>
  <c r="A758" i="15" s="1"/>
  <c r="A759" i="15" s="1"/>
  <c r="A760" i="15" s="1"/>
  <c r="A761" i="15" s="1"/>
  <c r="A762" i="15" s="1"/>
  <c r="A763" i="15" s="1"/>
  <c r="A764" i="15" s="1"/>
  <c r="A765" i="15" s="1"/>
  <c r="A766" i="15" s="1"/>
  <c r="A767" i="15" s="1"/>
  <c r="A768" i="15" s="1"/>
  <c r="A769" i="15" s="1"/>
  <c r="A770" i="15" s="1"/>
  <c r="E724" i="15"/>
  <c r="A699" i="15"/>
  <c r="A700" i="15" s="1"/>
  <c r="A701" i="15" s="1"/>
  <c r="A702" i="15" s="1"/>
  <c r="A703" i="15" s="1"/>
  <c r="A704" i="15" s="1"/>
  <c r="A705" i="15" s="1"/>
  <c r="A706" i="15" s="1"/>
  <c r="A707" i="15" s="1"/>
  <c r="A708" i="15" s="1"/>
  <c r="A709" i="15" s="1"/>
  <c r="A710" i="15" s="1"/>
  <c r="A711" i="15" s="1"/>
  <c r="A712" i="15" s="1"/>
  <c r="A713" i="15" s="1"/>
  <c r="A714" i="15" s="1"/>
  <c r="A715" i="15" s="1"/>
  <c r="A716" i="15" s="1"/>
  <c r="A717" i="15" s="1"/>
  <c r="A718" i="15" s="1"/>
  <c r="A719" i="15" s="1"/>
  <c r="A720" i="15" s="1"/>
  <c r="A721" i="15" s="1"/>
  <c r="A722" i="15" s="1"/>
  <c r="E664" i="15"/>
  <c r="A646" i="15"/>
  <c r="A647" i="15" s="1"/>
  <c r="A648" i="15" s="1"/>
  <c r="A649" i="15" s="1"/>
  <c r="A650" i="15" s="1"/>
  <c r="A651" i="15" s="1"/>
  <c r="A652" i="15" s="1"/>
  <c r="A653" i="15" s="1"/>
  <c r="A654" i="15" s="1"/>
  <c r="A655" i="15" s="1"/>
  <c r="A656" i="15" s="1"/>
  <c r="A657" i="15" s="1"/>
  <c r="A658" i="15" s="1"/>
  <c r="A659" i="15" s="1"/>
  <c r="A660" i="15" s="1"/>
  <c r="A661" i="15" s="1"/>
  <c r="A662" i="15" s="1"/>
  <c r="A593" i="15"/>
  <c r="A594" i="15" s="1"/>
  <c r="A595" i="15" s="1"/>
  <c r="A596" i="15" s="1"/>
  <c r="A597" i="15" s="1"/>
  <c r="A598" i="15" s="1"/>
  <c r="A599" i="15" s="1"/>
  <c r="A600" i="15" s="1"/>
  <c r="A601" i="15" s="1"/>
  <c r="A602" i="15" s="1"/>
  <c r="A603" i="15" s="1"/>
  <c r="A604" i="15" s="1"/>
  <c r="A605" i="15" s="1"/>
  <c r="A606" i="15" s="1"/>
  <c r="A607" i="15" s="1"/>
  <c r="A608" i="15" s="1"/>
  <c r="A609" i="15" s="1"/>
  <c r="A610" i="15" s="1"/>
  <c r="E612" i="15"/>
  <c r="E582" i="15"/>
  <c r="A540" i="15"/>
  <c r="A541" i="15" s="1"/>
  <c r="A542" i="15" s="1"/>
  <c r="A543" i="15" s="1"/>
  <c r="A544" i="15" s="1"/>
  <c r="A545" i="15" s="1"/>
  <c r="A546" i="15" s="1"/>
  <c r="A547" i="15" s="1"/>
  <c r="A548" i="15" s="1"/>
  <c r="A549" i="15" s="1"/>
  <c r="A550" i="15" s="1"/>
  <c r="A551" i="15" s="1"/>
  <c r="A552" i="15" s="1"/>
  <c r="A553" i="15" s="1"/>
  <c r="A554" i="15" s="1"/>
  <c r="A555" i="15" s="1"/>
  <c r="A556" i="15" s="1"/>
  <c r="A557" i="15" s="1"/>
  <c r="A558" i="15" s="1"/>
  <c r="A559" i="15" s="1"/>
  <c r="A560" i="15" s="1"/>
  <c r="A561" i="15" s="1"/>
  <c r="A562" i="15" s="1"/>
  <c r="A563" i="15" s="1"/>
  <c r="A564" i="15" s="1"/>
  <c r="A565" i="15" s="1"/>
  <c r="A566" i="15" s="1"/>
  <c r="A567" i="15" s="1"/>
  <c r="A568" i="15" s="1"/>
  <c r="A569" i="15" s="1"/>
  <c r="A570" i="15" s="1"/>
  <c r="A571" i="15" s="1"/>
  <c r="A572" i="15" s="1"/>
  <c r="A573" i="15" s="1"/>
  <c r="A574" i="15" s="1"/>
  <c r="A575" i="15" s="1"/>
  <c r="A576" i="15" s="1"/>
  <c r="A577" i="15" s="1"/>
  <c r="A578" i="15" s="1"/>
  <c r="A579" i="15" s="1"/>
  <c r="A580" i="15" s="1"/>
  <c r="A581" i="15" s="1"/>
  <c r="A771" i="15" l="1"/>
  <c r="A772" i="15" s="1"/>
  <c r="A773" i="15" s="1"/>
  <c r="A774" i="15" s="1"/>
  <c r="A775" i="15" s="1"/>
  <c r="A776" i="15" s="1"/>
  <c r="A777" i="15" s="1"/>
  <c r="A778" i="15" s="1"/>
  <c r="A779" i="15" s="1"/>
  <c r="A780" i="15" s="1"/>
  <c r="A781" i="15" s="1"/>
  <c r="A782" i="15" s="1"/>
  <c r="A783" i="15" s="1"/>
  <c r="A784" i="15" s="1"/>
  <c r="A785" i="15" s="1"/>
  <c r="A786" i="15" s="1"/>
  <c r="A787" i="15" s="1"/>
  <c r="A788" i="15" s="1"/>
  <c r="A789" i="15" s="1"/>
  <c r="E483" i="15"/>
  <c r="A434" i="15"/>
  <c r="A435" i="15" s="1"/>
  <c r="A436" i="15" s="1"/>
  <c r="A437" i="15" s="1"/>
  <c r="A438" i="15" s="1"/>
  <c r="A439" i="15" s="1"/>
  <c r="A440" i="15" s="1"/>
  <c r="A441" i="15" s="1"/>
  <c r="A442" i="15" s="1"/>
  <c r="A443" i="15" s="1"/>
  <c r="A444" i="15" s="1"/>
  <c r="A445" i="15" s="1"/>
  <c r="A446" i="15" s="1"/>
  <c r="A447" i="15" s="1"/>
  <c r="A448" i="15" s="1"/>
  <c r="A449" i="15" s="1"/>
  <c r="A450" i="15" s="1"/>
  <c r="A451" i="15" s="1"/>
  <c r="A452" i="15" s="1"/>
  <c r="A453" i="15" s="1"/>
  <c r="A454" i="15" s="1"/>
  <c r="A455" i="15" s="1"/>
  <c r="A456" i="15" s="1"/>
  <c r="A457" i="15" s="1"/>
  <c r="A458" i="15" s="1"/>
  <c r="A459" i="15" s="1"/>
  <c r="A460" i="15" s="1"/>
  <c r="A461" i="15" s="1"/>
  <c r="A462" i="15" s="1"/>
  <c r="A463" i="15" s="1"/>
  <c r="A464" i="15" s="1"/>
  <c r="A465" i="15" s="1"/>
  <c r="A466" i="15" s="1"/>
  <c r="A467" i="15" s="1"/>
  <c r="A468" i="15" s="1"/>
  <c r="A469" i="15" s="1"/>
  <c r="A470" i="15" s="1"/>
  <c r="A471" i="15" s="1"/>
  <c r="A472" i="15" s="1"/>
  <c r="A473" i="15" s="1"/>
  <c r="A474" i="15" s="1"/>
  <c r="A475" i="15" s="1"/>
  <c r="A476" i="15" s="1"/>
  <c r="A477" i="15" s="1"/>
  <c r="A478" i="15" s="1"/>
  <c r="A479" i="15" s="1"/>
  <c r="A480" i="15" s="1"/>
  <c r="A481" i="15" s="1"/>
  <c r="E421" i="15"/>
  <c r="A381" i="15"/>
  <c r="A382" i="15" s="1"/>
  <c r="A383" i="15" s="1"/>
  <c r="A384" i="15" s="1"/>
  <c r="A385" i="15" s="1"/>
  <c r="A386" i="15" s="1"/>
  <c r="A387" i="15" s="1"/>
  <c r="A388" i="15" s="1"/>
  <c r="A389" i="15" s="1"/>
  <c r="A390" i="15" s="1"/>
  <c r="A391" i="15" s="1"/>
  <c r="A392" i="15" s="1"/>
  <c r="A393" i="15" s="1"/>
  <c r="A394" i="15" s="1"/>
  <c r="A395" i="15" s="1"/>
  <c r="A396" i="15" s="1"/>
  <c r="A397" i="15" s="1"/>
  <c r="A398" i="15" s="1"/>
  <c r="A399" i="15" s="1"/>
  <c r="A400" i="15" s="1"/>
  <c r="A401" i="15" s="1"/>
  <c r="A402" i="15" s="1"/>
  <c r="A403" i="15" s="1"/>
  <c r="A404" i="15" s="1"/>
  <c r="A405" i="15" s="1"/>
  <c r="A406" i="15" s="1"/>
  <c r="A407" i="15" s="1"/>
  <c r="A408" i="15" s="1"/>
  <c r="A409" i="15" s="1"/>
  <c r="A410" i="15" s="1"/>
  <c r="A411" i="15" s="1"/>
  <c r="A412" i="15" s="1"/>
  <c r="A413" i="15" s="1"/>
  <c r="A414" i="15" s="1"/>
  <c r="A415" i="15" s="1"/>
  <c r="A416" i="15" s="1"/>
  <c r="A417" i="15" s="1"/>
  <c r="A418" i="15" s="1"/>
  <c r="A419" i="15" s="1"/>
  <c r="E348" i="15"/>
  <c r="A328" i="15"/>
  <c r="A329" i="15" s="1"/>
  <c r="A330" i="15" s="1"/>
  <c r="A331" i="15" s="1"/>
  <c r="A332" i="15" s="1"/>
  <c r="A333" i="15" s="1"/>
  <c r="A334" i="15" s="1"/>
  <c r="A335" i="15" s="1"/>
  <c r="A336" i="15" s="1"/>
  <c r="A337" i="15" s="1"/>
  <c r="A338" i="15" s="1"/>
  <c r="A339" i="15" s="1"/>
  <c r="A340" i="15" s="1"/>
  <c r="A341" i="15" s="1"/>
  <c r="A342" i="15" s="1"/>
  <c r="A343" i="15" s="1"/>
  <c r="A344" i="15" s="1"/>
  <c r="A345" i="15" s="1"/>
  <c r="A346" i="15" s="1"/>
  <c r="E304" i="15"/>
  <c r="A275" i="15"/>
  <c r="A276" i="15" s="1"/>
  <c r="A277" i="15" s="1"/>
  <c r="A278" i="15" s="1"/>
  <c r="A279" i="15" s="1"/>
  <c r="A280" i="15" s="1"/>
  <c r="A281" i="15" s="1"/>
  <c r="A282" i="15" s="1"/>
  <c r="A283" i="15" s="1"/>
  <c r="A284" i="15" s="1"/>
  <c r="A285" i="15" s="1"/>
  <c r="A286" i="15" s="1"/>
  <c r="A287" i="15" s="1"/>
  <c r="A288" i="15" s="1"/>
  <c r="A289" i="15" s="1"/>
  <c r="A290" i="15" s="1"/>
  <c r="A291" i="15" s="1"/>
  <c r="A292" i="15" s="1"/>
  <c r="A293" i="15" s="1"/>
  <c r="A294" i="15" s="1"/>
  <c r="A295" i="15" s="1"/>
  <c r="A296" i="15" s="1"/>
  <c r="A297" i="15" s="1"/>
  <c r="A298" i="15" s="1"/>
  <c r="A299" i="15" s="1"/>
  <c r="A300" i="15" s="1"/>
  <c r="A301" i="15" s="1"/>
  <c r="A302" i="15" s="1"/>
  <c r="E219" i="15"/>
  <c r="A169" i="15"/>
  <c r="A170" i="15" s="1"/>
  <c r="A171" i="15" s="1"/>
  <c r="A172" i="15" s="1"/>
  <c r="A173" i="15" s="1"/>
  <c r="A174" i="15" s="1"/>
  <c r="A175" i="15" s="1"/>
  <c r="A176" i="15" s="1"/>
  <c r="A177" i="15" s="1"/>
  <c r="A178" i="15" s="1"/>
  <c r="A179" i="15" s="1"/>
  <c r="A180" i="15" s="1"/>
  <c r="A181" i="15" s="1"/>
  <c r="A182" i="15" s="1"/>
  <c r="A183" i="15" s="1"/>
  <c r="A184" i="15" s="1"/>
  <c r="A185" i="15" s="1"/>
  <c r="A186" i="15" s="1"/>
  <c r="A187" i="15" s="1"/>
  <c r="A188" i="15" s="1"/>
  <c r="A189" i="15" s="1"/>
  <c r="A190" i="15" s="1"/>
  <c r="A191" i="15" s="1"/>
  <c r="A192" i="15" s="1"/>
  <c r="A193" i="15" s="1"/>
  <c r="A194" i="15" s="1"/>
  <c r="A195" i="15" s="1"/>
  <c r="A196" i="15" s="1"/>
  <c r="A197" i="15" s="1"/>
  <c r="A198" i="15" s="1"/>
  <c r="A199" i="15" s="1"/>
  <c r="A200" i="15" s="1"/>
  <c r="A201" i="15" s="1"/>
  <c r="A202" i="15" s="1"/>
  <c r="A203" i="15" s="1"/>
  <c r="A204" i="15" s="1"/>
  <c r="A205" i="15" s="1"/>
  <c r="A206" i="15" s="1"/>
  <c r="A207" i="15" s="1"/>
  <c r="A208" i="15" s="1"/>
  <c r="A209" i="15" s="1"/>
  <c r="A210" i="15" s="1"/>
  <c r="A211" i="15" s="1"/>
  <c r="A212" i="15" s="1"/>
  <c r="A213" i="15" s="1"/>
  <c r="A214" i="15" s="1"/>
  <c r="A215" i="15" s="1"/>
  <c r="A216" i="15" s="1"/>
  <c r="A217" i="15" s="1"/>
  <c r="E112" i="15" l="1"/>
  <c r="A63" i="15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A92" i="15" s="1"/>
  <c r="A93" i="15" s="1"/>
  <c r="A94" i="15" s="1"/>
  <c r="A95" i="15" s="1"/>
  <c r="A96" i="15" s="1"/>
  <c r="A97" i="15" s="1"/>
  <c r="A98" i="15" s="1"/>
  <c r="A99" i="15" s="1"/>
  <c r="A100" i="15" s="1"/>
  <c r="A101" i="15" s="1"/>
  <c r="A102" i="15" s="1"/>
  <c r="A103" i="15" s="1"/>
  <c r="A104" i="15" s="1"/>
  <c r="A105" i="15" s="1"/>
  <c r="A106" i="15" s="1"/>
  <c r="A107" i="15" s="1"/>
  <c r="A108" i="15" s="1"/>
  <c r="A109" i="15" s="1"/>
  <c r="A110" i="15" s="1"/>
  <c r="G21" i="20" l="1"/>
  <c r="F21" i="20"/>
  <c r="H18" i="17" l="1"/>
  <c r="G18" i="17"/>
  <c r="D18" i="17"/>
  <c r="I15" i="17"/>
  <c r="I12" i="17"/>
  <c r="E24" i="15"/>
  <c r="I13" i="17" s="1"/>
  <c r="A10" i="15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E14" i="14"/>
  <c r="E18" i="17" l="1"/>
  <c r="I14" i="17"/>
  <c r="I18" i="17" s="1"/>
  <c r="F18" i="17"/>
  <c r="G16" i="10" l="1"/>
  <c r="E11" i="10" l="1"/>
  <c r="E12" i="10" s="1"/>
  <c r="E13" i="10" s="1"/>
  <c r="E15" i="10" s="1"/>
  <c r="F559" i="10" l="1"/>
  <c r="F561" i="10"/>
  <c r="F509" i="10" l="1"/>
  <c r="F511" i="10"/>
  <c r="F359" i="10" l="1"/>
  <c r="F361" i="10"/>
  <c r="F259" i="10" l="1"/>
  <c r="G13" i="10" l="1"/>
  <c r="F18" i="10"/>
  <c r="G18" i="10" l="1"/>
  <c r="F411" i="10" l="1"/>
  <c r="F409" i="10"/>
  <c r="F461" i="10" l="1"/>
  <c r="F459" i="10"/>
  <c r="F60" i="10" l="1"/>
  <c r="F260" i="10" l="1"/>
  <c r="F360" i="10" l="1"/>
  <c r="F410" i="10" l="1"/>
  <c r="G362" i="10"/>
  <c r="F365" i="10"/>
  <c r="G365" i="10" l="1"/>
  <c r="F460" i="10"/>
  <c r="F417" i="10"/>
  <c r="G412" i="10"/>
  <c r="G417" i="10" s="1"/>
  <c r="F510" i="10" l="1"/>
  <c r="F467" i="10"/>
  <c r="G462" i="10"/>
  <c r="G467" i="10" s="1"/>
  <c r="G512" i="10" l="1"/>
  <c r="G514" i="10" s="1"/>
  <c r="F514" i="10"/>
  <c r="F560" i="10"/>
  <c r="G562" i="10" l="1"/>
  <c r="G564" i="10" s="1"/>
  <c r="F564" i="10"/>
  <c r="F311" i="10" l="1"/>
  <c r="F310" i="10"/>
  <c r="F309" i="10"/>
  <c r="F316" i="10" l="1"/>
  <c r="G312" i="10"/>
  <c r="G316" i="10" s="1"/>
  <c r="E16" i="10" l="1"/>
  <c r="F59" i="10" l="1"/>
  <c r="G117" i="10" l="1"/>
  <c r="F111" i="10" l="1"/>
  <c r="F61" i="10"/>
  <c r="F66" i="10" l="1"/>
  <c r="F117" i="10"/>
  <c r="G62" i="10"/>
  <c r="G66" i="10" s="1"/>
  <c r="F161" i="10"/>
  <c r="G162" i="10" l="1"/>
  <c r="G166" i="10" s="1"/>
  <c r="F166" i="10"/>
  <c r="F261" i="10" l="1"/>
  <c r="F211" i="10"/>
  <c r="G212" i="10" l="1"/>
  <c r="G216" i="10" s="1"/>
  <c r="F216" i="10"/>
  <c r="G262" i="10"/>
  <c r="G266" i="10" s="1"/>
  <c r="F266" i="10"/>
</calcChain>
</file>

<file path=xl/sharedStrings.xml><?xml version="1.0" encoding="utf-8"?>
<sst xmlns="http://schemas.openxmlformats.org/spreadsheetml/2006/main" count="6482" uniqueCount="3628">
  <si>
    <t>PERUSAHAAN DAERAH AIR MINUM</t>
  </si>
  <si>
    <t>KABUPATEN SERUYAN</t>
  </si>
  <si>
    <t>BULAN JANUARI 2012</t>
  </si>
  <si>
    <t>Tgl</t>
  </si>
  <si>
    <t>Uraian</t>
  </si>
  <si>
    <t>KREDIT</t>
  </si>
  <si>
    <t>Utang Usaha</t>
  </si>
  <si>
    <t>TGL</t>
  </si>
  <si>
    <t>URAIAN</t>
  </si>
  <si>
    <t>PERKIRAAN DI KREDIT</t>
  </si>
  <si>
    <t>JUMLAH</t>
  </si>
  <si>
    <t>Jalan : Soekarno-Hatta No. Telp (0538) 2706777  Fax (0538) 21815</t>
  </si>
  <si>
    <t>DAFTAR UTANG VOUCER YANG HARUS DIBAYAR (DUVHD)</t>
  </si>
  <si>
    <t>VOUCER</t>
  </si>
  <si>
    <t>DIBAYAR</t>
  </si>
  <si>
    <t>PERKIRAAN DI DEBET</t>
  </si>
  <si>
    <t>NO</t>
  </si>
  <si>
    <t>CEK/GIRO NO.</t>
  </si>
  <si>
    <t>UTANG</t>
  </si>
  <si>
    <t xml:space="preserve">PERSEDIAN </t>
  </si>
  <si>
    <t xml:space="preserve">BAHAN </t>
  </si>
  <si>
    <t>UANG MUKA</t>
  </si>
  <si>
    <t>BOP</t>
  </si>
  <si>
    <t>BIAYA UMUM &amp; ADM</t>
  </si>
  <si>
    <t>RUPA-RUPA</t>
  </si>
  <si>
    <t>USAHA</t>
  </si>
  <si>
    <t>NON USAHA</t>
  </si>
  <si>
    <t>BHN. KIMIA</t>
  </si>
  <si>
    <t>INSTALASI</t>
  </si>
  <si>
    <t>KERJA</t>
  </si>
  <si>
    <t>SUMBER</t>
  </si>
  <si>
    <t>PENGOLAHAN</t>
  </si>
  <si>
    <t>DISTRIBUSI</t>
  </si>
  <si>
    <t>B. KANTOR</t>
  </si>
  <si>
    <t>B. HUB.PEL</t>
  </si>
  <si>
    <t>KD. PERKIRAAN</t>
  </si>
  <si>
    <t>(50.01.00)</t>
  </si>
  <si>
    <t>(50.02.00)</t>
  </si>
  <si>
    <t>(15.00.01)</t>
  </si>
  <si>
    <t>(41.02.00)</t>
  </si>
  <si>
    <t>(16.02.00)</t>
  </si>
  <si>
    <t>(91.01.00)</t>
  </si>
  <si>
    <t>(92.01.00)</t>
  </si>
  <si>
    <t>(93.01.00)</t>
  </si>
  <si>
    <t>(96.02.00)</t>
  </si>
  <si>
    <t>(96.03.00)</t>
  </si>
  <si>
    <t>No</t>
  </si>
  <si>
    <t>Ref.</t>
  </si>
  <si>
    <t>Debet</t>
  </si>
  <si>
    <t>Kredit</t>
  </si>
  <si>
    <t>JOURNAL PEMBALIK</t>
  </si>
  <si>
    <t>Persediaan Bahan Kimia</t>
  </si>
  <si>
    <t>Beban Operasi Pengolahan Air (Tawas)</t>
  </si>
  <si>
    <t>Beban Operasi Pengolahan Air (Kaporit)</t>
  </si>
  <si>
    <t>Beban Operasi Pengolahan Air (Soda Ash)</t>
  </si>
  <si>
    <t>JP 'Jan</t>
  </si>
  <si>
    <t>JP 'FEB</t>
  </si>
  <si>
    <t>JP 'MAR</t>
  </si>
  <si>
    <t>JP 'APRIL</t>
  </si>
  <si>
    <t>JP 'MEI</t>
  </si>
  <si>
    <t>JP 'JUNI</t>
  </si>
  <si>
    <t>JP ' juli</t>
  </si>
  <si>
    <t>JP ' Agust</t>
  </si>
  <si>
    <t>JP ' Sep</t>
  </si>
  <si>
    <t>JP ' Okt</t>
  </si>
  <si>
    <t>JP ' Nov</t>
  </si>
  <si>
    <t>Beban ATK &amp; Barang Cetakkan</t>
  </si>
  <si>
    <t>Piutang Non Air</t>
  </si>
  <si>
    <t>Persediaan ATK</t>
  </si>
  <si>
    <t>1 Juli 15</t>
  </si>
  <si>
    <t>1 Agustus 15</t>
  </si>
  <si>
    <t>1 Sep 15</t>
  </si>
  <si>
    <t>1 Okt 15</t>
  </si>
  <si>
    <t>1 Nov 15</t>
  </si>
  <si>
    <t>1 Des 15</t>
  </si>
  <si>
    <t>METER</t>
  </si>
  <si>
    <t>DEBET</t>
  </si>
  <si>
    <t>NO. BUKTI</t>
  </si>
  <si>
    <t xml:space="preserve">PERUSAHAAN DAERAH AIR MINUM </t>
  </si>
  <si>
    <t>NAMA PELANGGAN</t>
  </si>
  <si>
    <t>NO. PELANGGAN</t>
  </si>
  <si>
    <t>BUKTI PENERIMAAN TAGIHAN REKENING NON AIR</t>
  </si>
  <si>
    <t>BULAN : JANUARI 2018</t>
  </si>
  <si>
    <t>Kasi. Pembukuan</t>
  </si>
  <si>
    <t>BUKTI PENERIMAAN DENDA</t>
  </si>
  <si>
    <t>BPTDN/01/I/2018</t>
  </si>
  <si>
    <t>BUKTI KAS MASUK</t>
  </si>
  <si>
    <t>PENERIMAAN</t>
  </si>
  <si>
    <t xml:space="preserve">TAGIHAN </t>
  </si>
  <si>
    <t>TAGIHAN</t>
  </si>
  <si>
    <t xml:space="preserve">DENDA </t>
  </si>
  <si>
    <t xml:space="preserve">ANGSURAN </t>
  </si>
  <si>
    <t>DANA</t>
  </si>
  <si>
    <t xml:space="preserve">REKENING </t>
  </si>
  <si>
    <t>REKENING</t>
  </si>
  <si>
    <t xml:space="preserve">PIUTANG </t>
  </si>
  <si>
    <t>AIR</t>
  </si>
  <si>
    <t>NON AIR</t>
  </si>
  <si>
    <t>KARYAWAN</t>
  </si>
  <si>
    <t>Penerimaan Rek Air &amp; Adm</t>
  </si>
  <si>
    <t>BULAN : FEBRUARI 2018</t>
  </si>
  <si>
    <t>BULAN : MARET 2018</t>
  </si>
  <si>
    <t>BULAN : APRIL 2018</t>
  </si>
  <si>
    <t>Rafiah</t>
  </si>
  <si>
    <t>Hj. Nurlaila A</t>
  </si>
  <si>
    <t>Eko Budi S</t>
  </si>
  <si>
    <t>Titin Yuli Susanti</t>
  </si>
  <si>
    <t>Irsyad Munawar, ST</t>
  </si>
  <si>
    <t>Sudirman</t>
  </si>
  <si>
    <t>000408</t>
  </si>
  <si>
    <t>000802</t>
  </si>
  <si>
    <t>000942</t>
  </si>
  <si>
    <t>000966</t>
  </si>
  <si>
    <t>000969</t>
  </si>
  <si>
    <t>001430</t>
  </si>
  <si>
    <t>Kuala Pembuang, 02 Januari  2018</t>
  </si>
  <si>
    <t>Norhanisah</t>
  </si>
  <si>
    <t>Heri</t>
  </si>
  <si>
    <t>Raden Kartono, S. Pd</t>
  </si>
  <si>
    <t>Suriansyah</t>
  </si>
  <si>
    <t>H. Muhammad Hanafie</t>
  </si>
  <si>
    <t>Agus Wakidjo</t>
  </si>
  <si>
    <t>Wahana</t>
  </si>
  <si>
    <t>Norhayati</t>
  </si>
  <si>
    <t>001491</t>
  </si>
  <si>
    <t>001658</t>
  </si>
  <si>
    <t>001809</t>
  </si>
  <si>
    <t>001820</t>
  </si>
  <si>
    <t>002055</t>
  </si>
  <si>
    <t>002381</t>
  </si>
  <si>
    <t>002452</t>
  </si>
  <si>
    <t>002542</t>
  </si>
  <si>
    <t>BPTDN/02/I/2018</t>
  </si>
  <si>
    <t>Kuala Pembuang, 03 Januari  2018</t>
  </si>
  <si>
    <t>Nur Aiti</t>
  </si>
  <si>
    <t>Suriyadi</t>
  </si>
  <si>
    <t>Koesnan AS</t>
  </si>
  <si>
    <t>Bandu</t>
  </si>
  <si>
    <t>Roby Kurniawan</t>
  </si>
  <si>
    <t>Susilawati</t>
  </si>
  <si>
    <t>000134</t>
  </si>
  <si>
    <t>000203</t>
  </si>
  <si>
    <t>000318</t>
  </si>
  <si>
    <t>000345</t>
  </si>
  <si>
    <t>000425</t>
  </si>
  <si>
    <t>000712</t>
  </si>
  <si>
    <t>000735</t>
  </si>
  <si>
    <t>000745</t>
  </si>
  <si>
    <t>000872</t>
  </si>
  <si>
    <t>000925</t>
  </si>
  <si>
    <t>000935</t>
  </si>
  <si>
    <t>001009</t>
  </si>
  <si>
    <t>H. Ahmad Dehen</t>
  </si>
  <si>
    <t>Mujibur Rahman</t>
  </si>
  <si>
    <t>Indra Gunawi</t>
  </si>
  <si>
    <t>H. Sutriasmono</t>
  </si>
  <si>
    <t>Muliannor</t>
  </si>
  <si>
    <t>Kejari VI</t>
  </si>
  <si>
    <t>M. Fitriansyah</t>
  </si>
  <si>
    <t>Juliansyah A</t>
  </si>
  <si>
    <t>Juliansyah B</t>
  </si>
  <si>
    <t>Suyono</t>
  </si>
  <si>
    <t>Muliyan</t>
  </si>
  <si>
    <t>Apronika Hadi</t>
  </si>
  <si>
    <t>Heriyadi</t>
  </si>
  <si>
    <t>Eny Mariana</t>
  </si>
  <si>
    <t>Herliyani</t>
  </si>
  <si>
    <t>001105</t>
  </si>
  <si>
    <t>001111</t>
  </si>
  <si>
    <t>001112</t>
  </si>
  <si>
    <t>001217</t>
  </si>
  <si>
    <t>001265</t>
  </si>
  <si>
    <t>001294</t>
  </si>
  <si>
    <t>001470</t>
  </si>
  <si>
    <t>001519</t>
  </si>
  <si>
    <t>001424</t>
  </si>
  <si>
    <t>001584</t>
  </si>
  <si>
    <t>001762</t>
  </si>
  <si>
    <t>001810</t>
  </si>
  <si>
    <t>001870</t>
  </si>
  <si>
    <t>001890</t>
  </si>
  <si>
    <t>001550</t>
  </si>
  <si>
    <t>002128</t>
  </si>
  <si>
    <t>002192</t>
  </si>
  <si>
    <t>002219</t>
  </si>
  <si>
    <t>Ahmad Yunani</t>
  </si>
  <si>
    <t>Dahlia</t>
  </si>
  <si>
    <t>M. Zaenal Arifin</t>
  </si>
  <si>
    <t>Suhartono</t>
  </si>
  <si>
    <t>Wairan</t>
  </si>
  <si>
    <t>Noraida</t>
  </si>
  <si>
    <t>Mega Mustika</t>
  </si>
  <si>
    <t>Sandin</t>
  </si>
  <si>
    <t>Anwar Rasid</t>
  </si>
  <si>
    <t>Ruslianto II</t>
  </si>
  <si>
    <t>Hj. Rusnah</t>
  </si>
  <si>
    <t>Heri Yadi</t>
  </si>
  <si>
    <t>Basri</t>
  </si>
  <si>
    <t>Akhmadiyanur</t>
  </si>
  <si>
    <t>Ahmad Zain</t>
  </si>
  <si>
    <t>Meri</t>
  </si>
  <si>
    <t>Etik Suwarni</t>
  </si>
  <si>
    <t>Fitriany</t>
  </si>
  <si>
    <t>Ricardo Barius</t>
  </si>
  <si>
    <t>Jainudin</t>
  </si>
  <si>
    <t>002268</t>
  </si>
  <si>
    <t>002446</t>
  </si>
  <si>
    <t>002458</t>
  </si>
  <si>
    <t>002492</t>
  </si>
  <si>
    <t>002513</t>
  </si>
  <si>
    <t>002567</t>
  </si>
  <si>
    <t>002612</t>
  </si>
  <si>
    <t>002661</t>
  </si>
  <si>
    <t>002688</t>
  </si>
  <si>
    <t>002689</t>
  </si>
  <si>
    <t>002803</t>
  </si>
  <si>
    <t>002815</t>
  </si>
  <si>
    <t>002817</t>
  </si>
  <si>
    <t>002822</t>
  </si>
  <si>
    <t>002846</t>
  </si>
  <si>
    <t>002872</t>
  </si>
  <si>
    <t>002907</t>
  </si>
  <si>
    <t>002922</t>
  </si>
  <si>
    <t>002937</t>
  </si>
  <si>
    <t>Irma Sari</t>
  </si>
  <si>
    <t>Murni Arliani</t>
  </si>
  <si>
    <t>Abdul Hadi</t>
  </si>
  <si>
    <t>Jailani</t>
  </si>
  <si>
    <t>Mursidah</t>
  </si>
  <si>
    <t>Karlina</t>
  </si>
  <si>
    <t>Iwan Juwarto</t>
  </si>
  <si>
    <t>BPTDN/03/I/2018</t>
  </si>
  <si>
    <t>Kuala Pembuang, 04 Januari  2018</t>
  </si>
  <si>
    <t>A. Asnad Hf</t>
  </si>
  <si>
    <t>Taufik Amirullah</t>
  </si>
  <si>
    <t>H. Suryadi</t>
  </si>
  <si>
    <t>Uda Ali</t>
  </si>
  <si>
    <t>Sukarnadi</t>
  </si>
  <si>
    <t>Anang Yusrani</t>
  </si>
  <si>
    <t>000133</t>
  </si>
  <si>
    <t>000233</t>
  </si>
  <si>
    <t>000237</t>
  </si>
  <si>
    <t>000250</t>
  </si>
  <si>
    <t>000294</t>
  </si>
  <si>
    <t>000358</t>
  </si>
  <si>
    <t>000493</t>
  </si>
  <si>
    <t>000582</t>
  </si>
  <si>
    <t>000650</t>
  </si>
  <si>
    <t>000680</t>
  </si>
  <si>
    <t>000755</t>
  </si>
  <si>
    <t>000888</t>
  </si>
  <si>
    <t>000898</t>
  </si>
  <si>
    <t>000900</t>
  </si>
  <si>
    <t>Eka Damayanti</t>
  </si>
  <si>
    <t>Supardi</t>
  </si>
  <si>
    <t>Andi Aswita A</t>
  </si>
  <si>
    <t>Darwis, S. Pt</t>
  </si>
  <si>
    <t>Mardiono</t>
  </si>
  <si>
    <t>Mas Ud</t>
  </si>
  <si>
    <t>Lamiang</t>
  </si>
  <si>
    <t>Eva Norpadiah</t>
  </si>
  <si>
    <t>Amat</t>
  </si>
  <si>
    <t>Tuwo</t>
  </si>
  <si>
    <t>Suliyani</t>
  </si>
  <si>
    <t>Heriyanto C</t>
  </si>
  <si>
    <t>Utomo G</t>
  </si>
  <si>
    <t>Markasan</t>
  </si>
  <si>
    <t>Fahrani</t>
  </si>
  <si>
    <t>Timan Sugio</t>
  </si>
  <si>
    <t>M. Yusup</t>
  </si>
  <si>
    <t>Ir. Tarwidi Tamasyaputra</t>
  </si>
  <si>
    <t>Iskandar Ahwiar</t>
  </si>
  <si>
    <t>000937</t>
  </si>
  <si>
    <t>000940</t>
  </si>
  <si>
    <t>000947</t>
  </si>
  <si>
    <t>001023</t>
  </si>
  <si>
    <t>001095</t>
  </si>
  <si>
    <t>001107</t>
  </si>
  <si>
    <t>001133</t>
  </si>
  <si>
    <t>001151</t>
  </si>
  <si>
    <t>001165</t>
  </si>
  <si>
    <t>001226</t>
  </si>
  <si>
    <t>001227</t>
  </si>
  <si>
    <t>001453</t>
  </si>
  <si>
    <t>001498</t>
  </si>
  <si>
    <t>001533</t>
  </si>
  <si>
    <t>001689</t>
  </si>
  <si>
    <t>001755</t>
  </si>
  <si>
    <t>001756</t>
  </si>
  <si>
    <t>001811</t>
  </si>
  <si>
    <t>001821</t>
  </si>
  <si>
    <t>001857</t>
  </si>
  <si>
    <t>001858</t>
  </si>
  <si>
    <t>001869</t>
  </si>
  <si>
    <t>001954</t>
  </si>
  <si>
    <t>002027</t>
  </si>
  <si>
    <t>Abbas Sugianto C</t>
  </si>
  <si>
    <t>Emeli Susana Triana B</t>
  </si>
  <si>
    <t>Muhammad Arsyad, S. Sos</t>
  </si>
  <si>
    <t>Suhaimi</t>
  </si>
  <si>
    <t>Rohana</t>
  </si>
  <si>
    <t>Bambang Murdianto</t>
  </si>
  <si>
    <t>Kawi</t>
  </si>
  <si>
    <t>SDN Pematang Limau</t>
  </si>
  <si>
    <t>Wasin</t>
  </si>
  <si>
    <t>Marniah</t>
  </si>
  <si>
    <t>Asiah</t>
  </si>
  <si>
    <t>Mirhanudin</t>
  </si>
  <si>
    <t>Widiastuty C</t>
  </si>
  <si>
    <t>Heru Wijaya</t>
  </si>
  <si>
    <t>Madhonen</t>
  </si>
  <si>
    <t>Romadhon</t>
  </si>
  <si>
    <t>Mulyani</t>
  </si>
  <si>
    <t>Sugianto</t>
  </si>
  <si>
    <t>Amrullah</t>
  </si>
  <si>
    <t>Abdul Mukti</t>
  </si>
  <si>
    <t>002035</t>
  </si>
  <si>
    <t>002501</t>
  </si>
  <si>
    <t>002532</t>
  </si>
  <si>
    <t>002568</t>
  </si>
  <si>
    <t>002575</t>
  </si>
  <si>
    <t>002577</t>
  </si>
  <si>
    <t>002609</t>
  </si>
  <si>
    <t>002631</t>
  </si>
  <si>
    <t>002780</t>
  </si>
  <si>
    <t>002784</t>
  </si>
  <si>
    <t>002841</t>
  </si>
  <si>
    <t>002842</t>
  </si>
  <si>
    <t>Bianto, S. Pd</t>
  </si>
  <si>
    <t>Hj. Dariyani</t>
  </si>
  <si>
    <t>Liyanti</t>
  </si>
  <si>
    <t>Saiful Darahim</t>
  </si>
  <si>
    <t>BPTDN/04/I/2018</t>
  </si>
  <si>
    <t>Kuala Pembuang, 05 Januari  2018</t>
  </si>
  <si>
    <t>Anang Mukri</t>
  </si>
  <si>
    <t>H. Asnad HA</t>
  </si>
  <si>
    <t>Raden s</t>
  </si>
  <si>
    <t>H. Khairil Anwar</t>
  </si>
  <si>
    <t>Ahmadin</t>
  </si>
  <si>
    <t>Rachmad</t>
  </si>
  <si>
    <t>Siti Rahmah</t>
  </si>
  <si>
    <t>000036</t>
  </si>
  <si>
    <t>000058</t>
  </si>
  <si>
    <t>000138</t>
  </si>
  <si>
    <t>000207</t>
  </si>
  <si>
    <t>000284</t>
  </si>
  <si>
    <t>000494</t>
  </si>
  <si>
    <t>000642</t>
  </si>
  <si>
    <t>000652</t>
  </si>
  <si>
    <t>000761</t>
  </si>
  <si>
    <t>001118</t>
  </si>
  <si>
    <t>001207</t>
  </si>
  <si>
    <t>001221</t>
  </si>
  <si>
    <t>001480</t>
  </si>
  <si>
    <t>001544</t>
  </si>
  <si>
    <t>001552</t>
  </si>
  <si>
    <t>001570</t>
  </si>
  <si>
    <t>Ribut Riwayanto</t>
  </si>
  <si>
    <t>I Gusti Ayu Swasti I</t>
  </si>
  <si>
    <t>Hairil Anwar, SE</t>
  </si>
  <si>
    <t>Muthmainnah</t>
  </si>
  <si>
    <t>H. Matlim A</t>
  </si>
  <si>
    <t>Arsiah</t>
  </si>
  <si>
    <t>Effendyansyah</t>
  </si>
  <si>
    <t>Nur Jasmani</t>
  </si>
  <si>
    <t>Ihar</t>
  </si>
  <si>
    <t>Sri Wahyu Setia M, SE</t>
  </si>
  <si>
    <t>Helfiana</t>
  </si>
  <si>
    <t>Bambang Kiswanto</t>
  </si>
  <si>
    <t>Ariyan</t>
  </si>
  <si>
    <t>Indera</t>
  </si>
  <si>
    <t>Saihasbah</t>
  </si>
  <si>
    <t>Murjani</t>
  </si>
  <si>
    <t>Alek</t>
  </si>
  <si>
    <t>Saidun</t>
  </si>
  <si>
    <t>001777</t>
  </si>
  <si>
    <t>001996</t>
  </si>
  <si>
    <t>002213</t>
  </si>
  <si>
    <t>002341</t>
  </si>
  <si>
    <t>002451</t>
  </si>
  <si>
    <t>002459</t>
  </si>
  <si>
    <t>002556</t>
  </si>
  <si>
    <t>002623</t>
  </si>
  <si>
    <t>002678</t>
  </si>
  <si>
    <t>002679</t>
  </si>
  <si>
    <t>002868</t>
  </si>
  <si>
    <t>002934</t>
  </si>
  <si>
    <t>002996</t>
  </si>
  <si>
    <t>Wiwik Ati</t>
  </si>
  <si>
    <t>Murdani, HS</t>
  </si>
  <si>
    <t>Rusliadi Djau</t>
  </si>
  <si>
    <t>Rahmadia</t>
  </si>
  <si>
    <t>BPTDN/05/I/2018</t>
  </si>
  <si>
    <t>Kuala Pembuang, 06 Januari  2018</t>
  </si>
  <si>
    <t>Ananda Stela Natasha E</t>
  </si>
  <si>
    <t>Sri Mawarni</t>
  </si>
  <si>
    <t>000306</t>
  </si>
  <si>
    <t>000564</t>
  </si>
  <si>
    <t>000970</t>
  </si>
  <si>
    <t>000973</t>
  </si>
  <si>
    <t>001075</t>
  </si>
  <si>
    <t>tatang Endriasmoro</t>
  </si>
  <si>
    <t>Anang Kustar</t>
  </si>
  <si>
    <t>Anwar Sanusi</t>
  </si>
  <si>
    <t>Deni Gunawan, Amd</t>
  </si>
  <si>
    <t>Iwan</t>
  </si>
  <si>
    <t>Zainal Abidin</t>
  </si>
  <si>
    <t>001303</t>
  </si>
  <si>
    <t>001501</t>
  </si>
  <si>
    <t>001836</t>
  </si>
  <si>
    <t>002148</t>
  </si>
  <si>
    <t>002178</t>
  </si>
  <si>
    <t>002225</t>
  </si>
  <si>
    <t>002294</t>
  </si>
  <si>
    <t>002442</t>
  </si>
  <si>
    <t>002443</t>
  </si>
  <si>
    <t>M. Yadi</t>
  </si>
  <si>
    <t>Hatmah</t>
  </si>
  <si>
    <t>Risnawati</t>
  </si>
  <si>
    <t>Ir. ILLIAS A</t>
  </si>
  <si>
    <t>Ir. Ilias B</t>
  </si>
  <si>
    <t>Ir. Ilias C</t>
  </si>
  <si>
    <t>Ir. Ilias D</t>
  </si>
  <si>
    <t>002444</t>
  </si>
  <si>
    <t>002524</t>
  </si>
  <si>
    <t>002531</t>
  </si>
  <si>
    <t>002720</t>
  </si>
  <si>
    <t>002895</t>
  </si>
  <si>
    <t>Saniati</t>
  </si>
  <si>
    <t>Ramli</t>
  </si>
  <si>
    <t>Isnawati</t>
  </si>
  <si>
    <t>Latri</t>
  </si>
  <si>
    <t>BPTDN/06/I/2018</t>
  </si>
  <si>
    <t>Kuala Pembuang, 08 Januari  2018</t>
  </si>
  <si>
    <t>Rosari Rosmanto</t>
  </si>
  <si>
    <t>Abd Siman</t>
  </si>
  <si>
    <t>Kejari II</t>
  </si>
  <si>
    <t>Estiwiyanti</t>
  </si>
  <si>
    <t>Sijanianto</t>
  </si>
  <si>
    <t>000084</t>
  </si>
  <si>
    <t>000280</t>
  </si>
  <si>
    <t>000479</t>
  </si>
  <si>
    <t>000581</t>
  </si>
  <si>
    <t>000587</t>
  </si>
  <si>
    <t>000592</t>
  </si>
  <si>
    <t>000649</t>
  </si>
  <si>
    <t>000681</t>
  </si>
  <si>
    <t>000706</t>
  </si>
  <si>
    <t>000708</t>
  </si>
  <si>
    <t>000891</t>
  </si>
  <si>
    <t>001152</t>
  </si>
  <si>
    <t>Masnawati</t>
  </si>
  <si>
    <t>Nemi Hewu</t>
  </si>
  <si>
    <t>Masrusi</t>
  </si>
  <si>
    <t>Pdt. Besel Jarias, S. Th, M. Si A</t>
  </si>
  <si>
    <t>Kejari VII</t>
  </si>
  <si>
    <t>Ktr. PERINDAGKOP</t>
  </si>
  <si>
    <t>Muhammad Riza, S. Sos</t>
  </si>
  <si>
    <t>H. Abdul Lalo H. R</t>
  </si>
  <si>
    <t>Rusmayati</t>
  </si>
  <si>
    <t>Nordin, SE</t>
  </si>
  <si>
    <t>Sugiyanto</t>
  </si>
  <si>
    <t>Tahmid</t>
  </si>
  <si>
    <t>Zauhari Rakhman</t>
  </si>
  <si>
    <t>Kaspul</t>
  </si>
  <si>
    <t>Andianto HA</t>
  </si>
  <si>
    <t>Samsyiah</t>
  </si>
  <si>
    <t>001157</t>
  </si>
  <si>
    <t>001159</t>
  </si>
  <si>
    <t>001283</t>
  </si>
  <si>
    <t>001286</t>
  </si>
  <si>
    <t>001293</t>
  </si>
  <si>
    <t>001325</t>
  </si>
  <si>
    <t>001416</t>
  </si>
  <si>
    <t>001515</t>
  </si>
  <si>
    <t>001537</t>
  </si>
  <si>
    <t>001694</t>
  </si>
  <si>
    <t>001885</t>
  </si>
  <si>
    <t>001887</t>
  </si>
  <si>
    <t>001888</t>
  </si>
  <si>
    <t>001990</t>
  </si>
  <si>
    <t>002042</t>
  </si>
  <si>
    <t>002065</t>
  </si>
  <si>
    <t>Ahmad Husairi</t>
  </si>
  <si>
    <t>Jadmiko</t>
  </si>
  <si>
    <t>Abdul Muin</t>
  </si>
  <si>
    <t>M. Sasdiannur</t>
  </si>
  <si>
    <t>Diah Kristenningrum</t>
  </si>
  <si>
    <t>Ahmad Supian</t>
  </si>
  <si>
    <t>Muhammad Imron Shalih</t>
  </si>
  <si>
    <t>Hariadi Bin H. Gapuri</t>
  </si>
  <si>
    <t>Suherman</t>
  </si>
  <si>
    <t>Diah Kristieningrum A</t>
  </si>
  <si>
    <t>Diah Kristieningrum B</t>
  </si>
  <si>
    <t>Tiur sirait</t>
  </si>
  <si>
    <t>Kurbana</t>
  </si>
  <si>
    <t>Dahlianti</t>
  </si>
  <si>
    <t>Maysarah</t>
  </si>
  <si>
    <t>002124</t>
  </si>
  <si>
    <t>002131</t>
  </si>
  <si>
    <t>002161</t>
  </si>
  <si>
    <t>002166</t>
  </si>
  <si>
    <t>002167</t>
  </si>
  <si>
    <t>002229</t>
  </si>
  <si>
    <t>002391</t>
  </si>
  <si>
    <t>002403</t>
  </si>
  <si>
    <t>002490</t>
  </si>
  <si>
    <t>002329</t>
  </si>
  <si>
    <t>002696</t>
  </si>
  <si>
    <t>002962</t>
  </si>
  <si>
    <t>Iskandar</t>
  </si>
  <si>
    <t>Muhammad Z</t>
  </si>
  <si>
    <t>Lawiyah Candra Ida Nor L</t>
  </si>
  <si>
    <t>Anang Alus</t>
  </si>
  <si>
    <t>BPTDN/07/I/2018</t>
  </si>
  <si>
    <t>Kuala Pembuang, 09 Januari  2018</t>
  </si>
  <si>
    <t>H. Matlim</t>
  </si>
  <si>
    <t>Syaipul Anwar</t>
  </si>
  <si>
    <t>Ardiansyah</t>
  </si>
  <si>
    <t>H. Arman</t>
  </si>
  <si>
    <t>Anang Karani</t>
  </si>
  <si>
    <t>Noor Cahaya</t>
  </si>
  <si>
    <t>000037</t>
  </si>
  <si>
    <t>000092</t>
  </si>
  <si>
    <t>000125</t>
  </si>
  <si>
    <t>000173</t>
  </si>
  <si>
    <t>000204</t>
  </si>
  <si>
    <t>000355</t>
  </si>
  <si>
    <t>000403</t>
  </si>
  <si>
    <t>000407</t>
  </si>
  <si>
    <t>000628</t>
  </si>
  <si>
    <t>000727</t>
  </si>
  <si>
    <t>000764</t>
  </si>
  <si>
    <t>000858</t>
  </si>
  <si>
    <t>000881</t>
  </si>
  <si>
    <t>Ibrahim Aji</t>
  </si>
  <si>
    <t>Atui</t>
  </si>
  <si>
    <t>Sri Mastutik</t>
  </si>
  <si>
    <t>Nilus Ahmad Fattah</t>
  </si>
  <si>
    <t>Sukarno</t>
  </si>
  <si>
    <t>Taufik Rahman, ST</t>
  </si>
  <si>
    <t>M. Jonet</t>
  </si>
  <si>
    <t>Sri Wati</t>
  </si>
  <si>
    <t>000774</t>
  </si>
  <si>
    <t>Budi Ihsan</t>
  </si>
  <si>
    <t>Rumdis Kabag I</t>
  </si>
  <si>
    <t>Sugian</t>
  </si>
  <si>
    <t>Septedi Ananta C</t>
  </si>
  <si>
    <t>HM. Aini Z</t>
  </si>
  <si>
    <t>Abidinsyah</t>
  </si>
  <si>
    <t>Jumiatun</t>
  </si>
  <si>
    <t>Isliyanti, A. Md Kep</t>
  </si>
  <si>
    <t>Sholikatun Nihayah</t>
  </si>
  <si>
    <t>000920</t>
  </si>
  <si>
    <t>001003</t>
  </si>
  <si>
    <t>001065</t>
  </si>
  <si>
    <t>001132</t>
  </si>
  <si>
    <t>001197</t>
  </si>
  <si>
    <t>001262</t>
  </si>
  <si>
    <t>001274</t>
  </si>
  <si>
    <t>001355</t>
  </si>
  <si>
    <t>001368</t>
  </si>
  <si>
    <t>001475</t>
  </si>
  <si>
    <t>Sitah</t>
  </si>
  <si>
    <t>Taniah</t>
  </si>
  <si>
    <t>Sri Dewi Nuryati</t>
  </si>
  <si>
    <t>Amirudin</t>
  </si>
  <si>
    <t>Al Kasah</t>
  </si>
  <si>
    <t>Maslina</t>
  </si>
  <si>
    <t>Ardi</t>
  </si>
  <si>
    <t>Khotipah</t>
  </si>
  <si>
    <t>Mira Sukamawti</t>
  </si>
  <si>
    <t>Norliana</t>
  </si>
  <si>
    <t>001505</t>
  </si>
  <si>
    <t>001514</t>
  </si>
  <si>
    <t>001560</t>
  </si>
  <si>
    <t>001592</t>
  </si>
  <si>
    <t>001637</t>
  </si>
  <si>
    <t>001676</t>
  </si>
  <si>
    <t>001743</t>
  </si>
  <si>
    <t>001754</t>
  </si>
  <si>
    <t>001726</t>
  </si>
  <si>
    <t>001995</t>
  </si>
  <si>
    <t>001812</t>
  </si>
  <si>
    <t>001999</t>
  </si>
  <si>
    <t>002108</t>
  </si>
  <si>
    <t>002120</t>
  </si>
  <si>
    <t>002153</t>
  </si>
  <si>
    <t>002191</t>
  </si>
  <si>
    <t>002224</t>
  </si>
  <si>
    <t>002393</t>
  </si>
  <si>
    <t>Nurmuhamad</t>
  </si>
  <si>
    <t>Muhammad Effendi</t>
  </si>
  <si>
    <t>Endang</t>
  </si>
  <si>
    <t>Nurhasanah</t>
  </si>
  <si>
    <t>Epi</t>
  </si>
  <si>
    <t>Nurhayati</t>
  </si>
  <si>
    <t>Iskandar AH Wior</t>
  </si>
  <si>
    <t>Ida Farida</t>
  </si>
  <si>
    <t>Usmanipol</t>
  </si>
  <si>
    <t>M. Nur Akmal Hidayat</t>
  </si>
  <si>
    <t>Sri Susilawati</t>
  </si>
  <si>
    <t>Suwarji</t>
  </si>
  <si>
    <t>Erni</t>
  </si>
  <si>
    <t>Muminah</t>
  </si>
  <si>
    <t>Riki Wira Saputra</t>
  </si>
  <si>
    <t>Eko Purwanto</t>
  </si>
  <si>
    <t>002415</t>
  </si>
  <si>
    <t>002536</t>
  </si>
  <si>
    <t>002550</t>
  </si>
  <si>
    <t>002562</t>
  </si>
  <si>
    <t>002578</t>
  </si>
  <si>
    <t>002655</t>
  </si>
  <si>
    <t>002975</t>
  </si>
  <si>
    <t>BPTDN/08/I/2018</t>
  </si>
  <si>
    <t>Kuala Pembuang, 10 Januari  2018</t>
  </si>
  <si>
    <t>Wartono</t>
  </si>
  <si>
    <t>Poniman</t>
  </si>
  <si>
    <t>H. Asnad HC</t>
  </si>
  <si>
    <t>Murie</t>
  </si>
  <si>
    <t>H. Mulyadi H</t>
  </si>
  <si>
    <t>Ahmad Bin Padli</t>
  </si>
  <si>
    <t>Zainal Aripin</t>
  </si>
  <si>
    <t>Hj. Sumarni Badius</t>
  </si>
  <si>
    <t>000060</t>
  </si>
  <si>
    <t>000061</t>
  </si>
  <si>
    <t>000076</t>
  </si>
  <si>
    <t>000090</t>
  </si>
  <si>
    <t>000108</t>
  </si>
  <si>
    <t>000174</t>
  </si>
  <si>
    <t>000177</t>
  </si>
  <si>
    <t>000198</t>
  </si>
  <si>
    <t>000231</t>
  </si>
  <si>
    <t>000356</t>
  </si>
  <si>
    <t>000359</t>
  </si>
  <si>
    <t>000391</t>
  </si>
  <si>
    <t>000490</t>
  </si>
  <si>
    <t>000495</t>
  </si>
  <si>
    <t>000560</t>
  </si>
  <si>
    <t>H. Darlen A</t>
  </si>
  <si>
    <t>Mira Yani</t>
  </si>
  <si>
    <t>Siti Nursida</t>
  </si>
  <si>
    <t>Rusmini / Iyan</t>
  </si>
  <si>
    <t>H. Darlen B</t>
  </si>
  <si>
    <t>A. Sudarji</t>
  </si>
  <si>
    <t>Adehan, SE</t>
  </si>
  <si>
    <t>Rusdi Hidayat, S. Sos</t>
  </si>
  <si>
    <t>H. Abd. Majid A</t>
  </si>
  <si>
    <t>Kantor Kec. Seruyan Hilir</t>
  </si>
  <si>
    <t>Utomo F</t>
  </si>
  <si>
    <t>Norliyantie</t>
  </si>
  <si>
    <t>Eka Yulianti A</t>
  </si>
  <si>
    <t>Rijali Hadi, S. Pd</t>
  </si>
  <si>
    <t>Noriyah</t>
  </si>
  <si>
    <t>M. Adim</t>
  </si>
  <si>
    <t>000736</t>
  </si>
  <si>
    <t>000831</t>
  </si>
  <si>
    <t>000848</t>
  </si>
  <si>
    <t>000885</t>
  </si>
  <si>
    <t>001094</t>
  </si>
  <si>
    <t>001173</t>
  </si>
  <si>
    <t>001258</t>
  </si>
  <si>
    <t>001271</t>
  </si>
  <si>
    <t>001458</t>
  </si>
  <si>
    <t>001466</t>
  </si>
  <si>
    <t>001526</t>
  </si>
  <si>
    <t>001527</t>
  </si>
  <si>
    <t>001805</t>
  </si>
  <si>
    <t>001825</t>
  </si>
  <si>
    <t>001826</t>
  </si>
  <si>
    <t>001838</t>
  </si>
  <si>
    <t>001881</t>
  </si>
  <si>
    <t>002169</t>
  </si>
  <si>
    <t>002170</t>
  </si>
  <si>
    <t>002180</t>
  </si>
  <si>
    <t>002183</t>
  </si>
  <si>
    <t>Almat Fitri Hartoni</t>
  </si>
  <si>
    <t>Dody Refany</t>
  </si>
  <si>
    <t>Rudi</t>
  </si>
  <si>
    <t>Sri Widiyawati</t>
  </si>
  <si>
    <t>Suratman</t>
  </si>
  <si>
    <t>Misnah</t>
  </si>
  <si>
    <t>Yadi</t>
  </si>
  <si>
    <t>Mujianto</t>
  </si>
  <si>
    <t>H. Ramli</t>
  </si>
  <si>
    <t>Sofia Indriyati</t>
  </si>
  <si>
    <t>Ratna</t>
  </si>
  <si>
    <t>Suwanto</t>
  </si>
  <si>
    <t>Indra Setia Budi</t>
  </si>
  <si>
    <t>Ayi Destriyani</t>
  </si>
  <si>
    <t>Hanafi</t>
  </si>
  <si>
    <t>EFENDI KARAMU</t>
  </si>
  <si>
    <t>Sunarlan</t>
  </si>
  <si>
    <t>002200</t>
  </si>
  <si>
    <t>002227</t>
  </si>
  <si>
    <t>002272</t>
  </si>
  <si>
    <t>002290</t>
  </si>
  <si>
    <t>002295</t>
  </si>
  <si>
    <t>002935</t>
  </si>
  <si>
    <t>003013</t>
  </si>
  <si>
    <t>BPTDN/09/I/2018</t>
  </si>
  <si>
    <t>Kuala Pembuang, 11 Januari  2018</t>
  </si>
  <si>
    <t>Norlia</t>
  </si>
  <si>
    <t>Iskandar Julkarnain</t>
  </si>
  <si>
    <t>Rose Anugerahni</t>
  </si>
  <si>
    <t>000520</t>
  </si>
  <si>
    <t>000609</t>
  </si>
  <si>
    <t>000729</t>
  </si>
  <si>
    <t>000779</t>
  </si>
  <si>
    <t>001004</t>
  </si>
  <si>
    <t>001123</t>
  </si>
  <si>
    <t>001239</t>
  </si>
  <si>
    <t>001556</t>
  </si>
  <si>
    <t>001582</t>
  </si>
  <si>
    <t>Dian Andini</t>
  </si>
  <si>
    <t>Rumdis Kabag II</t>
  </si>
  <si>
    <t>Salim</t>
  </si>
  <si>
    <t>Drs. Pincianto</t>
  </si>
  <si>
    <t>Samiatun</t>
  </si>
  <si>
    <t>Hartani</t>
  </si>
  <si>
    <t>Endar suminah</t>
  </si>
  <si>
    <t>Janius Gafur</t>
  </si>
  <si>
    <t>Mahdalena</t>
  </si>
  <si>
    <t>Lisnawati</t>
  </si>
  <si>
    <t>Kasrani</t>
  </si>
  <si>
    <t>001585</t>
  </si>
  <si>
    <t>001647</t>
  </si>
  <si>
    <t>001652</t>
  </si>
  <si>
    <t>002013</t>
  </si>
  <si>
    <t>002364</t>
  </si>
  <si>
    <t>002596</t>
  </si>
  <si>
    <t>002635</t>
  </si>
  <si>
    <t>002909</t>
  </si>
  <si>
    <t>002910</t>
  </si>
  <si>
    <t>002998</t>
  </si>
  <si>
    <t>Rahman</t>
  </si>
  <si>
    <t>Misnawati</t>
  </si>
  <si>
    <t>Badriansyah</t>
  </si>
  <si>
    <t>Abdul Slamet</t>
  </si>
  <si>
    <t>Gatot Dedi Setiawan</t>
  </si>
  <si>
    <t>BPTDN/10I/2018</t>
  </si>
  <si>
    <t>Kuala Pembuang, 12 Januari  2018</t>
  </si>
  <si>
    <t>H. Asnat Hijazi</t>
  </si>
  <si>
    <t>Maryanah</t>
  </si>
  <si>
    <t>Abd Rahman</t>
  </si>
  <si>
    <t>Ruspandi</t>
  </si>
  <si>
    <t>Arfah/Udin</t>
  </si>
  <si>
    <t>Nastomo</t>
  </si>
  <si>
    <t>000151</t>
  </si>
  <si>
    <t>000199</t>
  </si>
  <si>
    <t>000235</t>
  </si>
  <si>
    <t>000291</t>
  </si>
  <si>
    <t>000340</t>
  </si>
  <si>
    <t>000836</t>
  </si>
  <si>
    <t>001129</t>
  </si>
  <si>
    <t>001179</t>
  </si>
  <si>
    <t>001426</t>
  </si>
  <si>
    <t>001775</t>
  </si>
  <si>
    <t>001850</t>
  </si>
  <si>
    <t>001856</t>
  </si>
  <si>
    <t>002138</t>
  </si>
  <si>
    <t>002172</t>
  </si>
  <si>
    <t>002264</t>
  </si>
  <si>
    <t>002319</t>
  </si>
  <si>
    <t>Said Nor Loso</t>
  </si>
  <si>
    <t>Siti Mutmainah A</t>
  </si>
  <si>
    <t>Herli</t>
  </si>
  <si>
    <t>Mislawati</t>
  </si>
  <si>
    <t>Suliansyah</t>
  </si>
  <si>
    <t>Maharsi</t>
  </si>
  <si>
    <t>Karmilawati</t>
  </si>
  <si>
    <t>Sylviana Cong, SE</t>
  </si>
  <si>
    <t>Liyah</t>
  </si>
  <si>
    <t>Erik Wahyuda</t>
  </si>
  <si>
    <t>Arliani IV</t>
  </si>
  <si>
    <t>002239</t>
  </si>
  <si>
    <t>Mahlan</t>
  </si>
  <si>
    <t>002898</t>
  </si>
  <si>
    <t>BPTDN/11/I/2018</t>
  </si>
  <si>
    <t>Kuala Pembuang, 13 Januari  2018</t>
  </si>
  <si>
    <t>Wahyu Prasetyo</t>
  </si>
  <si>
    <t>Sadeli</t>
  </si>
  <si>
    <t>Solpia Sabri</t>
  </si>
  <si>
    <t>Asbidin</t>
  </si>
  <si>
    <t>Asmuni</t>
  </si>
  <si>
    <t>000393</t>
  </si>
  <si>
    <t>000463</t>
  </si>
  <si>
    <t>000518</t>
  </si>
  <si>
    <t>000541</t>
  </si>
  <si>
    <t>000606</t>
  </si>
  <si>
    <t>001016</t>
  </si>
  <si>
    <t>001142</t>
  </si>
  <si>
    <t>001162</t>
  </si>
  <si>
    <t>001312</t>
  </si>
  <si>
    <t>001359</t>
  </si>
  <si>
    <t>001417</t>
  </si>
  <si>
    <t>001788</t>
  </si>
  <si>
    <t>Mursin</t>
  </si>
  <si>
    <t>Dian Priatno</t>
  </si>
  <si>
    <t>Agus Suroso</t>
  </si>
  <si>
    <t>Janajang Ardi Nugroho</t>
  </si>
  <si>
    <t>Hadi Santoso</t>
  </si>
  <si>
    <t>Hadi Santoso B</t>
  </si>
  <si>
    <t>H. Abdul Salam</t>
  </si>
  <si>
    <t>Anang Fahrurozi</t>
  </si>
  <si>
    <t>Hadi Santoso C</t>
  </si>
  <si>
    <t>Enoy</t>
  </si>
  <si>
    <t>Linda</t>
  </si>
  <si>
    <t>Arsiah/Ais</t>
  </si>
  <si>
    <t>Misnawati A</t>
  </si>
  <si>
    <t>Rudiyanto</t>
  </si>
  <si>
    <t>Ruri Aliakbar</t>
  </si>
  <si>
    <t>M. Elly Adinata</t>
  </si>
  <si>
    <t>Eni Wodarsih</t>
  </si>
  <si>
    <t>001806</t>
  </si>
  <si>
    <t>001951</t>
  </si>
  <si>
    <t>002019</t>
  </si>
  <si>
    <t>002121</t>
  </si>
  <si>
    <t>002129</t>
  </si>
  <si>
    <t>002347</t>
  </si>
  <si>
    <t>002454</t>
  </si>
  <si>
    <t>002510</t>
  </si>
  <si>
    <t>002617</t>
  </si>
  <si>
    <t>002642</t>
  </si>
  <si>
    <t>00274</t>
  </si>
  <si>
    <t>002809</t>
  </si>
  <si>
    <t>002899</t>
  </si>
  <si>
    <t>Sumarni</t>
  </si>
  <si>
    <t>BPTDN/12/I/2018</t>
  </si>
  <si>
    <t>Kuala Pembuang, 15 Januari  2018</t>
  </si>
  <si>
    <t>Ferri</t>
  </si>
  <si>
    <t>Arifin Sobirin</t>
  </si>
  <si>
    <t>Abdul Hakim</t>
  </si>
  <si>
    <t>Rukamto</t>
  </si>
  <si>
    <t>000137</t>
  </si>
  <si>
    <t>000364</t>
  </si>
  <si>
    <t>000420</t>
  </si>
  <si>
    <t>000431</t>
  </si>
  <si>
    <t>000604</t>
  </si>
  <si>
    <t>000803</t>
  </si>
  <si>
    <t>000819</t>
  </si>
  <si>
    <t>000865</t>
  </si>
  <si>
    <t>000909</t>
  </si>
  <si>
    <t>000929</t>
  </si>
  <si>
    <t>001005</t>
  </si>
  <si>
    <t>001063</t>
  </si>
  <si>
    <t>001213</t>
  </si>
  <si>
    <t>001244</t>
  </si>
  <si>
    <t>Asad Sundari</t>
  </si>
  <si>
    <t>Hj. Nurlaila B</t>
  </si>
  <si>
    <t>Sarono</t>
  </si>
  <si>
    <t>ladi B</t>
  </si>
  <si>
    <t>Kantor Kades Persil Raya</t>
  </si>
  <si>
    <t>Mustain Ariyanto</t>
  </si>
  <si>
    <t>Wiktor, SE, MM</t>
  </si>
  <si>
    <t>Abdul Rahim</t>
  </si>
  <si>
    <t>Minarni</t>
  </si>
  <si>
    <t>Dra. Masitah D</t>
  </si>
  <si>
    <t>H. Anang Rusli</t>
  </si>
  <si>
    <t>Anang Sahrani</t>
  </si>
  <si>
    <t>Hadriansyah</t>
  </si>
  <si>
    <t>Anang Harjo</t>
  </si>
  <si>
    <t>Rudi Hartono</t>
  </si>
  <si>
    <t>Rukamto B</t>
  </si>
  <si>
    <t>Siti Murni</t>
  </si>
  <si>
    <t>Alpisah</t>
  </si>
  <si>
    <t xml:space="preserve">Hj. Nurlaila </t>
  </si>
  <si>
    <t>001289</t>
  </si>
  <si>
    <t>001378</t>
  </si>
  <si>
    <t>001496</t>
  </si>
  <si>
    <t>001571</t>
  </si>
  <si>
    <t>Ardiansyah B</t>
  </si>
  <si>
    <t>001573</t>
  </si>
  <si>
    <t>001611</t>
  </si>
  <si>
    <t>001638</t>
  </si>
  <si>
    <t>001719</t>
  </si>
  <si>
    <t>001769</t>
  </si>
  <si>
    <t>001773</t>
  </si>
  <si>
    <t>M. Yusuf</t>
  </si>
  <si>
    <t>Wahyudi</t>
  </si>
  <si>
    <t>Udin I</t>
  </si>
  <si>
    <t>M. Rafi'i</t>
  </si>
  <si>
    <t>Andrianto Puji Suro</t>
  </si>
  <si>
    <t>Neston Adilo Lombongadil</t>
  </si>
  <si>
    <t>Adam Malik</t>
  </si>
  <si>
    <t>Ktr. Kades Sei Undang</t>
  </si>
  <si>
    <t>Wakhidin Syafik</t>
  </si>
  <si>
    <t>001817</t>
  </si>
  <si>
    <t>001879</t>
  </si>
  <si>
    <t>001880</t>
  </si>
  <si>
    <t>001895</t>
  </si>
  <si>
    <t>002016</t>
  </si>
  <si>
    <t>002049</t>
  </si>
  <si>
    <t>002072</t>
  </si>
  <si>
    <t>002126</t>
  </si>
  <si>
    <t>002275</t>
  </si>
  <si>
    <t>002401</t>
  </si>
  <si>
    <t>002456</t>
  </si>
  <si>
    <t>002633</t>
  </si>
  <si>
    <t>002714</t>
  </si>
  <si>
    <t>002728</t>
  </si>
  <si>
    <t>002901</t>
  </si>
  <si>
    <t>Rahimah</t>
  </si>
  <si>
    <t>Misnari</t>
  </si>
  <si>
    <t>Abdul Muthalib</t>
  </si>
  <si>
    <t>Narti</t>
  </si>
  <si>
    <t>Hairul</t>
  </si>
  <si>
    <t>Sahminin</t>
  </si>
  <si>
    <t>BPTDN/13/I/2018</t>
  </si>
  <si>
    <t>Kuala Pembuang, 16 Januari  2018</t>
  </si>
  <si>
    <t>Hj. Siti Rahmah, ST</t>
  </si>
  <si>
    <t>Suharmin</t>
  </si>
  <si>
    <t>Birum Mawatda</t>
  </si>
  <si>
    <t>A. Majid</t>
  </si>
  <si>
    <t>000067</t>
  </si>
  <si>
    <t>000293</t>
  </si>
  <si>
    <t>000309</t>
  </si>
  <si>
    <t>000362</t>
  </si>
  <si>
    <t>000374</t>
  </si>
  <si>
    <t>000410</t>
  </si>
  <si>
    <t>000852</t>
  </si>
  <si>
    <t>000883</t>
  </si>
  <si>
    <t>000980</t>
  </si>
  <si>
    <t>Arsinah KH</t>
  </si>
  <si>
    <t>Hari Mulyadi</t>
  </si>
  <si>
    <t>H. Abd Majid B</t>
  </si>
  <si>
    <t>Milawati</t>
  </si>
  <si>
    <t>Abdi Wahyudi</t>
  </si>
  <si>
    <t>M. Arifin</t>
  </si>
  <si>
    <t>Ujiansyah</t>
  </si>
  <si>
    <t>M. Sarimudin</t>
  </si>
  <si>
    <t>Ahmad Bahtiar</t>
  </si>
  <si>
    <t>H. Athar</t>
  </si>
  <si>
    <t>Nurul Hidayah</t>
  </si>
  <si>
    <t>001406</t>
  </si>
  <si>
    <t>001575</t>
  </si>
  <si>
    <t>001602</t>
  </si>
  <si>
    <t>001620</t>
  </si>
  <si>
    <t>001696</t>
  </si>
  <si>
    <t>001721</t>
  </si>
  <si>
    <t>001740</t>
  </si>
  <si>
    <t>001761</t>
  </si>
  <si>
    <t>001763</t>
  </si>
  <si>
    <t>001771</t>
  </si>
  <si>
    <t>002197</t>
  </si>
  <si>
    <t>002250</t>
  </si>
  <si>
    <t>002699</t>
  </si>
  <si>
    <t>Jainal</t>
  </si>
  <si>
    <t>Muhamad Syahrudin</t>
  </si>
  <si>
    <t>Chafidon Noor</t>
  </si>
  <si>
    <t>Suryadi</t>
  </si>
  <si>
    <t>Misnali</t>
  </si>
  <si>
    <t>Sri Ayu Ningtyas</t>
  </si>
  <si>
    <t>M. Taufik</t>
  </si>
  <si>
    <t>Helis Mariani</t>
  </si>
  <si>
    <t>Muslimah</t>
  </si>
  <si>
    <t>Nurdin</t>
  </si>
  <si>
    <t>002762</t>
  </si>
  <si>
    <t>002896</t>
  </si>
  <si>
    <t>002985</t>
  </si>
  <si>
    <t>BPTDN/14/I/2018</t>
  </si>
  <si>
    <t>Kuala Pembuang, 17 Januari  2018</t>
  </si>
  <si>
    <t>Bambang Jaya</t>
  </si>
  <si>
    <t>Hj. Masnun</t>
  </si>
  <si>
    <t>TK Tunas Mekar</t>
  </si>
  <si>
    <t>Nuas Rupuk</t>
  </si>
  <si>
    <t>000064</t>
  </si>
  <si>
    <t>000379</t>
  </si>
  <si>
    <t>000462</t>
  </si>
  <si>
    <t>000524</t>
  </si>
  <si>
    <t>000864</t>
  </si>
  <si>
    <t>001090</t>
  </si>
  <si>
    <t>001218</t>
  </si>
  <si>
    <t>001280</t>
  </si>
  <si>
    <t>001290</t>
  </si>
  <si>
    <t>001315</t>
  </si>
  <si>
    <t>Rudiansyah</t>
  </si>
  <si>
    <t>Utomo B</t>
  </si>
  <si>
    <t>Liliyana Dewiyati</t>
  </si>
  <si>
    <t>Novi Norsanti</t>
  </si>
  <si>
    <t>Darleansyah</t>
  </si>
  <si>
    <t>Ariyanto/Ferry</t>
  </si>
  <si>
    <t>Ahmad Suryani</t>
  </si>
  <si>
    <t>Jani</t>
  </si>
  <si>
    <t>001702</t>
  </si>
  <si>
    <t>001718</t>
  </si>
  <si>
    <t>001834</t>
  </si>
  <si>
    <t>002101</t>
  </si>
  <si>
    <t>002182</t>
  </si>
  <si>
    <t>002632</t>
  </si>
  <si>
    <t>002644</t>
  </si>
  <si>
    <t>002828</t>
  </si>
  <si>
    <t>Yayuk Megawati</t>
  </si>
  <si>
    <t>Isma Wartina B</t>
  </si>
  <si>
    <t>Muhamad Jamalludin</t>
  </si>
  <si>
    <t>Denny Ojoy Kumaunang</t>
  </si>
  <si>
    <t>Ernawati</t>
  </si>
  <si>
    <t>Muhammad Ilmi</t>
  </si>
  <si>
    <t>002983</t>
  </si>
  <si>
    <t>BPTDN/15/I/2018</t>
  </si>
  <si>
    <t>Kuala Pembuang, 18 Januari  2018</t>
  </si>
  <si>
    <t>Sugianur Ruska</t>
  </si>
  <si>
    <t>Langgar Az. Zaitun</t>
  </si>
  <si>
    <t>Titok Kurdias</t>
  </si>
  <si>
    <t>Doni Taufan</t>
  </si>
  <si>
    <t>Maria O</t>
  </si>
  <si>
    <t>Burhanudin</t>
  </si>
  <si>
    <t>000081</t>
  </si>
  <si>
    <t>000416</t>
  </si>
  <si>
    <t>000786</t>
  </si>
  <si>
    <t>000801</t>
  </si>
  <si>
    <t>000813</t>
  </si>
  <si>
    <t>000822</t>
  </si>
  <si>
    <t>001357</t>
  </si>
  <si>
    <t>001452</t>
  </si>
  <si>
    <t>001572</t>
  </si>
  <si>
    <t>001619</t>
  </si>
  <si>
    <t>001627</t>
  </si>
  <si>
    <t>001661</t>
  </si>
  <si>
    <t>001679</t>
  </si>
  <si>
    <t>001814</t>
  </si>
  <si>
    <t>001891</t>
  </si>
  <si>
    <t>001906</t>
  </si>
  <si>
    <t>001907</t>
  </si>
  <si>
    <t>001947</t>
  </si>
  <si>
    <t>Hadi Santoso A</t>
  </si>
  <si>
    <t>Abbas Sugianto B</t>
  </si>
  <si>
    <t>Siti Masniah</t>
  </si>
  <si>
    <t>Fitri</t>
  </si>
  <si>
    <t>Rahmat Zibua</t>
  </si>
  <si>
    <t>M. Arsyad</t>
  </si>
  <si>
    <t>Surianso</t>
  </si>
  <si>
    <t>Rusiana</t>
  </si>
  <si>
    <t>Lamsar</t>
  </si>
  <si>
    <t>Darpolan</t>
  </si>
  <si>
    <t>Pathurahman</t>
  </si>
  <si>
    <t>Norida</t>
  </si>
  <si>
    <t>Syahruni</t>
  </si>
  <si>
    <t>Siti Hanisah</t>
  </si>
  <si>
    <t>Ir. Ilias</t>
  </si>
  <si>
    <t>Karsinah</t>
  </si>
  <si>
    <t>Yanto</t>
  </si>
  <si>
    <t>002080</t>
  </si>
  <si>
    <t>002352</t>
  </si>
  <si>
    <t>002356</t>
  </si>
  <si>
    <t>002400</t>
  </si>
  <si>
    <t>002441</t>
  </si>
  <si>
    <t>002576</t>
  </si>
  <si>
    <t>002719</t>
  </si>
  <si>
    <t>002724</t>
  </si>
  <si>
    <t>Suhaimi, SP</t>
  </si>
  <si>
    <t>Samsudin</t>
  </si>
  <si>
    <t>Ahmad Mugni</t>
  </si>
  <si>
    <t>002313</t>
  </si>
  <si>
    <t>BPTDN/16/I/2018</t>
  </si>
  <si>
    <t>Kuala Pembuang, 19 Januari  2018</t>
  </si>
  <si>
    <t>Varia Hadi Sucipto</t>
  </si>
  <si>
    <t>Jumiati</t>
  </si>
  <si>
    <t>Nursamsiah</t>
  </si>
  <si>
    <t>000020</t>
  </si>
  <si>
    <t>000201</t>
  </si>
  <si>
    <t>000365</t>
  </si>
  <si>
    <t>000540</t>
  </si>
  <si>
    <t>000310</t>
  </si>
  <si>
    <t>000546</t>
  </si>
  <si>
    <t>000655</t>
  </si>
  <si>
    <t>000763</t>
  </si>
  <si>
    <t>000814</t>
  </si>
  <si>
    <t>Fraidianto. S. Tjoa A</t>
  </si>
  <si>
    <t>Thosin</t>
  </si>
  <si>
    <t>Tintin Marlina</t>
  </si>
  <si>
    <t>Djohansyah</t>
  </si>
  <si>
    <t>Muliansyah</t>
  </si>
  <si>
    <t>Sarmawan</t>
  </si>
  <si>
    <t>Jubaidah</t>
  </si>
  <si>
    <t>Manto</t>
  </si>
  <si>
    <t>Esti Astuti</t>
  </si>
  <si>
    <t>Harsosilo</t>
  </si>
  <si>
    <t>001256</t>
  </si>
  <si>
    <t>001270</t>
  </si>
  <si>
    <t>001273</t>
  </si>
  <si>
    <t>001483</t>
  </si>
  <si>
    <t>001576</t>
  </si>
  <si>
    <t>001798</t>
  </si>
  <si>
    <t>001819</t>
  </si>
  <si>
    <t>001854</t>
  </si>
  <si>
    <t>002093</t>
  </si>
  <si>
    <t>002135</t>
  </si>
  <si>
    <t>002146</t>
  </si>
  <si>
    <t>002464</t>
  </si>
  <si>
    <t>Nurul Salamah</t>
  </si>
  <si>
    <t>TK. Noor Raudah</t>
  </si>
  <si>
    <t>Ida Dwi Wulandari</t>
  </si>
  <si>
    <t>A. Atong / Arnian</t>
  </si>
  <si>
    <t>Asnad Zukhairi</t>
  </si>
  <si>
    <t>Suhar Ariyanto</t>
  </si>
  <si>
    <t>002470</t>
  </si>
  <si>
    <t>002917</t>
  </si>
  <si>
    <t>002944</t>
  </si>
  <si>
    <t>BPTDN/17/I/2018</t>
  </si>
  <si>
    <t>Kuala Pembuang, 20 Januari  2018</t>
  </si>
  <si>
    <t>Hairudi</t>
  </si>
  <si>
    <t>Darmani</t>
  </si>
  <si>
    <t>Abdul Rahman</t>
  </si>
  <si>
    <t>000180</t>
  </si>
  <si>
    <t>000427</t>
  </si>
  <si>
    <t>000944</t>
  </si>
  <si>
    <t>001297</t>
  </si>
  <si>
    <t>001606</t>
  </si>
  <si>
    <t>001701</t>
  </si>
  <si>
    <t>001733</t>
  </si>
  <si>
    <t>H. Anang Maskuni F</t>
  </si>
  <si>
    <t>Anwari</t>
  </si>
  <si>
    <t>Nuryanah</t>
  </si>
  <si>
    <t>Nanang AC</t>
  </si>
  <si>
    <t>Sumanto</t>
  </si>
  <si>
    <t>Benny Gusti Widodo</t>
  </si>
  <si>
    <t>Berrie</t>
  </si>
  <si>
    <t>Arif Kurniawan</t>
  </si>
  <si>
    <t>Saipul</t>
  </si>
  <si>
    <t>Alan Nuari</t>
  </si>
  <si>
    <t>Hamnah</t>
  </si>
  <si>
    <t>Rahmat, S. Pt</t>
  </si>
  <si>
    <t>0002056</t>
  </si>
  <si>
    <t>002437</t>
  </si>
  <si>
    <t>002586</t>
  </si>
  <si>
    <t>002735</t>
  </si>
  <si>
    <t>002851</t>
  </si>
  <si>
    <t>002855</t>
  </si>
  <si>
    <t>002856</t>
  </si>
  <si>
    <t>002873</t>
  </si>
  <si>
    <t>BPTDN/18/I/2018</t>
  </si>
  <si>
    <t>Kuala Pembuang, 22 Januari  2018</t>
  </si>
  <si>
    <t>H.A Rahman</t>
  </si>
  <si>
    <t>H. Junaidi</t>
  </si>
  <si>
    <t>Perak Kumara</t>
  </si>
  <si>
    <t>H. Tata</t>
  </si>
  <si>
    <t>Hendri Udi Nirwan</t>
  </si>
  <si>
    <t>Syukrani, SP</t>
  </si>
  <si>
    <t>000106</t>
  </si>
  <si>
    <t>000107</t>
  </si>
  <si>
    <t>000223</t>
  </si>
  <si>
    <t>000230</t>
  </si>
  <si>
    <t>000239</t>
  </si>
  <si>
    <t>000241</t>
  </si>
  <si>
    <t>000285</t>
  </si>
  <si>
    <t>000670</t>
  </si>
  <si>
    <t>000725</t>
  </si>
  <si>
    <t>001316</t>
  </si>
  <si>
    <t>001495</t>
  </si>
  <si>
    <t>001555</t>
  </si>
  <si>
    <t>001662</t>
  </si>
  <si>
    <t>001663</t>
  </si>
  <si>
    <t>Fraidianto S. Tjoa A</t>
  </si>
  <si>
    <t>Ktr Dinas Kesbang</t>
  </si>
  <si>
    <t>M. Gultom</t>
  </si>
  <si>
    <t>Heribardy, S. Hut</t>
  </si>
  <si>
    <t>M. Jafar</t>
  </si>
  <si>
    <t>M. Arsad</t>
  </si>
  <si>
    <t>Rusni</t>
  </si>
  <si>
    <t>Asradin</t>
  </si>
  <si>
    <t>Burhan D</t>
  </si>
  <si>
    <t>Zainul Abidn, ST</t>
  </si>
  <si>
    <t>Anisa</t>
  </si>
  <si>
    <t>Romi</t>
  </si>
  <si>
    <t>Asmita</t>
  </si>
  <si>
    <t>001782</t>
  </si>
  <si>
    <t>001873</t>
  </si>
  <si>
    <t>002230</t>
  </si>
  <si>
    <t>002300</t>
  </si>
  <si>
    <t>002481</t>
  </si>
  <si>
    <t>002615</t>
  </si>
  <si>
    <t>002658</t>
  </si>
  <si>
    <t>Sumiyati</t>
  </si>
  <si>
    <t>002939</t>
  </si>
  <si>
    <t>Herliana</t>
  </si>
  <si>
    <t>BPTDN/19/I/2018</t>
  </si>
  <si>
    <t>Kuala Pembuang, 23 Januari  2018</t>
  </si>
  <si>
    <t>Raudatul Adawiyah</t>
  </si>
  <si>
    <t>Yusmansyah</t>
  </si>
  <si>
    <t>SAT TAHTI POLRES Seruyan</t>
  </si>
  <si>
    <t>Kantor POLRES</t>
  </si>
  <si>
    <t>Narkam</t>
  </si>
  <si>
    <t>Junaidi</t>
  </si>
  <si>
    <t>Herwati</t>
  </si>
  <si>
    <t>Asep Ahmad Hidayat</t>
  </si>
  <si>
    <t>Imus</t>
  </si>
  <si>
    <t>Edi Anton</t>
  </si>
  <si>
    <t>Hasbi As Sidiq</t>
  </si>
  <si>
    <t>000129</t>
  </si>
  <si>
    <t>000319</t>
  </si>
  <si>
    <t>000392</t>
  </si>
  <si>
    <t>000577</t>
  </si>
  <si>
    <t>000860</t>
  </si>
  <si>
    <t>000871</t>
  </si>
  <si>
    <t>001261</t>
  </si>
  <si>
    <t>001841</t>
  </si>
  <si>
    <t>002032</t>
  </si>
  <si>
    <t>002105</t>
  </si>
  <si>
    <t>002884</t>
  </si>
  <si>
    <t>002967</t>
  </si>
  <si>
    <t>H. Rusliadi</t>
  </si>
  <si>
    <t>Sumiati/Asnawi</t>
  </si>
  <si>
    <t>Andreas Wahyudi</t>
  </si>
  <si>
    <t>M. Yamani, ST</t>
  </si>
  <si>
    <t>Zainudin A</t>
  </si>
  <si>
    <t>HM. Murjikinsyah H</t>
  </si>
  <si>
    <t>HM. Murjikinsyah I</t>
  </si>
  <si>
    <t>M. Halikinnoor</t>
  </si>
  <si>
    <t>Ismaniah</t>
  </si>
  <si>
    <t>Wawan Herianto</t>
  </si>
  <si>
    <t>M. Fahruraji, S. Pi</t>
  </si>
  <si>
    <t>Bambang Riswanto</t>
  </si>
  <si>
    <t>Salafudin</t>
  </si>
  <si>
    <t>000146</t>
  </si>
  <si>
    <t>000264</t>
  </si>
  <si>
    <t>000442</t>
  </si>
  <si>
    <t>000580</t>
  </si>
  <si>
    <t>000601</t>
  </si>
  <si>
    <t>000612</t>
  </si>
  <si>
    <t>000613</t>
  </si>
  <si>
    <t>000693</t>
  </si>
  <si>
    <t>000694</t>
  </si>
  <si>
    <t>000696</t>
  </si>
  <si>
    <t>000698</t>
  </si>
  <si>
    <t>000731</t>
  </si>
  <si>
    <t>000874</t>
  </si>
  <si>
    <t>000901</t>
  </si>
  <si>
    <t>000905</t>
  </si>
  <si>
    <t>000941</t>
  </si>
  <si>
    <t>001041</t>
  </si>
  <si>
    <t>001051</t>
  </si>
  <si>
    <t>001059</t>
  </si>
  <si>
    <t>001166</t>
  </si>
  <si>
    <t>001181</t>
  </si>
  <si>
    <t>001275</t>
  </si>
  <si>
    <t>001387</t>
  </si>
  <si>
    <t>001531</t>
  </si>
  <si>
    <t>001813</t>
  </si>
  <si>
    <t>001944</t>
  </si>
  <si>
    <t>001956</t>
  </si>
  <si>
    <t>002066</t>
  </si>
  <si>
    <t>002086</t>
  </si>
  <si>
    <t>002218</t>
  </si>
  <si>
    <t>002284</t>
  </si>
  <si>
    <t>002339</t>
  </si>
  <si>
    <t>002348</t>
  </si>
  <si>
    <t>002450</t>
  </si>
  <si>
    <t>002522</t>
  </si>
  <si>
    <t>002588</t>
  </si>
  <si>
    <t>002598</t>
  </si>
  <si>
    <t>002618</t>
  </si>
  <si>
    <t>002739</t>
  </si>
  <si>
    <t>002806</t>
  </si>
  <si>
    <t>Nonong</t>
  </si>
  <si>
    <t>Emeli Susana Triana A</t>
  </si>
  <si>
    <t>Kusmiran</t>
  </si>
  <si>
    <t>Anang Kadir A</t>
  </si>
  <si>
    <t>Supiansyah</t>
  </si>
  <si>
    <t>Ruslianto</t>
  </si>
  <si>
    <t>Apah</t>
  </si>
  <si>
    <t>Siti Mutmainah C</t>
  </si>
  <si>
    <t>Anang Kusumayadi</t>
  </si>
  <si>
    <t>Zainudin B</t>
  </si>
  <si>
    <t>Anisyah</t>
  </si>
  <si>
    <t>Budiman</t>
  </si>
  <si>
    <t>Suhardi</t>
  </si>
  <si>
    <t>Sulistyorini</t>
  </si>
  <si>
    <t>Syamsudinnoor</t>
  </si>
  <si>
    <t>Pri Ramli</t>
  </si>
  <si>
    <t>Galuh</t>
  </si>
  <si>
    <t>Yuliana</t>
  </si>
  <si>
    <t>Mahalijah</t>
  </si>
  <si>
    <t>Mulyadi, S. Pd</t>
  </si>
  <si>
    <t>Rumdis BPKAD I</t>
  </si>
  <si>
    <t>Masyati</t>
  </si>
  <si>
    <t>Dewi Susanti</t>
  </si>
  <si>
    <t>Suparman</t>
  </si>
  <si>
    <t>002854</t>
  </si>
  <si>
    <t>002897</t>
  </si>
  <si>
    <t>002900</t>
  </si>
  <si>
    <t>002960</t>
  </si>
  <si>
    <t>002961</t>
  </si>
  <si>
    <t>002968</t>
  </si>
  <si>
    <t>Arbaenah</t>
  </si>
  <si>
    <t>Asrifah</t>
  </si>
  <si>
    <t>Marsinah</t>
  </si>
  <si>
    <t>Sadimah</t>
  </si>
  <si>
    <t>Sawidah</t>
  </si>
  <si>
    <t>BPTDN/20/I/2018</t>
  </si>
  <si>
    <t>Said Ahmad</t>
  </si>
  <si>
    <t>Ir. Pieter Manginte</t>
  </si>
  <si>
    <t>Abdurrahman Fajari</t>
  </si>
  <si>
    <t>Jubai Idah/Ataw</t>
  </si>
  <si>
    <t>Dra. Masitah A</t>
  </si>
  <si>
    <t>Dra. Masitah B</t>
  </si>
  <si>
    <t>Dra. Masitah C</t>
  </si>
  <si>
    <t>Ihsanudin</t>
  </si>
  <si>
    <t>Hj. Maryana</t>
  </si>
  <si>
    <t>Budi</t>
  </si>
  <si>
    <t>Saniah B</t>
  </si>
  <si>
    <t>Ali Rahman</t>
  </si>
  <si>
    <t>H. Katdri</t>
  </si>
  <si>
    <t>000292</t>
  </si>
  <si>
    <t>000528</t>
  </si>
  <si>
    <t>000968</t>
  </si>
  <si>
    <t>001046</t>
  </si>
  <si>
    <t>001240</t>
  </si>
  <si>
    <t>001242</t>
  </si>
  <si>
    <t>001243</t>
  </si>
  <si>
    <t>001485</t>
  </si>
  <si>
    <t>001486</t>
  </si>
  <si>
    <t>001487</t>
  </si>
  <si>
    <t>001500</t>
  </si>
  <si>
    <t>001535</t>
  </si>
  <si>
    <t>001664</t>
  </si>
  <si>
    <t>001697</t>
  </si>
  <si>
    <t>002196</t>
  </si>
  <si>
    <t>002281</t>
  </si>
  <si>
    <t>002715</t>
  </si>
  <si>
    <t>002802</t>
  </si>
  <si>
    <t>002805</t>
  </si>
  <si>
    <t>002877</t>
  </si>
  <si>
    <t>002893</t>
  </si>
  <si>
    <t>002942</t>
  </si>
  <si>
    <t>002974</t>
  </si>
  <si>
    <t>Budi Rahman, SIP</t>
  </si>
  <si>
    <t>M. Gendol</t>
  </si>
  <si>
    <t>Mariana</t>
  </si>
  <si>
    <t>M. Nurdiansyah</t>
  </si>
  <si>
    <t>Siti Islamiah</t>
  </si>
  <si>
    <t>Mahidin</t>
  </si>
  <si>
    <t>Hadi Yanor</t>
  </si>
  <si>
    <t>Siti Saimah</t>
  </si>
  <si>
    <t>BPTDN/21/I/2018</t>
  </si>
  <si>
    <t>Kuala Pembuang, 24 Januari  2018</t>
  </si>
  <si>
    <t>Kuala Pembuang, 25 Januari  2018</t>
  </si>
  <si>
    <t>HA. Mulyadi</t>
  </si>
  <si>
    <t>Sri Susanti</t>
  </si>
  <si>
    <t>Yunita Priyana</t>
  </si>
  <si>
    <t>Pujiati</t>
  </si>
  <si>
    <t>Muhammad Subahan</t>
  </si>
  <si>
    <t>000144</t>
  </si>
  <si>
    <t>001048</t>
  </si>
  <si>
    <t>001304</t>
  </si>
  <si>
    <t>002026</t>
  </si>
  <si>
    <t>002202</t>
  </si>
  <si>
    <t>002424</t>
  </si>
  <si>
    <t>002652</t>
  </si>
  <si>
    <t>BPTDN/22/I/2018</t>
  </si>
  <si>
    <t>Kuala Pembuang, 27 Januari  2018</t>
  </si>
  <si>
    <t>Kuala Pembuang, 26 Januari  2018</t>
  </si>
  <si>
    <t>Hj. Tristianti B</t>
  </si>
  <si>
    <t>Said Hasan</t>
  </si>
  <si>
    <t>Molyani</t>
  </si>
  <si>
    <t>Mulyadi/ Ilam</t>
  </si>
  <si>
    <t>Denni Basuki Rahmant</t>
  </si>
  <si>
    <t>Adyanto Eko Prasetyo</t>
  </si>
  <si>
    <t>Warno Joes</t>
  </si>
  <si>
    <t>M. Syahliannoor</t>
  </si>
  <si>
    <t>Sodikin</t>
  </si>
  <si>
    <t>000570</t>
  </si>
  <si>
    <t>000794</t>
  </si>
  <si>
    <t>000965</t>
  </si>
  <si>
    <t>001983</t>
  </si>
  <si>
    <t>002083</t>
  </si>
  <si>
    <t>002119</t>
  </si>
  <si>
    <t>002184</t>
  </si>
  <si>
    <t>002957</t>
  </si>
  <si>
    <t>002970</t>
  </si>
  <si>
    <t>BPTDN/23/I/2018</t>
  </si>
  <si>
    <t>BPTDN/24/I/2018</t>
  </si>
  <si>
    <t>Kuala Pembuang, 29 Januari  2018</t>
  </si>
  <si>
    <t>H. Syamsudin</t>
  </si>
  <si>
    <t>Syamsuri</t>
  </si>
  <si>
    <t>Fauzan</t>
  </si>
  <si>
    <t>Uhar</t>
  </si>
  <si>
    <t>Barak Polwan Seruyan II</t>
  </si>
  <si>
    <t>H. Matlim C</t>
  </si>
  <si>
    <t>Masa Onah</t>
  </si>
  <si>
    <t>Eka Yulianti B</t>
  </si>
  <si>
    <t>M. Ridwan</t>
  </si>
  <si>
    <t>Asmari</t>
  </si>
  <si>
    <t>Nirwana</t>
  </si>
  <si>
    <t>000024</t>
  </si>
  <si>
    <t>000135</t>
  </si>
  <si>
    <t>000226</t>
  </si>
  <si>
    <t>000328</t>
  </si>
  <si>
    <t>000470</t>
  </si>
  <si>
    <t>001223</t>
  </si>
  <si>
    <t>001235</t>
  </si>
  <si>
    <t>001259</t>
  </si>
  <si>
    <t>001263</t>
  </si>
  <si>
    <t>001614</t>
  </si>
  <si>
    <t>001815</t>
  </si>
  <si>
    <t>001816</t>
  </si>
  <si>
    <t>Suparlin</t>
  </si>
  <si>
    <t>Budiansyah</t>
  </si>
  <si>
    <t>Arliani II</t>
  </si>
  <si>
    <t>Syarifah Elmyah</t>
  </si>
  <si>
    <t>Anwar</t>
  </si>
  <si>
    <t>HERIYANSYAH</t>
  </si>
  <si>
    <t>001863</t>
  </si>
  <si>
    <t>002116</t>
  </si>
  <si>
    <t>002317</t>
  </si>
  <si>
    <t>002591</t>
  </si>
  <si>
    <t>002965</t>
  </si>
  <si>
    <t>003005</t>
  </si>
  <si>
    <t>BPTDN/25/I/2018</t>
  </si>
  <si>
    <t>Kuala Pembuang, 30 Januari  2018</t>
  </si>
  <si>
    <t>Fitriah</t>
  </si>
  <si>
    <t>Sri Idawati, Min</t>
  </si>
  <si>
    <t>Siti Arumiyati</t>
  </si>
  <si>
    <t>Ayu</t>
  </si>
  <si>
    <t>Arif Habibillah</t>
  </si>
  <si>
    <t>Zainal Ardiansyah</t>
  </si>
  <si>
    <t>000404</t>
  </si>
  <si>
    <t>000489</t>
  </si>
  <si>
    <t>001650</t>
  </si>
  <si>
    <t>002103</t>
  </si>
  <si>
    <t>002363</t>
  </si>
  <si>
    <t>002423</t>
  </si>
  <si>
    <t>002871</t>
  </si>
  <si>
    <t>BPTDN/26/I/2018</t>
  </si>
  <si>
    <t>Kuala Pembuang, 31 Januari  2018</t>
  </si>
  <si>
    <t>H. Bukeransyah Effendy</t>
  </si>
  <si>
    <t>Bukeransyah Eff</t>
  </si>
  <si>
    <t>Hasan Basri</t>
  </si>
  <si>
    <t>Sugiono/Muhiri</t>
  </si>
  <si>
    <t>H. Bukransyah E</t>
  </si>
  <si>
    <t>H. Bukransyah Effendi</t>
  </si>
  <si>
    <t>Marlina</t>
  </si>
  <si>
    <t>Maulidinnor HAS</t>
  </si>
  <si>
    <t>Bupirahman</t>
  </si>
  <si>
    <t>Hj. Rusnah B</t>
  </si>
  <si>
    <t>Indra Jaya</t>
  </si>
  <si>
    <t>Erma Susilo</t>
  </si>
  <si>
    <t>Bayu Nugraha</t>
  </si>
  <si>
    <t>000115</t>
  </si>
  <si>
    <t>000162</t>
  </si>
  <si>
    <t>000166</t>
  </si>
  <si>
    <t>000370</t>
  </si>
  <si>
    <t>000390</t>
  </si>
  <si>
    <t>000584</t>
  </si>
  <si>
    <t>000707</t>
  </si>
  <si>
    <t>000747</t>
  </si>
  <si>
    <t>001057</t>
  </si>
  <si>
    <t>002048</t>
  </si>
  <si>
    <t>002050</t>
  </si>
  <si>
    <t>002149</t>
  </si>
  <si>
    <t>002189</t>
  </si>
  <si>
    <t>002278</t>
  </si>
  <si>
    <t>002316</t>
  </si>
  <si>
    <t>002324</t>
  </si>
  <si>
    <t>002489</t>
  </si>
  <si>
    <t>002493</t>
  </si>
  <si>
    <t>002495</t>
  </si>
  <si>
    <t>002497</t>
  </si>
  <si>
    <t>002764</t>
  </si>
  <si>
    <t>003022</t>
  </si>
  <si>
    <t>003023</t>
  </si>
  <si>
    <t>003024</t>
  </si>
  <si>
    <t>003025</t>
  </si>
  <si>
    <t>Edi Supian, S. Pd</t>
  </si>
  <si>
    <t>Mega Ayu Lestari</t>
  </si>
  <si>
    <t>Mahda Emilia</t>
  </si>
  <si>
    <t>Hj. Rusnah I</t>
  </si>
  <si>
    <t>Bupi Rahman</t>
  </si>
  <si>
    <t>HJ. RUSNAH A.I</t>
  </si>
  <si>
    <t>HJ. RUSNAH B.II</t>
  </si>
  <si>
    <t>HJ. RUSNAH C.III</t>
  </si>
  <si>
    <t>HJ. RUSNAH D.IV</t>
  </si>
  <si>
    <t>BPTDN/01/II/2018</t>
  </si>
  <si>
    <t>Kuala Pembuang, 01 Februari  2018</t>
  </si>
  <si>
    <t>Reinal K. Sihete</t>
  </si>
  <si>
    <t>Ali Sadikin</t>
  </si>
  <si>
    <t>Nikawati</t>
  </si>
  <si>
    <t>000101</t>
  </si>
  <si>
    <t>000709</t>
  </si>
  <si>
    <t>000912</t>
  </si>
  <si>
    <t>000958</t>
  </si>
  <si>
    <t>001361</t>
  </si>
  <si>
    <t>Irwan Prasasti</t>
  </si>
  <si>
    <t>Sadiah Rusdianti</t>
  </si>
  <si>
    <t>Kadriansyah</t>
  </si>
  <si>
    <t>Akhmad Ramdani</t>
  </si>
  <si>
    <t>Ice S. Pd. K</t>
  </si>
  <si>
    <t>Zainal Alpiansyah</t>
  </si>
  <si>
    <t>Ugin Setyorini</t>
  </si>
  <si>
    <t>002259</t>
  </si>
  <si>
    <t>002326</t>
  </si>
  <si>
    <t>002425</t>
  </si>
  <si>
    <t>002469</t>
  </si>
  <si>
    <t>002638</t>
  </si>
  <si>
    <t>002943</t>
  </si>
  <si>
    <t>Subilal</t>
  </si>
  <si>
    <t>BPTDN/02/II/2018</t>
  </si>
  <si>
    <t>Kuala Pembuang, 02 Februari  2018</t>
  </si>
  <si>
    <t>H. Bahtiar Lubis</t>
  </si>
  <si>
    <t>Hengky</t>
  </si>
  <si>
    <t>A. Soeharto</t>
  </si>
  <si>
    <t>000839</t>
  </si>
  <si>
    <t>000897</t>
  </si>
  <si>
    <t>001054</t>
  </si>
  <si>
    <t>002094</t>
  </si>
  <si>
    <t>002261</t>
  </si>
  <si>
    <t>002274</t>
  </si>
  <si>
    <t>002707</t>
  </si>
  <si>
    <t>Asep Suganda</t>
  </si>
  <si>
    <t>Hadi Yansyah</t>
  </si>
  <si>
    <t>Muh Indra Fajar</t>
  </si>
  <si>
    <t>Iyas</t>
  </si>
  <si>
    <t>BPTDN/03/II/2018</t>
  </si>
  <si>
    <t>Kuala Pembuang, 03 Februari  2018</t>
  </si>
  <si>
    <t>Harta Aji</t>
  </si>
  <si>
    <t>Harjanto F</t>
  </si>
  <si>
    <t>Didik Nurhadi Prayitno</t>
  </si>
  <si>
    <t>Irwan Siswanto</t>
  </si>
  <si>
    <t>Ilunawati</t>
  </si>
  <si>
    <t>Paguyuban Wargo MK (PWMK)</t>
  </si>
  <si>
    <t>Sumiati</t>
  </si>
  <si>
    <t>000452</t>
  </si>
  <si>
    <t>000785</t>
  </si>
  <si>
    <t>001038</t>
  </si>
  <si>
    <t>001163</t>
  </si>
  <si>
    <t>002140</t>
  </si>
  <si>
    <t>002297</t>
  </si>
  <si>
    <t>002593</t>
  </si>
  <si>
    <t>002702</t>
  </si>
  <si>
    <t>002703</t>
  </si>
  <si>
    <t>002705</t>
  </si>
  <si>
    <t>002995</t>
  </si>
  <si>
    <t>Dewi</t>
  </si>
  <si>
    <t>A. Jailani</t>
  </si>
  <si>
    <t>Norzanah</t>
  </si>
  <si>
    <t>Muhammad Rafi'i</t>
  </si>
  <si>
    <t>001340</t>
  </si>
  <si>
    <t>Warsino</t>
  </si>
  <si>
    <t>Tidak Ada Transaksi Penerimaan Rek. Air</t>
  </si>
  <si>
    <t>BPTDN/04/II/2018</t>
  </si>
  <si>
    <t>Kuala Pembuang, 05 Februari  2018</t>
  </si>
  <si>
    <t>Tidak Ada Transaksi</t>
  </si>
  <si>
    <t>BPTDN/05/II/2018</t>
  </si>
  <si>
    <t>Kuala Pembuang, 06 Februari  2018</t>
  </si>
  <si>
    <t>Arnila/Masnah</t>
  </si>
  <si>
    <t>Andi</t>
  </si>
  <si>
    <t>Handoko RIS B</t>
  </si>
  <si>
    <t>Syahril</t>
  </si>
  <si>
    <t>000260</t>
  </si>
  <si>
    <t>000424</t>
  </si>
  <si>
    <t>000443</t>
  </si>
  <si>
    <t>000624</t>
  </si>
  <si>
    <t>000663</t>
  </si>
  <si>
    <t>000664</t>
  </si>
  <si>
    <t>000665</t>
  </si>
  <si>
    <t>000673</t>
  </si>
  <si>
    <t>000688</t>
  </si>
  <si>
    <t>001007</t>
  </si>
  <si>
    <t>001020</t>
  </si>
  <si>
    <t>001022</t>
  </si>
  <si>
    <t>001068</t>
  </si>
  <si>
    <t>Ktr Dinas Pertanian II</t>
  </si>
  <si>
    <t>Ktr Dinas Pertanian I</t>
  </si>
  <si>
    <t>Ktr Dinas Pertanian III</t>
  </si>
  <si>
    <t>Ktr Kejari</t>
  </si>
  <si>
    <t>Adi Nur Fajar, S. Pd</t>
  </si>
  <si>
    <t>Kantor PUSKESWAN</t>
  </si>
  <si>
    <t>Heriyanto</t>
  </si>
  <si>
    <t>Heriyanto B</t>
  </si>
  <si>
    <t>Kantor BKPP</t>
  </si>
  <si>
    <t>Neston Adilo L</t>
  </si>
  <si>
    <t>Rusbandi</t>
  </si>
  <si>
    <t>Hadi Zatmino</t>
  </si>
  <si>
    <t>Jainah</t>
  </si>
  <si>
    <t>Meril Qomar B</t>
  </si>
  <si>
    <t>Ngadimin</t>
  </si>
  <si>
    <t>Nur Latifah Qadar, S. Pi</t>
  </si>
  <si>
    <t>Samsu Rahmad</t>
  </si>
  <si>
    <t>001122</t>
  </si>
  <si>
    <t>001338</t>
  </si>
  <si>
    <t>001364</t>
  </si>
  <si>
    <t>001649</t>
  </si>
  <si>
    <t>001672</t>
  </si>
  <si>
    <t>001720</t>
  </si>
  <si>
    <t>001730</t>
  </si>
  <si>
    <t>001912</t>
  </si>
  <si>
    <t>001914</t>
  </si>
  <si>
    <t>002002</t>
  </si>
  <si>
    <t>002043</t>
  </si>
  <si>
    <t>002088</t>
  </si>
  <si>
    <t>002378</t>
  </si>
  <si>
    <t>002385</t>
  </si>
  <si>
    <t>Darlan K</t>
  </si>
  <si>
    <t>Harjito</t>
  </si>
  <si>
    <t>Rusnah</t>
  </si>
  <si>
    <t>M. Rosyid Ridho</t>
  </si>
  <si>
    <t>Dayat</t>
  </si>
  <si>
    <t>Bahransyah</t>
  </si>
  <si>
    <t>Supeno</t>
  </si>
  <si>
    <t>Marioto</t>
  </si>
  <si>
    <t>YOPI KISWANTO II</t>
  </si>
  <si>
    <t>YOPI KISWANTO III</t>
  </si>
  <si>
    <t>YOPI KISWANTO IV</t>
  </si>
  <si>
    <t>NOVITA WIJAYANTI</t>
  </si>
  <si>
    <t>002563</t>
  </si>
  <si>
    <t>002634</t>
  </si>
  <si>
    <t>002754</t>
  </si>
  <si>
    <t>002827</t>
  </si>
  <si>
    <t>002966</t>
  </si>
  <si>
    <t>003027</t>
  </si>
  <si>
    <t>003028</t>
  </si>
  <si>
    <t>003029</t>
  </si>
  <si>
    <t>003054</t>
  </si>
  <si>
    <t>BPTDN/06/II/2018</t>
  </si>
  <si>
    <t>Kuala Pembuang, 07 Februari  2018</t>
  </si>
  <si>
    <t>BPTDN/07/II/2018</t>
  </si>
  <si>
    <t>Kuala Pembuang, 08 Februari  2018</t>
  </si>
  <si>
    <t>BPTDN/08/II/2018</t>
  </si>
  <si>
    <t>Kuala Pembuang, 09 Februari  2018</t>
  </si>
  <si>
    <t>Tjong Tjoe Lien</t>
  </si>
  <si>
    <t>H. Mulyadi / Amanah</t>
  </si>
  <si>
    <t>Charuni</t>
  </si>
  <si>
    <t>H. Hijazi</t>
  </si>
  <si>
    <t>Ramlah</t>
  </si>
  <si>
    <t>M. Andi Muslim</t>
  </si>
  <si>
    <t>000017</t>
  </si>
  <si>
    <t>000029</t>
  </si>
  <si>
    <t>000056</t>
  </si>
  <si>
    <t>000216</t>
  </si>
  <si>
    <t>000219</t>
  </si>
  <si>
    <t>000276</t>
  </si>
  <si>
    <t>000287</t>
  </si>
  <si>
    <t>000333</t>
  </si>
  <si>
    <t>000542</t>
  </si>
  <si>
    <t>000562</t>
  </si>
  <si>
    <t>000651</t>
  </si>
  <si>
    <t>000790</t>
  </si>
  <si>
    <t>Asnan</t>
  </si>
  <si>
    <t>Djunaidi</t>
  </si>
  <si>
    <t>Syahrani</t>
  </si>
  <si>
    <t>Budi Suyanto</t>
  </si>
  <si>
    <t>Murjiah</t>
  </si>
  <si>
    <t>Kantor BAPPEDA</t>
  </si>
  <si>
    <t>Sri Hartati, A. Ma</t>
  </si>
  <si>
    <t>Ria Khairiah, SH</t>
  </si>
  <si>
    <t>Subiyanto</t>
  </si>
  <si>
    <t>Jumbri B</t>
  </si>
  <si>
    <t>Bahriannur</t>
  </si>
  <si>
    <t>Supriyanto</t>
  </si>
  <si>
    <t>001001</t>
  </si>
  <si>
    <t>001140</t>
  </si>
  <si>
    <t>001318</t>
  </si>
  <si>
    <t>001352</t>
  </si>
  <si>
    <t>001532</t>
  </si>
  <si>
    <t>001565</t>
  </si>
  <si>
    <t>001779</t>
  </si>
  <si>
    <t>001878</t>
  </si>
  <si>
    <t>Siti Fatimah</t>
  </si>
  <si>
    <t>002025</t>
  </si>
  <si>
    <t>002145</t>
  </si>
  <si>
    <t>002243</t>
  </si>
  <si>
    <t>002206</t>
  </si>
  <si>
    <t>Nur Amien</t>
  </si>
  <si>
    <t>H. Gafuri</t>
  </si>
  <si>
    <t>Baliya</t>
  </si>
  <si>
    <t>Trisihanto Gabianto</t>
  </si>
  <si>
    <t>Anang Suriansyah</t>
  </si>
  <si>
    <t>Tati</t>
  </si>
  <si>
    <t>Muhammad Halidi H</t>
  </si>
  <si>
    <t>Drs. H. Achyar J. Haris</t>
  </si>
  <si>
    <t>002434</t>
  </si>
  <si>
    <t>002504</t>
  </si>
  <si>
    <t>002569</t>
  </si>
  <si>
    <t>002583</t>
  </si>
  <si>
    <t>002832</t>
  </si>
  <si>
    <t>002837</t>
  </si>
  <si>
    <t>Zainudin HS</t>
  </si>
  <si>
    <t>Syahrudin</t>
  </si>
  <si>
    <t>M. Yudah</t>
  </si>
  <si>
    <t>Nanang Supriatim</t>
  </si>
  <si>
    <t>Supinah</t>
  </si>
  <si>
    <t>000059</t>
  </si>
  <si>
    <t>000095</t>
  </si>
  <si>
    <t>000118</t>
  </si>
  <si>
    <t>000136</t>
  </si>
  <si>
    <t>000176</t>
  </si>
  <si>
    <t>000396</t>
  </si>
  <si>
    <t>000481</t>
  </si>
  <si>
    <t>000483</t>
  </si>
  <si>
    <t>000782</t>
  </si>
  <si>
    <t>000484</t>
  </si>
  <si>
    <t>000863</t>
  </si>
  <si>
    <t>000934</t>
  </si>
  <si>
    <t>001106</t>
  </si>
  <si>
    <t>001114</t>
  </si>
  <si>
    <t>M. Aini B</t>
  </si>
  <si>
    <t>Defi</t>
  </si>
  <si>
    <t>Jeffri</t>
  </si>
  <si>
    <t>Harjanto C</t>
  </si>
  <si>
    <t>Harsandi</t>
  </si>
  <si>
    <t>Bulhadi</t>
  </si>
  <si>
    <t>M. Supriadi</t>
  </si>
  <si>
    <t>Abdul Azis</t>
  </si>
  <si>
    <t>Syariffaini B</t>
  </si>
  <si>
    <t>M. Ali</t>
  </si>
  <si>
    <t>Isa</t>
  </si>
  <si>
    <t>Iyansyah</t>
  </si>
  <si>
    <t>001120</t>
  </si>
  <si>
    <t>001233</t>
  </si>
  <si>
    <t>001276</t>
  </si>
  <si>
    <t>001484</t>
  </si>
  <si>
    <t>001499</t>
  </si>
  <si>
    <t>001673</t>
  </si>
  <si>
    <t>002109</t>
  </si>
  <si>
    <t>002368</t>
  </si>
  <si>
    <t>002535</t>
  </si>
  <si>
    <t>002572</t>
  </si>
  <si>
    <t>002573</t>
  </si>
  <si>
    <t>002574</t>
  </si>
  <si>
    <t>002660</t>
  </si>
  <si>
    <t>002682</t>
  </si>
  <si>
    <t>002690</t>
  </si>
  <si>
    <t>002700</t>
  </si>
  <si>
    <t>Endi Sopyandi</t>
  </si>
  <si>
    <t>Syamsul arifin</t>
  </si>
  <si>
    <t>Sumari</t>
  </si>
  <si>
    <t>Hadi Purwanto</t>
  </si>
  <si>
    <t>Mat Thosin</t>
  </si>
  <si>
    <t>Rini Wahyuni</t>
  </si>
  <si>
    <t>M. Nu'Man</t>
  </si>
  <si>
    <t>Sariwaty</t>
  </si>
  <si>
    <t>Gandariah</t>
  </si>
  <si>
    <t>Krisna Sanjaya</t>
  </si>
  <si>
    <t>SELAMET MULYONO</t>
  </si>
  <si>
    <t>002940</t>
  </si>
  <si>
    <t>003012</t>
  </si>
  <si>
    <t>M. Said</t>
  </si>
  <si>
    <t>Drs. Zarkasi</t>
  </si>
  <si>
    <t>000149</t>
  </si>
  <si>
    <t>000492</t>
  </si>
  <si>
    <t>001017</t>
  </si>
  <si>
    <t>001042</t>
  </si>
  <si>
    <t>001442</t>
  </si>
  <si>
    <t>001794</t>
  </si>
  <si>
    <t>001803</t>
  </si>
  <si>
    <t>001818</t>
  </si>
  <si>
    <t>Sumarno</t>
  </si>
  <si>
    <t>Gazali Rahman, S. Hut</t>
  </si>
  <si>
    <t>Suliadi</t>
  </si>
  <si>
    <t>Kantor Pertanahan</t>
  </si>
  <si>
    <t>H. Syarwani</t>
  </si>
  <si>
    <t>Ipansyah</t>
  </si>
  <si>
    <t>Eka Aprilia</t>
  </si>
  <si>
    <t>Roland</t>
  </si>
  <si>
    <t>Anang Kasim</t>
  </si>
  <si>
    <t>Venina Septiani</t>
  </si>
  <si>
    <t>Rasidi</t>
  </si>
  <si>
    <t>002073</t>
  </si>
  <si>
    <t>002260</t>
  </si>
  <si>
    <t>002440</t>
  </si>
  <si>
    <t>002465</t>
  </si>
  <si>
    <t>002601</t>
  </si>
  <si>
    <t>002811</t>
  </si>
  <si>
    <t>BPTDN/09/II/2018</t>
  </si>
  <si>
    <t>Kuala Pembuang, 10 Februari  2018</t>
  </si>
  <si>
    <t>Kursani B</t>
  </si>
  <si>
    <t>Johan B</t>
  </si>
  <si>
    <t>ALESCHA</t>
  </si>
  <si>
    <t>Tan Andi P</t>
  </si>
  <si>
    <t>000274</t>
  </si>
  <si>
    <t>000448</t>
  </si>
  <si>
    <t>000449</t>
  </si>
  <si>
    <t>000567</t>
  </si>
  <si>
    <t>000963</t>
  </si>
  <si>
    <t>001015</t>
  </si>
  <si>
    <t>001643</t>
  </si>
  <si>
    <t>Kurita, Am.d</t>
  </si>
  <si>
    <t>Elpi</t>
  </si>
  <si>
    <t>Simanto, SE</t>
  </si>
  <si>
    <t>Syahruddin Noor, SPMP</t>
  </si>
  <si>
    <t>Risna</t>
  </si>
  <si>
    <t>Joko Purwanto</t>
  </si>
  <si>
    <t>Adi</t>
  </si>
  <si>
    <t>Abdi Siahaan</t>
  </si>
  <si>
    <t>001751</t>
  </si>
  <si>
    <t>002015</t>
  </si>
  <si>
    <t>002411</t>
  </si>
  <si>
    <t>002607</t>
  </si>
  <si>
    <t>002650</t>
  </si>
  <si>
    <t>002866</t>
  </si>
  <si>
    <t>BPTDN/10/II/2018</t>
  </si>
  <si>
    <t>Kuala Pembuang, 12 Februari  2018</t>
  </si>
  <si>
    <t>ANANG SYAHRANI</t>
  </si>
  <si>
    <t>H. Aliansyah Gufron</t>
  </si>
  <si>
    <t>Rina Ningsih</t>
  </si>
  <si>
    <t>Nurul Fitri</t>
  </si>
  <si>
    <t>000001</t>
  </si>
  <si>
    <t>000169</t>
  </si>
  <si>
    <t>000271</t>
  </si>
  <si>
    <t>000308</t>
  </si>
  <si>
    <t>000439</t>
  </si>
  <si>
    <t>000515</t>
  </si>
  <si>
    <t>000677</t>
  </si>
  <si>
    <t>000926</t>
  </si>
  <si>
    <t>000957</t>
  </si>
  <si>
    <t>001000</t>
  </si>
  <si>
    <t>001035</t>
  </si>
  <si>
    <t>Anita O</t>
  </si>
  <si>
    <t>Amir Biqi A</t>
  </si>
  <si>
    <t>Amir Biqi B</t>
  </si>
  <si>
    <t>Langgar Noor Iman</t>
  </si>
  <si>
    <t>M. Syahlan</t>
  </si>
  <si>
    <t>Kantor DISPENDA</t>
  </si>
  <si>
    <t>Yuliani</t>
  </si>
  <si>
    <t>Ika Septiana Sari</t>
  </si>
  <si>
    <t>Suhairi</t>
  </si>
  <si>
    <t>Amir Biqi</t>
  </si>
  <si>
    <t>Barsiah</t>
  </si>
  <si>
    <t>Sugianor</t>
  </si>
  <si>
    <t>Budianoor</t>
  </si>
  <si>
    <t>001161</t>
  </si>
  <si>
    <t>001269</t>
  </si>
  <si>
    <t>001292</t>
  </si>
  <si>
    <t>001341</t>
  </si>
  <si>
    <t>001459</t>
  </si>
  <si>
    <t>001411</t>
  </si>
  <si>
    <t>001488</t>
  </si>
  <si>
    <t>001538</t>
  </si>
  <si>
    <t>001580</t>
  </si>
  <si>
    <t>001623</t>
  </si>
  <si>
    <t>001642</t>
  </si>
  <si>
    <t>001705</t>
  </si>
  <si>
    <t>001781</t>
  </si>
  <si>
    <t>001893</t>
  </si>
  <si>
    <t>M. Adim B</t>
  </si>
  <si>
    <t>Armin</t>
  </si>
  <si>
    <t>Hj. Sri Ningsih</t>
  </si>
  <si>
    <t>Bono Suhendra</t>
  </si>
  <si>
    <t>Mahmudah, S. Hut</t>
  </si>
  <si>
    <t>Surian</t>
  </si>
  <si>
    <t>Sumanti</t>
  </si>
  <si>
    <t>Akhiri Awantoro</t>
  </si>
  <si>
    <t>Krisno SD, ST</t>
  </si>
  <si>
    <t>Edi Saputra</t>
  </si>
  <si>
    <t>Lienda Yuliana, SH</t>
  </si>
  <si>
    <t>Yurina Sholihatina</t>
  </si>
  <si>
    <t>Darmawati</t>
  </si>
  <si>
    <t>Muhammad Nur Kamali, ST</t>
  </si>
  <si>
    <t>Parminto</t>
  </si>
  <si>
    <t>Sakinah Pati Madya</t>
  </si>
  <si>
    <t>001937</t>
  </si>
  <si>
    <t>001961</t>
  </si>
  <si>
    <t>001975</t>
  </si>
  <si>
    <t>002059</t>
  </si>
  <si>
    <t>002061</t>
  </si>
  <si>
    <t>002062</t>
  </si>
  <si>
    <t>002064</t>
  </si>
  <si>
    <t>002136</t>
  </si>
  <si>
    <t>002198</t>
  </si>
  <si>
    <t>002296</t>
  </si>
  <si>
    <t>002406</t>
  </si>
  <si>
    <t>002560</t>
  </si>
  <si>
    <t>002630</t>
  </si>
  <si>
    <t>002697</t>
  </si>
  <si>
    <t>002727</t>
  </si>
  <si>
    <t>002746</t>
  </si>
  <si>
    <t>002887</t>
  </si>
  <si>
    <t>Saidah</t>
  </si>
  <si>
    <t>Yani Ambar Wati</t>
  </si>
  <si>
    <t>Suliyem</t>
  </si>
  <si>
    <t>Ibat</t>
  </si>
  <si>
    <t>Faridah</t>
  </si>
  <si>
    <t>Mulyono</t>
  </si>
  <si>
    <t>Riduansyah</t>
  </si>
  <si>
    <t>Musliani</t>
  </si>
  <si>
    <t>002978</t>
  </si>
  <si>
    <t>BPTDN/11/II/2018</t>
  </si>
  <si>
    <t>Kuala Pembuang, 13 Februari  2018</t>
  </si>
  <si>
    <t>Farida B/Tuhas B</t>
  </si>
  <si>
    <t>Wati Darsani</t>
  </si>
  <si>
    <t>000327</t>
  </si>
  <si>
    <t>000383</t>
  </si>
  <si>
    <t>000856</t>
  </si>
  <si>
    <t>001153</t>
  </si>
  <si>
    <t>001228</t>
  </si>
  <si>
    <t>001343</t>
  </si>
  <si>
    <t>001625</t>
  </si>
  <si>
    <t>001683</t>
  </si>
  <si>
    <t>001693</t>
  </si>
  <si>
    <t>002005</t>
  </si>
  <si>
    <t>002141</t>
  </si>
  <si>
    <t>002173</t>
  </si>
  <si>
    <t>Kani</t>
  </si>
  <si>
    <t>Apriana Ahmad, S. Pd</t>
  </si>
  <si>
    <t>Monalisa</t>
  </si>
  <si>
    <t>Herlin Pritiwi</t>
  </si>
  <si>
    <t>Kantor Dinas Sosial</t>
  </si>
  <si>
    <t>Ahmad Munir A</t>
  </si>
  <si>
    <t>Deman Hereyawan</t>
  </si>
  <si>
    <t>Ahmad Sudirwan</t>
  </si>
  <si>
    <t>Jumani</t>
  </si>
  <si>
    <t>Sudarman C</t>
  </si>
  <si>
    <t>Ijum</t>
  </si>
  <si>
    <t>Galuh Mardiana</t>
  </si>
  <si>
    <t>Zulkifli</t>
  </si>
  <si>
    <t>Stevanda Ince Luturmas</t>
  </si>
  <si>
    <t>Andri Adi Kusumah</t>
  </si>
  <si>
    <t>YOPI KISWANTO I</t>
  </si>
  <si>
    <t>002212</t>
  </si>
  <si>
    <t>002255</t>
  </si>
  <si>
    <t>002372</t>
  </si>
  <si>
    <t>002471</t>
  </si>
  <si>
    <t>002640</t>
  </si>
  <si>
    <t>002654</t>
  </si>
  <si>
    <t>002976</t>
  </si>
  <si>
    <t>002993</t>
  </si>
  <si>
    <t>003026</t>
  </si>
  <si>
    <t>BPTDN/12/II/2018</t>
  </si>
  <si>
    <t>Kuala Pembuang, 14 Februari  2018</t>
  </si>
  <si>
    <t>Salamah</t>
  </si>
  <si>
    <t>Ruspandiannor</t>
  </si>
  <si>
    <t>Ruspandian Noor</t>
  </si>
  <si>
    <t>000083</t>
  </si>
  <si>
    <t>000394</t>
  </si>
  <si>
    <t>000740</t>
  </si>
  <si>
    <t>Rujab Ka. Kesehatan</t>
  </si>
  <si>
    <t>000466</t>
  </si>
  <si>
    <t>Rumdis Ass. 3 Sekda</t>
  </si>
  <si>
    <t>Ktr Dinas P dan K</t>
  </si>
  <si>
    <t>Kusnadi</t>
  </si>
  <si>
    <t>Mutia Farida</t>
  </si>
  <si>
    <t>Indah Fitri Salawiyah</t>
  </si>
  <si>
    <t>000829</t>
  </si>
  <si>
    <t>000882</t>
  </si>
  <si>
    <t>001174</t>
  </si>
  <si>
    <t>001190</t>
  </si>
  <si>
    <t>001320</t>
  </si>
  <si>
    <t>001356</t>
  </si>
  <si>
    <t>001473</t>
  </si>
  <si>
    <t>001558</t>
  </si>
  <si>
    <t>001644</t>
  </si>
  <si>
    <t>001770</t>
  </si>
  <si>
    <t>001989</t>
  </si>
  <si>
    <t>002099</t>
  </si>
  <si>
    <t>002201</t>
  </si>
  <si>
    <t>002328</t>
  </si>
  <si>
    <t>002366</t>
  </si>
  <si>
    <t>002370</t>
  </si>
  <si>
    <t>002461</t>
  </si>
  <si>
    <t>Rudi Hartono II</t>
  </si>
  <si>
    <t>Kantor SATPAS</t>
  </si>
  <si>
    <t>Dedi Yansah</t>
  </si>
  <si>
    <t>Zainuri</t>
  </si>
  <si>
    <t>Sri Ernawati</t>
  </si>
  <si>
    <t>Nanang Karyadi</t>
  </si>
  <si>
    <t>Muhammad Yusuf</t>
  </si>
  <si>
    <t>Noni</t>
  </si>
  <si>
    <t>Donny Eko Nugroho</t>
  </si>
  <si>
    <t>Lilis Sarlina</t>
  </si>
  <si>
    <t>002760</t>
  </si>
  <si>
    <t>BPTDN/13/II/2018</t>
  </si>
  <si>
    <t>Kuala Pembuang, 15 Februari  2018</t>
  </si>
  <si>
    <t>Heri Sutrisno</t>
  </si>
  <si>
    <t>Drs. Mansyur Ibrahim SH, MM</t>
  </si>
  <si>
    <t>000028</t>
  </si>
  <si>
    <t>000195</t>
  </si>
  <si>
    <t>000206</t>
  </si>
  <si>
    <t>000600</t>
  </si>
  <si>
    <t>000629</t>
  </si>
  <si>
    <t>000749</t>
  </si>
  <si>
    <t>000751</t>
  </si>
  <si>
    <t>000927</t>
  </si>
  <si>
    <t>001037</t>
  </si>
  <si>
    <t>001389</t>
  </si>
  <si>
    <t>001892</t>
  </si>
  <si>
    <t>Jamal Abdul Nasir, SE</t>
  </si>
  <si>
    <t>Sri Pujiati</t>
  </si>
  <si>
    <t>Fauji</t>
  </si>
  <si>
    <t>Muhamad Ariyani</t>
  </si>
  <si>
    <t>H. Abdul Azis</t>
  </si>
  <si>
    <t>Sahrani</t>
  </si>
  <si>
    <t>Irwansyah</t>
  </si>
  <si>
    <t>Donny Dj. L, ST, MT</t>
  </si>
  <si>
    <t>Fatkan</t>
  </si>
  <si>
    <t>Sondy Agam</t>
  </si>
  <si>
    <t>Saripullah</t>
  </si>
  <si>
    <t>Ernawan Kusuma Wijaya</t>
  </si>
  <si>
    <t>Hanif Mufassirin</t>
  </si>
  <si>
    <t>Novaris Anianto</t>
  </si>
  <si>
    <t>Hadriyansyah</t>
  </si>
  <si>
    <t>Samsul Bahri</t>
  </si>
  <si>
    <t>001922</t>
  </si>
  <si>
    <t>001976</t>
  </si>
  <si>
    <t>002077</t>
  </si>
  <si>
    <t>002315</t>
  </si>
  <si>
    <t>002335</t>
  </si>
  <si>
    <t>002422</t>
  </si>
  <si>
    <t>002480</t>
  </si>
  <si>
    <t>002523</t>
  </si>
  <si>
    <t>002534</t>
  </si>
  <si>
    <t>002628</t>
  </si>
  <si>
    <t>002693</t>
  </si>
  <si>
    <t>002708</t>
  </si>
  <si>
    <t>002864</t>
  </si>
  <si>
    <t>003009</t>
  </si>
  <si>
    <t>Maulida</t>
  </si>
  <si>
    <t>Aya</t>
  </si>
  <si>
    <t>Suhada</t>
  </si>
  <si>
    <t>YANNUR</t>
  </si>
  <si>
    <t>BPTDN/14/II/2018</t>
  </si>
  <si>
    <t>Kuala Pembuang, 17 Februari  2018</t>
  </si>
  <si>
    <t>Tukiman</t>
  </si>
  <si>
    <t>Uminah</t>
  </si>
  <si>
    <t>Herlina</t>
  </si>
  <si>
    <t>000805</t>
  </si>
  <si>
    <t>000956</t>
  </si>
  <si>
    <t>001028</t>
  </si>
  <si>
    <t>001668</t>
  </si>
  <si>
    <t>Eke Jemi Rusita</t>
  </si>
  <si>
    <t>Husin Efendi</t>
  </si>
  <si>
    <t>Suhadah</t>
  </si>
  <si>
    <t>002741</t>
  </si>
  <si>
    <t>002774</t>
  </si>
  <si>
    <t>002808</t>
  </si>
  <si>
    <t>003031</t>
  </si>
  <si>
    <t>003039</t>
  </si>
  <si>
    <t>BPTDN/15/II/2018</t>
  </si>
  <si>
    <t>Kuala Pembuang, 19 Februari  2018</t>
  </si>
  <si>
    <t>Rahmad/Paguyuban</t>
  </si>
  <si>
    <t>000158</t>
  </si>
  <si>
    <t>Kampe</t>
  </si>
  <si>
    <t>A. Arnila</t>
  </si>
  <si>
    <t>Hj. Mufaridah</t>
  </si>
  <si>
    <t xml:space="preserve">M. Taufik </t>
  </si>
  <si>
    <t>Norwahidah</t>
  </si>
  <si>
    <t>Muridan</t>
  </si>
  <si>
    <t>Daniel Parlindungan M</t>
  </si>
  <si>
    <t>000334</t>
  </si>
  <si>
    <t>000417</t>
  </si>
  <si>
    <t>000508</t>
  </si>
  <si>
    <t>000516</t>
  </si>
  <si>
    <t>000588</t>
  </si>
  <si>
    <t>000701</t>
  </si>
  <si>
    <t>000746</t>
  </si>
  <si>
    <t>000913</t>
  </si>
  <si>
    <t>000914</t>
  </si>
  <si>
    <t>000975</t>
  </si>
  <si>
    <t>000989</t>
  </si>
  <si>
    <t>H. Rajali, SH. MH</t>
  </si>
  <si>
    <t>Darmadiansyah</t>
  </si>
  <si>
    <t>Suhar arianto</t>
  </si>
  <si>
    <t>H. Basirun</t>
  </si>
  <si>
    <t>Mushola Darussalam</t>
  </si>
  <si>
    <t>Kamto</t>
  </si>
  <si>
    <t>Heri Purwanto</t>
  </si>
  <si>
    <t>Harni</t>
  </si>
  <si>
    <t>001420</t>
  </si>
  <si>
    <t>001631</t>
  </si>
  <si>
    <t>001786</t>
  </si>
  <si>
    <t>001835</t>
  </si>
  <si>
    <t>001867</t>
  </si>
  <si>
    <t>001877</t>
  </si>
  <si>
    <t>001894</t>
  </si>
  <si>
    <t>001986</t>
  </si>
  <si>
    <t>002117</t>
  </si>
  <si>
    <t>002204</t>
  </si>
  <si>
    <t>Murni</t>
  </si>
  <si>
    <t>Salanin</t>
  </si>
  <si>
    <t>Aluwi</t>
  </si>
  <si>
    <t>Miskani</t>
  </si>
  <si>
    <t>Bahrul Ilmi</t>
  </si>
  <si>
    <t>Nur Siah</t>
  </si>
  <si>
    <t>M. Abdul Airsan</t>
  </si>
  <si>
    <t>Agus Yuda Wijaya</t>
  </si>
  <si>
    <t>Ani Jurahmi</t>
  </si>
  <si>
    <t>Aulia Setiawati</t>
  </si>
  <si>
    <t>002234</t>
  </si>
  <si>
    <t>002417</t>
  </si>
  <si>
    <t>002487</t>
  </si>
  <si>
    <t>002668</t>
  </si>
  <si>
    <t>002743</t>
  </si>
  <si>
    <t>002999</t>
  </si>
  <si>
    <t>Ari Arianto</t>
  </si>
  <si>
    <t>Holik</t>
  </si>
  <si>
    <t>BPTDN/16/II/2018</t>
  </si>
  <si>
    <t>Kuala Pembuang, 20 Februari  2018</t>
  </si>
  <si>
    <t>Irus</t>
  </si>
  <si>
    <t>Ekky Diara Ulfa</t>
  </si>
  <si>
    <t>000111</t>
  </si>
  <si>
    <t>000123</t>
  </si>
  <si>
    <t>000368</t>
  </si>
  <si>
    <t>000487</t>
  </si>
  <si>
    <t>000810</t>
  </si>
  <si>
    <t>000824</t>
  </si>
  <si>
    <t>Andi M. Arsyad</t>
  </si>
  <si>
    <t>Zainal</t>
  </si>
  <si>
    <t>Rasidi S</t>
  </si>
  <si>
    <t>Dana Wardani</t>
  </si>
  <si>
    <t>Panti Asuhan Hj. Maskacil</t>
  </si>
  <si>
    <t>000499</t>
  </si>
  <si>
    <t>Mira</t>
  </si>
  <si>
    <t>Jurin M</t>
  </si>
  <si>
    <t>Sukariono</t>
  </si>
  <si>
    <t>Sadrin</t>
  </si>
  <si>
    <t>Munir</t>
  </si>
  <si>
    <t>Abd. Fuad</t>
  </si>
  <si>
    <t>Surianata</t>
  </si>
  <si>
    <t>000843</t>
  </si>
  <si>
    <t>000867</t>
  </si>
  <si>
    <t>000904</t>
  </si>
  <si>
    <t>000954</t>
  </si>
  <si>
    <t>001121</t>
  </si>
  <si>
    <t>001128</t>
  </si>
  <si>
    <t>001237</t>
  </si>
  <si>
    <t>001423</t>
  </si>
  <si>
    <t>001517</t>
  </si>
  <si>
    <t>001588</t>
  </si>
  <si>
    <t>001616</t>
  </si>
  <si>
    <t>001717</t>
  </si>
  <si>
    <t>001833</t>
  </si>
  <si>
    <t>Sandiyo</t>
  </si>
  <si>
    <t>Sanang</t>
  </si>
  <si>
    <t>Margiantoni</t>
  </si>
  <si>
    <t>Karyadi</t>
  </si>
  <si>
    <t>Mahputra</t>
  </si>
  <si>
    <t>Jaini J</t>
  </si>
  <si>
    <t>Ahmad Yani</t>
  </si>
  <si>
    <t>Andi Purwanto</t>
  </si>
  <si>
    <t>Megawati/A. Suryani</t>
  </si>
  <si>
    <t>Nanang Hairani</t>
  </si>
  <si>
    <t>Sudaryono</t>
  </si>
  <si>
    <t>Neli Purwani Resmiati</t>
  </si>
  <si>
    <t>Sii Nursidah</t>
  </si>
  <si>
    <t>M. Zaini</t>
  </si>
  <si>
    <t>Mahdiatun Nazemi</t>
  </si>
  <si>
    <t>001875</t>
  </si>
  <si>
    <t>001876</t>
  </si>
  <si>
    <t>001960</t>
  </si>
  <si>
    <t>002289</t>
  </si>
  <si>
    <t>002302</t>
  </si>
  <si>
    <t>002384</t>
  </si>
  <si>
    <t>002390</t>
  </si>
  <si>
    <t>002399</t>
  </si>
  <si>
    <t>002407</t>
  </si>
  <si>
    <t>002438</t>
  </si>
  <si>
    <t>002706</t>
  </si>
  <si>
    <t>002862</t>
  </si>
  <si>
    <t>002888</t>
  </si>
  <si>
    <t>002923</t>
  </si>
  <si>
    <t>Anting</t>
  </si>
  <si>
    <t>Rosida</t>
  </si>
  <si>
    <t>Sutristiya Apri R</t>
  </si>
  <si>
    <t>BPTDN/17/II/2018</t>
  </si>
  <si>
    <t>Kuala Pembuang, 21 Februari  2018</t>
  </si>
  <si>
    <t>H. Hasanudin</t>
  </si>
  <si>
    <t>Rosean Fauzi, S.E</t>
  </si>
  <si>
    <t>Subhan Haaz</t>
  </si>
  <si>
    <t>A. Kadir Z</t>
  </si>
  <si>
    <t>Bahrudin</t>
  </si>
  <si>
    <t>Nur aiti</t>
  </si>
  <si>
    <t>Wahdah</t>
  </si>
  <si>
    <t>M. Busairi</t>
  </si>
  <si>
    <t>Syahlan</t>
  </si>
  <si>
    <t>Ladi</t>
  </si>
  <si>
    <t>Mulyadi</t>
  </si>
  <si>
    <t>Raihanor</t>
  </si>
  <si>
    <t>Tatang Endriasmoro</t>
  </si>
  <si>
    <t>Hartono</t>
  </si>
  <si>
    <t>Faridah S</t>
  </si>
  <si>
    <t>Irma Susanti</t>
  </si>
  <si>
    <t>Multiansyah</t>
  </si>
  <si>
    <t>Rahmani, A. Md</t>
  </si>
  <si>
    <t>Sigit Soegiharto</t>
  </si>
  <si>
    <t>000013</t>
  </si>
  <si>
    <t>000041</t>
  </si>
  <si>
    <t>000082</t>
  </si>
  <si>
    <t>000085</t>
  </si>
  <si>
    <t>000102</t>
  </si>
  <si>
    <t>000150</t>
  </si>
  <si>
    <t>000268</t>
  </si>
  <si>
    <t>000500</t>
  </si>
  <si>
    <t>000507</t>
  </si>
  <si>
    <t>000760</t>
  </si>
  <si>
    <t>000825</t>
  </si>
  <si>
    <t>000943</t>
  </si>
  <si>
    <t>001053</t>
  </si>
  <si>
    <t>001187</t>
  </si>
  <si>
    <t>001208</t>
  </si>
  <si>
    <t>001212</t>
  </si>
  <si>
    <t>001255</t>
  </si>
  <si>
    <t>001278</t>
  </si>
  <si>
    <t>Dina Mariana</t>
  </si>
  <si>
    <t>H. Achmad Ruswandi</t>
  </si>
  <si>
    <t>Ngadeni A</t>
  </si>
  <si>
    <t>Niyah B</t>
  </si>
  <si>
    <t>Hamlan</t>
  </si>
  <si>
    <t>Tajib B</t>
  </si>
  <si>
    <t>Mulyan</t>
  </si>
  <si>
    <t>Asmawati</t>
  </si>
  <si>
    <t>Muhammad Tabrani</t>
  </si>
  <si>
    <t>Sudarman A</t>
  </si>
  <si>
    <t>Supriyansyah</t>
  </si>
  <si>
    <t>Abdullah Sani</t>
  </si>
  <si>
    <t>Yeti Sulianti</t>
  </si>
  <si>
    <t>001326</t>
  </si>
  <si>
    <t>001328</t>
  </si>
  <si>
    <t>001400</t>
  </si>
  <si>
    <t>001422</t>
  </si>
  <si>
    <t>001549</t>
  </si>
  <si>
    <t>001598</t>
  </si>
  <si>
    <t>001691</t>
  </si>
  <si>
    <t>001790</t>
  </si>
  <si>
    <t>002017</t>
  </si>
  <si>
    <t>002046</t>
  </si>
  <si>
    <t>002210</t>
  </si>
  <si>
    <t>002371</t>
  </si>
  <si>
    <t>002665</t>
  </si>
  <si>
    <t>002613</t>
  </si>
  <si>
    <t>Syahroni</t>
  </si>
  <si>
    <t>002710</t>
  </si>
  <si>
    <t>002725</t>
  </si>
  <si>
    <t>002883</t>
  </si>
  <si>
    <t>003019</t>
  </si>
  <si>
    <t>Raini</t>
  </si>
  <si>
    <t>ABDUL WAHAB</t>
  </si>
  <si>
    <t>BPTDN/18/II/2018</t>
  </si>
  <si>
    <t>Kuala Pembuang, 22 Februari  2018</t>
  </si>
  <si>
    <t>Subhansyah</t>
  </si>
  <si>
    <t>Antol</t>
  </si>
  <si>
    <t>Ahmad Syaifullah</t>
  </si>
  <si>
    <t>HM. Bahasa</t>
  </si>
  <si>
    <t>Handoko RIS A</t>
  </si>
  <si>
    <t>Sukransyah</t>
  </si>
  <si>
    <t>Ktr. DISHUBKOMINFO</t>
  </si>
  <si>
    <t>Rio Joko Susilo</t>
  </si>
  <si>
    <t>000032</t>
  </si>
  <si>
    <t>000482</t>
  </si>
  <si>
    <t>000498</t>
  </si>
  <si>
    <t>000505</t>
  </si>
  <si>
    <t>000653</t>
  </si>
  <si>
    <t>000830</t>
  </si>
  <si>
    <t>000893</t>
  </si>
  <si>
    <t>001432</t>
  </si>
  <si>
    <t>001630</t>
  </si>
  <si>
    <t>Siti Rukiah</t>
  </si>
  <si>
    <t>Bahrani</t>
  </si>
  <si>
    <t>Sunarti</t>
  </si>
  <si>
    <t>Nurul Hasanah</t>
  </si>
  <si>
    <t>Enik Kartinawati</t>
  </si>
  <si>
    <t>002266</t>
  </si>
  <si>
    <t>002323</t>
  </si>
  <si>
    <t>002515</t>
  </si>
  <si>
    <t>002770</t>
  </si>
  <si>
    <t>002914</t>
  </si>
  <si>
    <t>BPTDN/19/II/2018</t>
  </si>
  <si>
    <t>Kuala Pembuang, 23 Februari  2018</t>
  </si>
  <si>
    <t>Ambrin</t>
  </si>
  <si>
    <t>Amirul M</t>
  </si>
  <si>
    <t>Muharini</t>
  </si>
  <si>
    <t>Maryoso</t>
  </si>
  <si>
    <t>Hordin</t>
  </si>
  <si>
    <t>Yudhi Siswanto</t>
  </si>
  <si>
    <t>Kantor Satpol PP</t>
  </si>
  <si>
    <t>Khalis Prasetyawati S.</t>
  </si>
  <si>
    <t>Armani</t>
  </si>
  <si>
    <t>Sulaiman</t>
  </si>
  <si>
    <t>Sulastri</t>
  </si>
  <si>
    <t>000104</t>
  </si>
  <si>
    <t>000845</t>
  </si>
  <si>
    <t>000990</t>
  </si>
  <si>
    <t>001404</t>
  </si>
  <si>
    <t>001859</t>
  </si>
  <si>
    <t>002134</t>
  </si>
  <si>
    <t>002237</t>
  </si>
  <si>
    <t>002251</t>
  </si>
  <si>
    <t>002346</t>
  </si>
  <si>
    <t>002852</t>
  </si>
  <si>
    <t>002876</t>
  </si>
  <si>
    <t>002912</t>
  </si>
  <si>
    <t>BPTDN/20/II/2018</t>
  </si>
  <si>
    <t>Kuala Pembuang, 24 Februari  2018</t>
  </si>
  <si>
    <t>TK Pembina</t>
  </si>
  <si>
    <t>Nusi</t>
  </si>
  <si>
    <t>Tri Arisusilo B</t>
  </si>
  <si>
    <t>Ari Afrizal</t>
  </si>
  <si>
    <t>Chandralela</t>
  </si>
  <si>
    <t>000246</t>
  </si>
  <si>
    <t>000685</t>
  </si>
  <si>
    <t>001060</t>
  </si>
  <si>
    <t>001478</t>
  </si>
  <si>
    <t>002084</t>
  </si>
  <si>
    <t>002418</t>
  </si>
  <si>
    <t>002738</t>
  </si>
  <si>
    <t>BPTDN/21/II/2018</t>
  </si>
  <si>
    <t>Kuala Pembuang, 26 Februari  2018</t>
  </si>
  <si>
    <t>Seni</t>
  </si>
  <si>
    <t>Herni</t>
  </si>
  <si>
    <t>Nasrun</t>
  </si>
  <si>
    <t>Janjang Ardi Nugroho</t>
  </si>
  <si>
    <t>Rahmah</t>
  </si>
  <si>
    <t>Idras Purwoko, SH</t>
  </si>
  <si>
    <t>Arbin Dedy Maulana, SP</t>
  </si>
  <si>
    <t>000132</t>
  </si>
  <si>
    <t>000315</t>
  </si>
  <si>
    <t>001170</t>
  </si>
  <si>
    <t>001327</t>
  </si>
  <si>
    <t>001419</t>
  </si>
  <si>
    <t>002143</t>
  </si>
  <si>
    <t>002712</t>
  </si>
  <si>
    <t>BPTDN/22/II/2018</t>
  </si>
  <si>
    <t>Kuala Pembuang, 27 Februari  2018</t>
  </si>
  <si>
    <t xml:space="preserve">Diyanto </t>
  </si>
  <si>
    <t>Suharmi</t>
  </si>
  <si>
    <t>Ibramsyah</t>
  </si>
  <si>
    <t>Kantor BKD</t>
  </si>
  <si>
    <t>Jonnly</t>
  </si>
  <si>
    <t>Kantor Kelurahan KP II</t>
  </si>
  <si>
    <t>David Christian Tjong</t>
  </si>
  <si>
    <t>000002</t>
  </si>
  <si>
    <t>000055</t>
  </si>
  <si>
    <t>000089</t>
  </si>
  <si>
    <t>000464</t>
  </si>
  <si>
    <t>000720</t>
  </si>
  <si>
    <t>000757</t>
  </si>
  <si>
    <t>000916</t>
  </si>
  <si>
    <t>001342</t>
  </si>
  <si>
    <t>Edi</t>
  </si>
  <si>
    <t>Iskandar Safari</t>
  </si>
  <si>
    <t>Ruslianto B</t>
  </si>
  <si>
    <t>Norani Inda Yanti</t>
  </si>
  <si>
    <t>Ruslianto C</t>
  </si>
  <si>
    <t>RAHADYAN SAMBODO WIDYAKTI</t>
  </si>
  <si>
    <t>Syahbudin</t>
  </si>
  <si>
    <t>Margiantony</t>
  </si>
  <si>
    <t>Devi Angraeni</t>
  </si>
  <si>
    <t>Akhmad Mujiono</t>
  </si>
  <si>
    <t>Benah</t>
  </si>
  <si>
    <t>001421</t>
  </si>
  <si>
    <t>001497</t>
  </si>
  <si>
    <t>001586</t>
  </si>
  <si>
    <t>001919</t>
  </si>
  <si>
    <t>002299</t>
  </si>
  <si>
    <t>002397</t>
  </si>
  <si>
    <t>002445</t>
  </si>
  <si>
    <t>002595</t>
  </si>
  <si>
    <t>002610</t>
  </si>
  <si>
    <t>002626</t>
  </si>
  <si>
    <t>002641</t>
  </si>
  <si>
    <t>002701</t>
  </si>
  <si>
    <t>BPTDN/23/II/2018</t>
  </si>
  <si>
    <t>Kuala Pembuang, 28 Februari  2018</t>
  </si>
  <si>
    <t>Arsyat</t>
  </si>
  <si>
    <t>Samblan</t>
  </si>
  <si>
    <t>Widodo</t>
  </si>
  <si>
    <t>Hadi santoso A</t>
  </si>
  <si>
    <t>Alpian</t>
  </si>
  <si>
    <t>Juharto</t>
  </si>
  <si>
    <t>MUHAMAD RUSDIANNUR</t>
  </si>
  <si>
    <t>Rumdis BPKAD II</t>
  </si>
  <si>
    <t>Supiyannoor</t>
  </si>
  <si>
    <t>000007</t>
  </si>
  <si>
    <t>000194</t>
  </si>
  <si>
    <t>000197</t>
  </si>
  <si>
    <t>000633</t>
  </si>
  <si>
    <t>001489</t>
  </si>
  <si>
    <t>001562</t>
  </si>
  <si>
    <t>002282</t>
  </si>
  <si>
    <t>002330</t>
  </si>
  <si>
    <t>002543</t>
  </si>
  <si>
    <t>002564</t>
  </si>
  <si>
    <t>002599</t>
  </si>
  <si>
    <t>002969</t>
  </si>
  <si>
    <t>BPTDN/01/III/2018</t>
  </si>
  <si>
    <t>Kuala Pembuang, 01 Maret  2018</t>
  </si>
  <si>
    <t>Ati</t>
  </si>
  <si>
    <t>Jamilah</t>
  </si>
  <si>
    <t>Isliyanti, Amd Kep</t>
  </si>
  <si>
    <t>Siti Norjumianti</t>
  </si>
  <si>
    <t>000413</t>
  </si>
  <si>
    <t>000589</t>
  </si>
  <si>
    <t>001429</t>
  </si>
  <si>
    <t>001439</t>
  </si>
  <si>
    <t>Hairudin</t>
  </si>
  <si>
    <t>Nindra Karma</t>
  </si>
  <si>
    <t>Arif Prasetya S</t>
  </si>
  <si>
    <t>Andrian Hidayat</t>
  </si>
  <si>
    <t>Padlansyah</t>
  </si>
  <si>
    <t>Daham</t>
  </si>
  <si>
    <t>sri Susilawati</t>
  </si>
  <si>
    <t>Erni Mariani</t>
  </si>
  <si>
    <t>Lia Puspita Dewi</t>
  </si>
  <si>
    <t>001927</t>
  </si>
  <si>
    <t>002069</t>
  </si>
  <si>
    <t>002078</t>
  </si>
  <si>
    <t>002154</t>
  </si>
  <si>
    <t>002157</t>
  </si>
  <si>
    <t>002309</t>
  </si>
  <si>
    <t>002539</t>
  </si>
  <si>
    <t>002772</t>
  </si>
  <si>
    <t>002889</t>
  </si>
  <si>
    <t>BPTDN/02/III/2018</t>
  </si>
  <si>
    <t>Kuala Pembuang, 02 Maret  2018</t>
  </si>
  <si>
    <t xml:space="preserve">Estiwiyanti </t>
  </si>
  <si>
    <t>001052</t>
  </si>
  <si>
    <t>Haryadi, S. Sos</t>
  </si>
  <si>
    <t>Ahmadi, SE</t>
  </si>
  <si>
    <t>Salmiah</t>
  </si>
  <si>
    <t>Asie Yuliastuti, S. Pd</t>
  </si>
  <si>
    <t>Juliansyah</t>
  </si>
  <si>
    <t>Armansyah</t>
  </si>
  <si>
    <t>Ahmad Nur</t>
  </si>
  <si>
    <t>001146</t>
  </si>
  <si>
    <t>001241</t>
  </si>
  <si>
    <t>001354</t>
  </si>
  <si>
    <t>001436</t>
  </si>
  <si>
    <t>001732</t>
  </si>
  <si>
    <t>001759</t>
  </si>
  <si>
    <t>001980</t>
  </si>
  <si>
    <t>002063</t>
  </si>
  <si>
    <t>002244</t>
  </si>
  <si>
    <t>002799</t>
  </si>
  <si>
    <t>Heri Suwarna</t>
  </si>
  <si>
    <t>Hendro Rahmadani</t>
  </si>
  <si>
    <t>BPTDN/03/III/2018</t>
  </si>
  <si>
    <t>Kuala Pembuang, 03 Maret  2018</t>
  </si>
  <si>
    <t>Anita R.</t>
  </si>
  <si>
    <t>Sri Katminah</t>
  </si>
  <si>
    <t>langgar Az. Zaitun</t>
  </si>
  <si>
    <t>Muhammad Khairudin</t>
  </si>
  <si>
    <t>000068</t>
  </si>
  <si>
    <t>000323</t>
  </si>
  <si>
    <t>000421</t>
  </si>
  <si>
    <t>000430</t>
  </si>
  <si>
    <t>Kantor DPKPP</t>
  </si>
  <si>
    <t>000646</t>
  </si>
  <si>
    <t>001268</t>
  </si>
  <si>
    <t>001279</t>
  </si>
  <si>
    <t>Harmanto</t>
  </si>
  <si>
    <t>Andreas Hari Murti NB</t>
  </si>
  <si>
    <t>Agung Setiawan</t>
  </si>
  <si>
    <t>Imis</t>
  </si>
  <si>
    <t>Noor Mini</t>
  </si>
  <si>
    <t>Kantor BLH</t>
  </si>
  <si>
    <t>Suhar</t>
  </si>
  <si>
    <t>Syamsurijal</t>
  </si>
  <si>
    <t>001409</t>
  </si>
  <si>
    <t>001536</t>
  </si>
  <si>
    <t>002022</t>
  </si>
  <si>
    <t>002100</t>
  </si>
  <si>
    <t>002139</t>
  </si>
  <si>
    <t>Raihadi</t>
  </si>
  <si>
    <t>Siswanto</t>
  </si>
  <si>
    <t>A. Karmila</t>
  </si>
  <si>
    <t>Mahyunan</t>
  </si>
  <si>
    <t>Ahmad Martono</t>
  </si>
  <si>
    <t>Suprapto</t>
  </si>
  <si>
    <t>002262</t>
  </si>
  <si>
    <t>002337</t>
  </si>
  <si>
    <t>002413</t>
  </si>
  <si>
    <t>002561</t>
  </si>
  <si>
    <t>002685</t>
  </si>
  <si>
    <t>002848</t>
  </si>
  <si>
    <t>002860</t>
  </si>
  <si>
    <t>003001</t>
  </si>
  <si>
    <t>Hadran</t>
  </si>
  <si>
    <t>BPTDN/04/III/2018</t>
  </si>
  <si>
    <t>Kuala Pembuang, 05 Maret  2018</t>
  </si>
  <si>
    <t>Megantoro</t>
  </si>
  <si>
    <t>H. Yohanes</t>
  </si>
  <si>
    <t>Faridah / Johan</t>
  </si>
  <si>
    <t>000140</t>
  </si>
  <si>
    <t>000227</t>
  </si>
  <si>
    <t>000366</t>
  </si>
  <si>
    <t>000583</t>
  </si>
  <si>
    <t>Joni</t>
  </si>
  <si>
    <t>Mahmudah</t>
  </si>
  <si>
    <t>Ardianto</t>
  </si>
  <si>
    <t>Jarkasi</t>
  </si>
  <si>
    <t>Bambang Sutrisno</t>
  </si>
  <si>
    <t>001362</t>
  </si>
  <si>
    <t>001547</t>
  </si>
  <si>
    <t>001722</t>
  </si>
  <si>
    <t>001725</t>
  </si>
  <si>
    <t>002338</t>
  </si>
  <si>
    <t>Mulyadi/Ilam</t>
  </si>
  <si>
    <t>Samsul Anwar</t>
  </si>
  <si>
    <t>Nordin</t>
  </si>
  <si>
    <t>Romansyah</t>
  </si>
  <si>
    <t>Komariah</t>
  </si>
  <si>
    <t>Salian</t>
  </si>
  <si>
    <t>TASLIM</t>
  </si>
  <si>
    <t>SOEYAMTO</t>
  </si>
  <si>
    <t>002767</t>
  </si>
  <si>
    <t>002777</t>
  </si>
  <si>
    <t>002839</t>
  </si>
  <si>
    <t>002913</t>
  </si>
  <si>
    <t>003016</t>
  </si>
  <si>
    <t>003059</t>
  </si>
  <si>
    <t>BPTDN/05/III/2018</t>
  </si>
  <si>
    <t>Kuala Pembuang, 06 Maret  2018</t>
  </si>
  <si>
    <t>Masrun</t>
  </si>
  <si>
    <t>H. Syahrani</t>
  </si>
  <si>
    <t>Salapuddin Ansyari</t>
  </si>
  <si>
    <t>000035</t>
  </si>
  <si>
    <t>000126</t>
  </si>
  <si>
    <t>000386</t>
  </si>
  <si>
    <t>000491</t>
  </si>
  <si>
    <t>000521</t>
  </si>
  <si>
    <t>000884</t>
  </si>
  <si>
    <t>001040</t>
  </si>
  <si>
    <t>A. Efendi</t>
  </si>
  <si>
    <t>Hj. Tristanti B</t>
  </si>
  <si>
    <t>Budi Setiawan, SE</t>
  </si>
  <si>
    <t>Masrifah</t>
  </si>
  <si>
    <t>Jamaludin, SP</t>
  </si>
  <si>
    <t>Darem</t>
  </si>
  <si>
    <t>Totok, SH</t>
  </si>
  <si>
    <t>Hendra</t>
  </si>
  <si>
    <t>Abdul Malik, SE</t>
  </si>
  <si>
    <t>Saripin</t>
  </si>
  <si>
    <t>001085</t>
  </si>
  <si>
    <t>001204</t>
  </si>
  <si>
    <t>001230</t>
  </si>
  <si>
    <t>001314</t>
  </si>
  <si>
    <t>001385</t>
  </si>
  <si>
    <t>001410</t>
  </si>
  <si>
    <t>001539</t>
  </si>
  <si>
    <t>002382</t>
  </si>
  <si>
    <t>002589</t>
  </si>
  <si>
    <t>Dedy Hidayat</t>
  </si>
  <si>
    <t>Seipol</t>
  </si>
  <si>
    <t>Asmudin</t>
  </si>
  <si>
    <t>Kahfi</t>
  </si>
  <si>
    <t>002829</t>
  </si>
  <si>
    <t>002733</t>
  </si>
  <si>
    <t>BPTDN/06/III/2018</t>
  </si>
  <si>
    <t>Kuala Pembuang, 07 Maret  2018</t>
  </si>
  <si>
    <t>Ngadeni</t>
  </si>
  <si>
    <t>Didik Hariatmaja</t>
  </si>
  <si>
    <t>Rustam M</t>
  </si>
  <si>
    <t>000446</t>
  </si>
  <si>
    <t>000485</t>
  </si>
  <si>
    <t>000627</t>
  </si>
  <si>
    <t>001182</t>
  </si>
  <si>
    <t>001214</t>
  </si>
  <si>
    <t>001216</t>
  </si>
  <si>
    <t>001245</t>
  </si>
  <si>
    <t>001252</t>
  </si>
  <si>
    <t>001295</t>
  </si>
  <si>
    <t>001339</t>
  </si>
  <si>
    <t>001345</t>
  </si>
  <si>
    <t>Siti Mutmainah D</t>
  </si>
  <si>
    <t>Julianti</t>
  </si>
  <si>
    <t>Marfuah, SE</t>
  </si>
  <si>
    <t>Hj. Mislah</t>
  </si>
  <si>
    <t>Arbayah</t>
  </si>
  <si>
    <t>Megawati</t>
  </si>
  <si>
    <t>Pos Kes Des Sei Undang</t>
  </si>
  <si>
    <t>H. Anang Maskuni</t>
  </si>
  <si>
    <t>Pustu Sei Mitak</t>
  </si>
  <si>
    <t>PUSKESMAS KP I</t>
  </si>
  <si>
    <t>Pustu Pematang Limau</t>
  </si>
  <si>
    <t>PUSTU SEI UNDANG</t>
  </si>
  <si>
    <t>Nonong B</t>
  </si>
  <si>
    <t>Pos Kes Des</t>
  </si>
  <si>
    <t>Tito Riandy</t>
  </si>
  <si>
    <t>Sasmita, SP</t>
  </si>
  <si>
    <t>001346</t>
  </si>
  <si>
    <t>001363</t>
  </si>
  <si>
    <t>001390</t>
  </si>
  <si>
    <t>001479</t>
  </si>
  <si>
    <t>001745</t>
  </si>
  <si>
    <t>001800</t>
  </si>
  <si>
    <t>001930</t>
  </si>
  <si>
    <t>001973</t>
  </si>
  <si>
    <t>002038</t>
  </si>
  <si>
    <t>002306</t>
  </si>
  <si>
    <t>002358</t>
  </si>
  <si>
    <t>TK Noor Hidayah</t>
  </si>
  <si>
    <t>Ariani</t>
  </si>
  <si>
    <t>BPTDN/07/III/2018</t>
  </si>
  <si>
    <t>Kuala Pembuang, 08 Maret  2018</t>
  </si>
  <si>
    <t>Amin Suhaimi</t>
  </si>
  <si>
    <t>Marjoko</t>
  </si>
  <si>
    <t>Hendra Anang</t>
  </si>
  <si>
    <t>H. Junaid M</t>
  </si>
  <si>
    <t>000161</t>
  </si>
  <si>
    <t>000202</t>
  </si>
  <si>
    <t>000222</t>
  </si>
  <si>
    <t>000532</t>
  </si>
  <si>
    <t>000552</t>
  </si>
  <si>
    <t>000682</t>
  </si>
  <si>
    <t>000737</t>
  </si>
  <si>
    <t>000936</t>
  </si>
  <si>
    <t>001119</t>
  </si>
  <si>
    <t>001492</t>
  </si>
  <si>
    <t>001511</t>
  </si>
  <si>
    <t>Bambang S</t>
  </si>
  <si>
    <t>Mahlikul</t>
  </si>
  <si>
    <t>Pandu suyoto</t>
  </si>
  <si>
    <t>Agus</t>
  </si>
  <si>
    <t>Asmi</t>
  </si>
  <si>
    <t>Wardah</t>
  </si>
  <si>
    <t>Anang Dirjo</t>
  </si>
  <si>
    <t>Mochamad Yamin</t>
  </si>
  <si>
    <t>Muhammad Abdiannoor</t>
  </si>
  <si>
    <t>Gilang/M. Subahan</t>
  </si>
  <si>
    <t>001952</t>
  </si>
  <si>
    <t>002791</t>
  </si>
  <si>
    <t>002830</t>
  </si>
  <si>
    <t>Iwan Juwarno</t>
  </si>
  <si>
    <t>BPTDN/08/III/2018</t>
  </si>
  <si>
    <t>Kuala Pembuang, 09 Maret  2018</t>
  </si>
  <si>
    <t>Rusmini</t>
  </si>
  <si>
    <t>Lilis Surianti</t>
  </si>
  <si>
    <t>Koharudin</t>
  </si>
  <si>
    <t>Mulia</t>
  </si>
  <si>
    <t>Siti Mutmainah</t>
  </si>
  <si>
    <t>000389</t>
  </si>
  <si>
    <t>000398</t>
  </si>
  <si>
    <t>000543</t>
  </si>
  <si>
    <t>000545</t>
  </si>
  <si>
    <t>001403</t>
  </si>
  <si>
    <t>001548</t>
  </si>
  <si>
    <t>001967</t>
  </si>
  <si>
    <t>002067</t>
  </si>
  <si>
    <t>Rusdi</t>
  </si>
  <si>
    <t>Muchdar</t>
  </si>
  <si>
    <t>Aspol Barak Dalmas</t>
  </si>
  <si>
    <t>M. Fitriyansyah</t>
  </si>
  <si>
    <t>002280</t>
  </si>
  <si>
    <t>002468</t>
  </si>
  <si>
    <t>002476</t>
  </si>
  <si>
    <t>Mira Handayani</t>
  </si>
  <si>
    <t>Husaini, S. Hi</t>
  </si>
  <si>
    <t>Kantor BPBD</t>
  </si>
  <si>
    <t>002621</t>
  </si>
  <si>
    <t>BPTDN/09/III/2018</t>
  </si>
  <si>
    <t>Kuala Pembuang, 10 Maret  2018</t>
  </si>
  <si>
    <t>Sadar Yani</t>
  </si>
  <si>
    <t>Mariati</t>
  </si>
  <si>
    <t>Tommy Firmansyah</t>
  </si>
  <si>
    <t>Ary Dadan Riskianriadi</t>
  </si>
  <si>
    <t>000321</t>
  </si>
  <si>
    <t>000514</t>
  </si>
  <si>
    <t>000820</t>
  </si>
  <si>
    <t>001168</t>
  </si>
  <si>
    <t>001178</t>
  </si>
  <si>
    <t>001349</t>
  </si>
  <si>
    <t>001435</t>
  </si>
  <si>
    <t>001568</t>
  </si>
  <si>
    <t>001597</t>
  </si>
  <si>
    <t>001764</t>
  </si>
  <si>
    <t>002085</t>
  </si>
  <si>
    <t>002343</t>
  </si>
  <si>
    <t>Saleh</t>
  </si>
  <si>
    <t>Shaleh</t>
  </si>
  <si>
    <t>Ismail</t>
  </si>
  <si>
    <t>Maimunah</t>
  </si>
  <si>
    <t>Lawiyah Candra IN</t>
  </si>
  <si>
    <t>Parta</t>
  </si>
  <si>
    <t>Nursam Siam</t>
  </si>
  <si>
    <t>Tuti Maidani</t>
  </si>
  <si>
    <t>Noor Hasan</t>
  </si>
  <si>
    <t>002351</t>
  </si>
  <si>
    <t>002377</t>
  </si>
  <si>
    <t>002548</t>
  </si>
  <si>
    <t>002847</t>
  </si>
  <si>
    <t>BPTDN/10/III/2018</t>
  </si>
  <si>
    <t>Kuala Pembuang, 12 Maret  2018</t>
  </si>
  <si>
    <t>SMUN</t>
  </si>
  <si>
    <t>Rusmini/Iyan</t>
  </si>
  <si>
    <t>000312</t>
  </si>
  <si>
    <t>000948</t>
  </si>
  <si>
    <t>000979</t>
  </si>
  <si>
    <t>001029</t>
  </si>
  <si>
    <t>001072</t>
  </si>
  <si>
    <t>001225</t>
  </si>
  <si>
    <t>Rina Budiyarti</t>
  </si>
  <si>
    <t>Budianto</t>
  </si>
  <si>
    <t>Nanang</t>
  </si>
  <si>
    <t>Eko Harjanto</t>
  </si>
  <si>
    <t>Sunandar Sayidinsyah</t>
  </si>
  <si>
    <t>Hairanoor</t>
  </si>
  <si>
    <t>M. AL.Mutalib</t>
  </si>
  <si>
    <t>Ahmat Saukani</t>
  </si>
  <si>
    <t>Saidi Shabara</t>
  </si>
  <si>
    <t>Sarah</t>
  </si>
  <si>
    <t>Siti Murn</t>
  </si>
  <si>
    <t>001398</t>
  </si>
  <si>
    <t>001464</t>
  </si>
  <si>
    <t>001446</t>
  </si>
  <si>
    <t>001671</t>
  </si>
  <si>
    <t>001710</t>
  </si>
  <si>
    <t>001713</t>
  </si>
  <si>
    <t>001787</t>
  </si>
  <si>
    <t>001974</t>
  </si>
  <si>
    <t>002000</t>
  </si>
  <si>
    <t>002053</t>
  </si>
  <si>
    <t>002428</t>
  </si>
  <si>
    <t>Khusnul Hatimah</t>
  </si>
  <si>
    <t>Idah</t>
  </si>
  <si>
    <t>Pipin Monika Sari</t>
  </si>
  <si>
    <t>Muhammad Saiful</t>
  </si>
  <si>
    <t>Udin</t>
  </si>
  <si>
    <t>Adriana Mapau</t>
  </si>
  <si>
    <t>Yuniarti</t>
  </si>
  <si>
    <t>AFIRUS FEBIAN</t>
  </si>
  <si>
    <t>002432</t>
  </si>
  <si>
    <t>002482</t>
  </si>
  <si>
    <t>002882</t>
  </si>
  <si>
    <t>003060</t>
  </si>
  <si>
    <t>BPTDN/11/III/2018</t>
  </si>
  <si>
    <t>Kuala Pembuang, 13 Maret  2018</t>
  </si>
  <si>
    <t>Jumawal</t>
  </si>
  <si>
    <t>Andi Aswita B</t>
  </si>
  <si>
    <t>Ambo Saka</t>
  </si>
  <si>
    <t>000380</t>
  </si>
  <si>
    <t>000436</t>
  </si>
  <si>
    <t>000654</t>
  </si>
  <si>
    <t>000657</t>
  </si>
  <si>
    <t>Riseh</t>
  </si>
  <si>
    <t>001433</t>
  </si>
  <si>
    <t>001780</t>
  </si>
  <si>
    <t>001837</t>
  </si>
  <si>
    <t>Hj. Bahriah</t>
  </si>
  <si>
    <t>Mustapa Kamal Pasa</t>
  </si>
  <si>
    <t>Maslan</t>
  </si>
  <si>
    <t>Sariffudin</t>
  </si>
  <si>
    <t>Santi</t>
  </si>
  <si>
    <t>Parissa Sawasti, RN</t>
  </si>
  <si>
    <t>Piau Sandoa</t>
  </si>
  <si>
    <t>002236</t>
  </si>
  <si>
    <t>002245</t>
  </si>
  <si>
    <t>002362</t>
  </si>
  <si>
    <t>002389</t>
  </si>
  <si>
    <t>002505</t>
  </si>
  <si>
    <t>002587</t>
  </si>
  <si>
    <t>Ali Tugiantono</t>
  </si>
  <si>
    <t>002258</t>
  </si>
  <si>
    <t>BPTDN/12/III/2018</t>
  </si>
  <si>
    <t>Kuala Pembuang, 14 Maret  2018</t>
  </si>
  <si>
    <t>Sales Jani</t>
  </si>
  <si>
    <t>Taufik Kurafhman, S. Pi</t>
  </si>
  <si>
    <t>000062</t>
  </si>
  <si>
    <t>000644</t>
  </si>
  <si>
    <t>000787</t>
  </si>
  <si>
    <t>001219</t>
  </si>
  <si>
    <t>001418</t>
  </si>
  <si>
    <t>001554</t>
  </si>
  <si>
    <t>001660</t>
  </si>
  <si>
    <t>001752</t>
  </si>
  <si>
    <t>001982</t>
  </si>
  <si>
    <t>Riyanto</t>
  </si>
  <si>
    <t>H. Sutrisno</t>
  </si>
  <si>
    <t>Salmin</t>
  </si>
  <si>
    <t>Romani</t>
  </si>
  <si>
    <t>Hartin Sumarni, SP</t>
  </si>
  <si>
    <t>Arliani</t>
  </si>
  <si>
    <t>BPTDN/13/III/2018</t>
  </si>
  <si>
    <t>Kuala Pembuang, 15 Maret  2018</t>
  </si>
  <si>
    <t>Ktr Dinas PU</t>
  </si>
  <si>
    <t>Ktr Dinas Banwasda</t>
  </si>
  <si>
    <t>Darwis S. Pt</t>
  </si>
  <si>
    <t>000662</t>
  </si>
  <si>
    <t>000666</t>
  </si>
  <si>
    <t>000791</t>
  </si>
  <si>
    <t>000823</t>
  </si>
  <si>
    <t>000892</t>
  </si>
  <si>
    <t>001034</t>
  </si>
  <si>
    <t>001044</t>
  </si>
  <si>
    <t>001348</t>
  </si>
  <si>
    <t>001377</t>
  </si>
  <si>
    <t>Sutopo Yuwono</t>
  </si>
  <si>
    <t>Ktr. BPPKB</t>
  </si>
  <si>
    <t>Drs. Edy Riswan</t>
  </si>
  <si>
    <t>Syarif Faini D</t>
  </si>
  <si>
    <t>Ismiranto, MPH</t>
  </si>
  <si>
    <t>Ali</t>
  </si>
  <si>
    <t>Siti Raudah</t>
  </si>
  <si>
    <t>Darmadi</t>
  </si>
  <si>
    <t>001579</t>
  </si>
  <si>
    <t>002361</t>
  </si>
  <si>
    <t>IR. ILYAS</t>
  </si>
  <si>
    <t>003018</t>
  </si>
  <si>
    <t>BPTDN/14/III/2018</t>
  </si>
  <si>
    <t>Kuala Pembuang, 16 Maret  2018</t>
  </si>
  <si>
    <t>Kejari I</t>
  </si>
  <si>
    <t>Ali Imbran</t>
  </si>
  <si>
    <t>M. Ramdiansyah</t>
  </si>
  <si>
    <t>000478</t>
  </si>
  <si>
    <t>000510</t>
  </si>
  <si>
    <t>000511</t>
  </si>
  <si>
    <t>000684</t>
  </si>
  <si>
    <t>000726</t>
  </si>
  <si>
    <t>001193</t>
  </si>
  <si>
    <t>Kasmadiansyah A</t>
  </si>
  <si>
    <t>Azizah</t>
  </si>
  <si>
    <t>Kejari VIII</t>
  </si>
  <si>
    <t>Roy Poltak Asina S. S.E</t>
  </si>
  <si>
    <t>001561</t>
  </si>
  <si>
    <t>001635</t>
  </si>
  <si>
    <t>002506</t>
  </si>
  <si>
    <t>002721</t>
  </si>
  <si>
    <t>002756</t>
  </si>
  <si>
    <t>002904</t>
  </si>
  <si>
    <t>002928</t>
  </si>
  <si>
    <t>002744</t>
  </si>
  <si>
    <t>Arie Yannur</t>
  </si>
  <si>
    <t>Latifah</t>
  </si>
  <si>
    <t>Hadiyanto</t>
  </si>
  <si>
    <t>Johani</t>
  </si>
  <si>
    <t>Agus Aprianto</t>
  </si>
  <si>
    <t>Samsul</t>
  </si>
  <si>
    <t>BPTDN/15/III/2018</t>
  </si>
  <si>
    <t>Kuala Pembuang, 19 Maret  2018</t>
  </si>
  <si>
    <t>000096</t>
  </si>
  <si>
    <t>000496</t>
  </si>
  <si>
    <t>000692</t>
  </si>
  <si>
    <t>000796</t>
  </si>
  <si>
    <t>Tedy Iskandar M</t>
  </si>
  <si>
    <t>Hatuti Arianti</t>
  </si>
  <si>
    <t>Badraini</t>
  </si>
  <si>
    <t>Alus</t>
  </si>
  <si>
    <t>Supatmi</t>
  </si>
  <si>
    <t>Murniana</t>
  </si>
  <si>
    <t>Endang Marlina</t>
  </si>
  <si>
    <t>000997</t>
  </si>
  <si>
    <t>001055</t>
  </si>
  <si>
    <t>001097</t>
  </si>
  <si>
    <t>001108</t>
  </si>
  <si>
    <t>001306</t>
  </si>
  <si>
    <t>001425</t>
  </si>
  <si>
    <t>001542</t>
  </si>
  <si>
    <t>001583</t>
  </si>
  <si>
    <t>001828</t>
  </si>
  <si>
    <t>001829</t>
  </si>
  <si>
    <t>001840</t>
  </si>
  <si>
    <t>001866</t>
  </si>
  <si>
    <t>Adriani</t>
  </si>
  <si>
    <t>Suryani A</t>
  </si>
  <si>
    <t>Syahwi</t>
  </si>
  <si>
    <t>Suhartini</t>
  </si>
  <si>
    <t>Norpiah</t>
  </si>
  <si>
    <t>Bustaniah</t>
  </si>
  <si>
    <t>Darmento</t>
  </si>
  <si>
    <t>Masjid Al Inayah</t>
  </si>
  <si>
    <t>Zainul Abidin, ST</t>
  </si>
  <si>
    <t>Kadir</t>
  </si>
  <si>
    <t>Supriyatno</t>
  </si>
  <si>
    <t>002107</t>
  </si>
  <si>
    <t>002499</t>
  </si>
  <si>
    <t>002538</t>
  </si>
  <si>
    <t>002557</t>
  </si>
  <si>
    <t>002663</t>
  </si>
  <si>
    <t>002771</t>
  </si>
  <si>
    <t>002775</t>
  </si>
  <si>
    <t>002776</t>
  </si>
  <si>
    <t>Nor Fatimah</t>
  </si>
  <si>
    <t>Muhamad Nor Jayadi</t>
  </si>
  <si>
    <t>Badriannoor</t>
  </si>
  <si>
    <t>Istikomah</t>
  </si>
  <si>
    <t>Hasbullah</t>
  </si>
  <si>
    <t>Ilyas</t>
  </si>
  <si>
    <t>SAHBIDIN</t>
  </si>
  <si>
    <t>SAHRULWANTO</t>
  </si>
  <si>
    <t>003007</t>
  </si>
  <si>
    <t>003021</t>
  </si>
  <si>
    <t>BPTDN/16/III/2018</t>
  </si>
  <si>
    <t>Kuala Pembuang, 20 Maret  2018</t>
  </si>
  <si>
    <t>HA Rusdi</t>
  </si>
  <si>
    <t>000181</t>
  </si>
  <si>
    <t>000384</t>
  </si>
  <si>
    <t>000440</t>
  </si>
  <si>
    <t>000538</t>
  </si>
  <si>
    <t>000578</t>
  </si>
  <si>
    <t>000593</t>
  </si>
  <si>
    <t>Mursid</t>
  </si>
  <si>
    <t>Hananta M.S</t>
  </si>
  <si>
    <t>HM. Murjikinsyah A</t>
  </si>
  <si>
    <t>Karsemiati</t>
  </si>
  <si>
    <t>Aliya</t>
  </si>
  <si>
    <t>Harjanto E</t>
  </si>
  <si>
    <t>Salbiyah</t>
  </si>
  <si>
    <t>Imur</t>
  </si>
  <si>
    <t>000784</t>
  </si>
  <si>
    <t>000946</t>
  </si>
  <si>
    <t>000984</t>
  </si>
  <si>
    <t>001002</t>
  </si>
  <si>
    <t>001131</t>
  </si>
  <si>
    <t>001401</t>
  </si>
  <si>
    <t>001414</t>
  </si>
  <si>
    <t>Kantor DPKAD</t>
  </si>
  <si>
    <t>Septedi Anata B</t>
  </si>
  <si>
    <t>A. Kahar</t>
  </si>
  <si>
    <t>Revi Irahap Winto</t>
  </si>
  <si>
    <t>Bahrudin, ST</t>
  </si>
  <si>
    <t>Joko Supianto</t>
  </si>
  <si>
    <t>Diman A</t>
  </si>
  <si>
    <t>001528</t>
  </si>
  <si>
    <t>001601</t>
  </si>
  <si>
    <t>Yansah</t>
  </si>
  <si>
    <t>001744</t>
  </si>
  <si>
    <t>001830</t>
  </si>
  <si>
    <t>001845</t>
  </si>
  <si>
    <t>H. Muhamad Hanfie</t>
  </si>
  <si>
    <t>Taslimah</t>
  </si>
  <si>
    <t>Arie Dmiyanthie</t>
  </si>
  <si>
    <t>002075</t>
  </si>
  <si>
    <t>002089</t>
  </si>
  <si>
    <t>002098</t>
  </si>
  <si>
    <t>002410</t>
  </si>
  <si>
    <t>002494</t>
  </si>
  <si>
    <t>002546</t>
  </si>
  <si>
    <t>002553</t>
  </si>
  <si>
    <t>002835</t>
  </si>
  <si>
    <t>Hadiatur Rahmadani</t>
  </si>
  <si>
    <t>Matruji</t>
  </si>
  <si>
    <t>Muhidinsyah</t>
  </si>
  <si>
    <t>Pujianti</t>
  </si>
  <si>
    <t>Adie Wirasetyawan</t>
  </si>
  <si>
    <t>BPTDN/17/III/2018</t>
  </si>
  <si>
    <t>Kuala Pembuang, 21 Maret  2018</t>
  </si>
  <si>
    <t>HA. Haima</t>
  </si>
  <si>
    <t>M. Ali A</t>
  </si>
  <si>
    <t>M. Ali E</t>
  </si>
  <si>
    <t>Hadsah</t>
  </si>
  <si>
    <t>000044</t>
  </si>
  <si>
    <t>000503</t>
  </si>
  <si>
    <t>000875</t>
  </si>
  <si>
    <t>000879</t>
  </si>
  <si>
    <t>001284</t>
  </si>
  <si>
    <t>H. Anang Maskuni A</t>
  </si>
  <si>
    <t>H. Anang Maskuni G</t>
  </si>
  <si>
    <t>H. Anang Maskuni I</t>
  </si>
  <si>
    <t>Waris Susanto</t>
  </si>
  <si>
    <t>Abdullah C</t>
  </si>
  <si>
    <t>Hamdan</t>
  </si>
  <si>
    <t>Rimba Setia Wijaya A</t>
  </si>
  <si>
    <t>Haris Budiyanto</t>
  </si>
  <si>
    <t>Heru Ismanto</t>
  </si>
  <si>
    <t>Nurlelawati</t>
  </si>
  <si>
    <t>UPTD PP dan KB</t>
  </si>
  <si>
    <t>001291</t>
  </si>
  <si>
    <t>001298</t>
  </si>
  <si>
    <t>001300</t>
  </si>
  <si>
    <t>001305</t>
  </si>
  <si>
    <t>001373</t>
  </si>
  <si>
    <t>001516</t>
  </si>
  <si>
    <t>001666</t>
  </si>
  <si>
    <t>001849</t>
  </si>
  <si>
    <t>001939</t>
  </si>
  <si>
    <t>002041</t>
  </si>
  <si>
    <t>002188</t>
  </si>
  <si>
    <t>002249</t>
  </si>
  <si>
    <t>002310</t>
  </si>
  <si>
    <t>002405</t>
  </si>
  <si>
    <t>002486</t>
  </si>
  <si>
    <t>002507</t>
  </si>
  <si>
    <t>002605</t>
  </si>
  <si>
    <t>002686</t>
  </si>
  <si>
    <t>002890</t>
  </si>
  <si>
    <t>002906</t>
  </si>
  <si>
    <t>003062</t>
  </si>
  <si>
    <t>Iwansyah/Roti</t>
  </si>
  <si>
    <t>Budi Susilo</t>
  </si>
  <si>
    <t>Sadiman</t>
  </si>
  <si>
    <t>Hani</t>
  </si>
  <si>
    <t>Damin</t>
  </si>
  <si>
    <t>Dayang santi</t>
  </si>
  <si>
    <t>TUMIJAN</t>
  </si>
  <si>
    <t>BPTDN/18/III/2018</t>
  </si>
  <si>
    <t>Kuala Pembuang, 22 Maret  2018</t>
  </si>
  <si>
    <t>Edi suandy/Ikul</t>
  </si>
  <si>
    <t>Yahyatra, Amd</t>
  </si>
  <si>
    <t>Alexander A</t>
  </si>
  <si>
    <t>Alexander B</t>
  </si>
  <si>
    <t>Sri Wibowo</t>
  </si>
  <si>
    <t>Rahmad Saufi, S. Pd</t>
  </si>
  <si>
    <t>Alek Sudiono</t>
  </si>
  <si>
    <t>Ikin</t>
  </si>
  <si>
    <t>Sani</t>
  </si>
  <si>
    <t>000275</t>
  </si>
  <si>
    <t>000594</t>
  </si>
  <si>
    <t>000607</t>
  </si>
  <si>
    <t>000615</t>
  </si>
  <si>
    <t>001641</t>
  </si>
  <si>
    <t>001758</t>
  </si>
  <si>
    <t>001902</t>
  </si>
  <si>
    <t>001903</t>
  </si>
  <si>
    <t>001943</t>
  </si>
  <si>
    <t>001285</t>
  </si>
  <si>
    <t>001992</t>
  </si>
  <si>
    <t>002092</t>
  </si>
  <si>
    <t>002110</t>
  </si>
  <si>
    <t>002559</t>
  </si>
  <si>
    <t>002742</t>
  </si>
  <si>
    <t>002825</t>
  </si>
  <si>
    <t>002929</t>
  </si>
  <si>
    <t>003033</t>
  </si>
  <si>
    <t>Helmi Fauzi</t>
  </si>
  <si>
    <t>Dijah</t>
  </si>
  <si>
    <t>Sayhbud n</t>
  </si>
  <si>
    <t>Mawan</t>
  </si>
  <si>
    <t>Sarji</t>
  </si>
  <si>
    <t>Suswandi</t>
  </si>
  <si>
    <t>BPTDN/19/III/2018</t>
  </si>
  <si>
    <t>Kuala Pembuang, 23 Maret  2018</t>
  </si>
  <si>
    <t>BPTDN/20/III/2018</t>
  </si>
  <si>
    <t>Kuala Pembuang, 24 Maret  2018</t>
  </si>
  <si>
    <t>Makiah/Igos</t>
  </si>
  <si>
    <t>S. Hasim</t>
  </si>
  <si>
    <t>Suyitno</t>
  </si>
  <si>
    <t>Simpen</t>
  </si>
  <si>
    <t>A. Manaf</t>
  </si>
  <si>
    <t>Hj. Norjenah</t>
  </si>
  <si>
    <t>000399</t>
  </si>
  <si>
    <t>000415</t>
  </si>
  <si>
    <t>000778</t>
  </si>
  <si>
    <t>000964</t>
  </si>
  <si>
    <t>001272</t>
  </si>
  <si>
    <t>001509</t>
  </si>
  <si>
    <t>001574</t>
  </si>
  <si>
    <t>001591</t>
  </si>
  <si>
    <t>002321</t>
  </si>
  <si>
    <t>002604</t>
  </si>
  <si>
    <t>002616</t>
  </si>
  <si>
    <t>002647</t>
  </si>
  <si>
    <t>003056</t>
  </si>
  <si>
    <t>Muhammad Hadi Shabara</t>
  </si>
  <si>
    <t>Hatta Amrullah</t>
  </si>
  <si>
    <t>Arliani VI</t>
  </si>
  <si>
    <t>Yuliadi</t>
  </si>
  <si>
    <t>Sulaimar</t>
  </si>
  <si>
    <t>MURSYIDAH, S. PDI</t>
  </si>
  <si>
    <t>Husain</t>
  </si>
  <si>
    <t>Tio Ifan Arisda</t>
  </si>
  <si>
    <t>Kejari III</t>
  </si>
  <si>
    <t>Fahriani</t>
  </si>
  <si>
    <t>Deni Gunawan, A.Md</t>
  </si>
  <si>
    <t>000072</t>
  </si>
  <si>
    <t>000919</t>
  </si>
  <si>
    <t>001012</t>
  </si>
  <si>
    <t>001058</t>
  </si>
  <si>
    <t>001351</t>
  </si>
  <si>
    <t>001370</t>
  </si>
  <si>
    <t>001674</t>
  </si>
  <si>
    <t>Aris</t>
  </si>
  <si>
    <t>Siti Rokayah</t>
  </si>
  <si>
    <t>BPTDN/21/III/2018</t>
  </si>
  <si>
    <t>Arpan Efendi</t>
  </si>
  <si>
    <t>M. Fadlan</t>
  </si>
  <si>
    <t>Agus Suharto</t>
  </si>
  <si>
    <t>WIWIK WIDAYATI</t>
  </si>
  <si>
    <t>Alamat Fitri Hartoni</t>
  </si>
  <si>
    <t>000154</t>
  </si>
  <si>
    <t>000155</t>
  </si>
  <si>
    <t>000806</t>
  </si>
  <si>
    <t>000876</t>
  </si>
  <si>
    <t>000917</t>
  </si>
  <si>
    <t>Kejari X</t>
  </si>
  <si>
    <t>Kardiansyah, SE</t>
  </si>
  <si>
    <t>Farida Marantika</t>
  </si>
  <si>
    <t>Johansyah C</t>
  </si>
  <si>
    <t>001566</t>
  </si>
  <si>
    <t>001645</t>
  </si>
  <si>
    <t>001656</t>
  </si>
  <si>
    <t>001789</t>
  </si>
  <si>
    <t>002130</t>
  </si>
  <si>
    <t>David Dzulkarnain</t>
  </si>
  <si>
    <t>002279</t>
  </si>
  <si>
    <t>Kuala Pembuang, 26 Maret  2018</t>
  </si>
  <si>
    <t>BPTDN/22/III/2018</t>
  </si>
  <si>
    <t>Kuala Pembuang, 27 Maret  2018</t>
  </si>
  <si>
    <t>GT. M. Yusran</t>
  </si>
  <si>
    <t>Marjan</t>
  </si>
  <si>
    <t>Hartatik</t>
  </si>
  <si>
    <t>Rujab. Kabag Ops Polres</t>
  </si>
  <si>
    <t>000016</t>
  </si>
  <si>
    <t>000621</t>
  </si>
  <si>
    <t>000550</t>
  </si>
  <si>
    <t>000844</t>
  </si>
  <si>
    <t>000886</t>
  </si>
  <si>
    <t>001127</t>
  </si>
  <si>
    <t>001158</t>
  </si>
  <si>
    <t>001369</t>
  </si>
  <si>
    <t>001481</t>
  </si>
  <si>
    <t>001593</t>
  </si>
  <si>
    <t>001831</t>
  </si>
  <si>
    <t>Unan</t>
  </si>
  <si>
    <t>Nanik Novita</t>
  </si>
  <si>
    <t>Padlan</t>
  </si>
  <si>
    <t>Mey Liana Wati Lay</t>
  </si>
  <si>
    <t>002314</t>
  </si>
  <si>
    <t>002453</t>
  </si>
  <si>
    <t>002990</t>
  </si>
  <si>
    <t>Bustan</t>
  </si>
  <si>
    <t>Saprudin</t>
  </si>
  <si>
    <t>Aluh</t>
  </si>
  <si>
    <t>BPTDN/23/III/2018</t>
  </si>
  <si>
    <t>Kuala Pembuang, 28 Maret  2018</t>
  </si>
  <si>
    <t>Siti Urifah</t>
  </si>
  <si>
    <t>Juana</t>
  </si>
  <si>
    <t>I Gede Data Widiyatmika</t>
  </si>
  <si>
    <t>Siti Kalsum</t>
  </si>
  <si>
    <t>000273</t>
  </si>
  <si>
    <t>000378</t>
  </si>
  <si>
    <t>000890</t>
  </si>
  <si>
    <t>000939</t>
  </si>
  <si>
    <t>001313</t>
  </si>
  <si>
    <t>001607</t>
  </si>
  <si>
    <t>002271</t>
  </si>
  <si>
    <t>002463</t>
  </si>
  <si>
    <t>002516</t>
  </si>
  <si>
    <t>Nopiman</t>
  </si>
  <si>
    <t>Hj. Norjenah, S. Ag. A</t>
  </si>
  <si>
    <t>Iman Normansyah</t>
  </si>
  <si>
    <t>Eva Teresia Butar B, A. Md</t>
  </si>
  <si>
    <t>Hanisa</t>
  </si>
  <si>
    <t>BPTDN/24/III/2018</t>
  </si>
  <si>
    <t>Kuala Pembuang, 29 Maret  2018</t>
  </si>
  <si>
    <t>Rujab Kadis Pertanian</t>
  </si>
  <si>
    <t>Soeni</t>
  </si>
  <si>
    <t>H. Muamar</t>
  </si>
  <si>
    <t>000052</t>
  </si>
  <si>
    <t>000458</t>
  </si>
  <si>
    <t>000690</t>
  </si>
  <si>
    <t>000750</t>
  </si>
  <si>
    <t>000766</t>
  </si>
  <si>
    <t>000921</t>
  </si>
  <si>
    <t>001125</t>
  </si>
  <si>
    <t>001399</t>
  </si>
  <si>
    <t>001412</t>
  </si>
  <si>
    <t>002151</t>
  </si>
  <si>
    <t>002420</t>
  </si>
  <si>
    <t>002590</t>
  </si>
  <si>
    <t>Imam Sugiarto, SE</t>
  </si>
  <si>
    <t>Hj. Tristianti A</t>
  </si>
  <si>
    <t>Sukiman</t>
  </si>
  <si>
    <t>Ktr. Kades Sei. Undang</t>
  </si>
  <si>
    <t>Mulie</t>
  </si>
  <si>
    <t>Imam Sugiarto</t>
  </si>
  <si>
    <t>Kuala Pembuang, 02 April 2018</t>
  </si>
  <si>
    <t>BPTDN/25/III/2018</t>
  </si>
  <si>
    <t>Kuala Pembuang, 31 Maret  2018</t>
  </si>
  <si>
    <t>BPTDN/01/IV/2018</t>
  </si>
  <si>
    <t>Adim Wijaya</t>
  </si>
  <si>
    <t xml:space="preserve">H. Hasanudin </t>
  </si>
  <si>
    <t>000130</t>
  </si>
  <si>
    <t>000547</t>
  </si>
  <si>
    <t>000614</t>
  </si>
  <si>
    <t>000703</t>
  </si>
  <si>
    <t>000723</t>
  </si>
  <si>
    <t>000827</t>
  </si>
  <si>
    <t>000887</t>
  </si>
  <si>
    <t>001103</t>
  </si>
  <si>
    <t>Edy Susanto</t>
  </si>
  <si>
    <t>HM. Murjikinsyah J</t>
  </si>
  <si>
    <t>Jumiatin</t>
  </si>
  <si>
    <t>Robby Lesmana G</t>
  </si>
  <si>
    <t>Rumdis Ass. 1. Sekda</t>
  </si>
  <si>
    <t>Arbain</t>
  </si>
  <si>
    <t>Maspur Kholis</t>
  </si>
  <si>
    <t>Norlioyant e</t>
  </si>
  <si>
    <t>Ningsih</t>
  </si>
  <si>
    <t>Irfan</t>
  </si>
  <si>
    <t>Sakka</t>
  </si>
  <si>
    <t>001310</t>
  </si>
  <si>
    <t>001609</t>
  </si>
  <si>
    <t>001688</t>
  </si>
  <si>
    <t>Galuh Rusdiana</t>
  </si>
  <si>
    <t>Syahrunah</t>
  </si>
  <si>
    <t>Iga Nyoman SDS</t>
  </si>
  <si>
    <t>001747</t>
  </si>
  <si>
    <t>001991</t>
  </si>
  <si>
    <t>002052</t>
  </si>
  <si>
    <t>002079</t>
  </si>
  <si>
    <t>002147</t>
  </si>
  <si>
    <t>002150</t>
  </si>
  <si>
    <t>002273</t>
  </si>
  <si>
    <t>002353</t>
  </si>
  <si>
    <t>002512</t>
  </si>
  <si>
    <t>Verino</t>
  </si>
  <si>
    <t>Irlianto A Amsyah</t>
  </si>
  <si>
    <t>Zakaria</t>
  </si>
  <si>
    <t>NORTAJALI</t>
  </si>
  <si>
    <t>003065</t>
  </si>
  <si>
    <t>BPTDN/02/IV/2018</t>
  </si>
  <si>
    <t>Ipik G</t>
  </si>
  <si>
    <t>000326</t>
  </si>
  <si>
    <t>000572</t>
  </si>
  <si>
    <t>000656</t>
  </si>
  <si>
    <t>000770</t>
  </si>
  <si>
    <t>000849</t>
  </si>
  <si>
    <t>Abas Sugianto</t>
  </si>
  <si>
    <t>M. Junaidi</t>
  </si>
  <si>
    <t>Bawai Idham</t>
  </si>
  <si>
    <t>H. Suparman</t>
  </si>
  <si>
    <t>Teguh Priyatno</t>
  </si>
  <si>
    <t>Heriyati Arsyad</t>
  </si>
  <si>
    <t>Eka Yulianti</t>
  </si>
  <si>
    <t>Meiril Qomar B</t>
  </si>
  <si>
    <t>001186</t>
  </si>
  <si>
    <t>01208</t>
  </si>
  <si>
    <t>001277</t>
  </si>
  <si>
    <t>001512</t>
  </si>
  <si>
    <t>002336</t>
  </si>
  <si>
    <t>002344</t>
  </si>
  <si>
    <t>Maya</t>
  </si>
  <si>
    <t>Yana</t>
  </si>
  <si>
    <t>YOPI KISMANTO I</t>
  </si>
  <si>
    <t>YOPI KISMANTO II</t>
  </si>
  <si>
    <t>YOPI KISMANTO IV</t>
  </si>
  <si>
    <t>002881</t>
  </si>
  <si>
    <t>JOURNAL REKENING NON AIR (JRNA)</t>
  </si>
  <si>
    <t>BULAN : JANUARI 2019</t>
  </si>
  <si>
    <t>BULAN : DESEMBER 2019</t>
  </si>
  <si>
    <t>BULAN : NOVEMBER 2019</t>
  </si>
  <si>
    <t>BULAN : OKTOBER 2019</t>
  </si>
  <si>
    <t>BULAN : SEPTEMBER 2019</t>
  </si>
  <si>
    <t>BULAN : AGUSTUS 2019</t>
  </si>
  <si>
    <t>BULAN : JULI 2019</t>
  </si>
  <si>
    <t>BULAN : JUNI 2019</t>
  </si>
  <si>
    <t>BULAN : MEI 2019</t>
  </si>
  <si>
    <t>BULAN : APRIL 2019</t>
  </si>
  <si>
    <t>BULAN : MARET 2019</t>
  </si>
  <si>
    <t>BULAN : FEBRUARI 2019</t>
  </si>
  <si>
    <t>1 Juni 19</t>
  </si>
  <si>
    <t>1 Mei 19</t>
  </si>
  <si>
    <t xml:space="preserve">1 April </t>
  </si>
  <si>
    <t xml:space="preserve">1 Maret </t>
  </si>
  <si>
    <t xml:space="preserve">1 Feb </t>
  </si>
  <si>
    <t xml:space="preserve">1 Jan </t>
  </si>
  <si>
    <t>1 Jan</t>
  </si>
  <si>
    <t>JP '18</t>
  </si>
  <si>
    <t>Iuran BPJS Ketenagakerjaan</t>
  </si>
  <si>
    <t>Pemby. Iuran DAPENMA PAMSI</t>
  </si>
  <si>
    <t>Pemb. Paket Internet</t>
  </si>
  <si>
    <t>Pemb. Bola Lampu</t>
  </si>
  <si>
    <t>Pemby. Dana Representatif Direktur</t>
  </si>
  <si>
    <t>Pemby. Biaya Konsumsi Pegawai</t>
  </si>
  <si>
    <t>30 Sept</t>
  </si>
  <si>
    <t>Pendapatan Non Air ( Assessories SR)</t>
  </si>
  <si>
    <t>Pemb. Materai @6000</t>
  </si>
  <si>
    <t>Pemb. Air Minum Pegawai</t>
  </si>
  <si>
    <t>Pendapatan Non Air (Samb. Baru)</t>
  </si>
  <si>
    <t>JOURNAL KOREKSI</t>
  </si>
  <si>
    <t>Pemby. Keamanan Kantor</t>
  </si>
  <si>
    <t>BULAN : JANUARI 2020</t>
  </si>
  <si>
    <t>Piutang Rek Air - Tempat Ibadah (TI)</t>
  </si>
  <si>
    <t>93.02.30</t>
  </si>
  <si>
    <t>NAMA PERKIRAAN</t>
  </si>
  <si>
    <t>NO. PERK</t>
  </si>
  <si>
    <t>13.01.11</t>
  </si>
  <si>
    <t>81.01.10</t>
  </si>
  <si>
    <t>Pendapatan Air-Harga Air</t>
  </si>
  <si>
    <t>96.02.10</t>
  </si>
  <si>
    <t>50.01.00</t>
  </si>
  <si>
    <t>50.02.00</t>
  </si>
  <si>
    <t>DAFTAR VOUCHER UTANG YANG HARUS DIBAYAR</t>
  </si>
  <si>
    <t>VOUCHER</t>
  </si>
  <si>
    <t xml:space="preserve">DIBAYAR </t>
  </si>
  <si>
    <t>CHEK/B. GIRO</t>
  </si>
  <si>
    <t>BAHAN INSTALASI</t>
  </si>
  <si>
    <t>BIAYA OPRS SUMBER</t>
  </si>
  <si>
    <t>BIAYA OPRS PENGOLAHAN</t>
  </si>
  <si>
    <t>BIAYA OPRS DISTRIBUSI</t>
  </si>
  <si>
    <t>15.01.00</t>
  </si>
  <si>
    <t>41.02.00</t>
  </si>
  <si>
    <t>91.01.00</t>
  </si>
  <si>
    <t>92.01.00</t>
  </si>
  <si>
    <t>93.01.00</t>
  </si>
  <si>
    <t>BULAN JANUARI</t>
  </si>
  <si>
    <t>PERSEDIAAN BAHAN KIMIA</t>
  </si>
  <si>
    <t xml:space="preserve">  </t>
  </si>
  <si>
    <t xml:space="preserve">02 Jan </t>
  </si>
  <si>
    <t>001</t>
  </si>
  <si>
    <t>Pembelian Pengukur Kadar Garam</t>
  </si>
  <si>
    <t>02 Jan</t>
  </si>
  <si>
    <t>Tunai</t>
  </si>
  <si>
    <t>002</t>
  </si>
  <si>
    <t>Pembelian Sylinder 3 Zel</t>
  </si>
  <si>
    <t>003</t>
  </si>
  <si>
    <t>Pembelian Tas Lap top</t>
  </si>
  <si>
    <t>Pembelian Pasir Cor</t>
  </si>
  <si>
    <t>04 Jan</t>
  </si>
  <si>
    <t>004</t>
  </si>
  <si>
    <t>06 jan</t>
  </si>
  <si>
    <t>005</t>
  </si>
  <si>
    <t>Pembelian Terminal, Stiker Braco, Paku</t>
  </si>
  <si>
    <t>006</t>
  </si>
  <si>
    <t>Pemb. Gorden, Tutup Gorden, Tongkat dan Rol Gorden</t>
  </si>
  <si>
    <t>20 Jan</t>
  </si>
  <si>
    <t>SUB. PERK</t>
  </si>
  <si>
    <t>B. PEGAWAI UMUM&amp;ADM (96.01.00)</t>
  </si>
  <si>
    <t>B. KANTOR (96.02.00)</t>
  </si>
  <si>
    <t>B. HUBLANG ( 96.03.00)</t>
  </si>
  <si>
    <t>92.02.90</t>
  </si>
  <si>
    <t>Nama Perkiraan</t>
  </si>
  <si>
    <t>B. Pemeliharaan Pengolahan</t>
  </si>
  <si>
    <t>96.02.90</t>
  </si>
  <si>
    <t>Rupa2 B. Kantor</t>
  </si>
  <si>
    <t>B. Pemeliharaan Trandist lainnya</t>
  </si>
  <si>
    <t>93.02.90</t>
  </si>
  <si>
    <t>007</t>
  </si>
  <si>
    <t>Pemb. Raoundap &amp; Primaxone</t>
  </si>
  <si>
    <t>96.06.50</t>
  </si>
  <si>
    <t>B. Pemeliharaan taman &amp; lapangan</t>
  </si>
  <si>
    <t>B. PENELITIAN &amp; PENGEMBANGAN (96.04.00)</t>
  </si>
  <si>
    <t>B. PEMELIHARAAN (96.06.00)</t>
  </si>
  <si>
    <t>BIAYA UMUM LAINNYA (96.07.00 DAN 96.08.00)</t>
  </si>
  <si>
    <t>22 Jan</t>
  </si>
  <si>
    <t>008</t>
  </si>
  <si>
    <t>Pemeliharaan avanza KH 1407PE</t>
  </si>
  <si>
    <t>96.06.20</t>
  </si>
  <si>
    <t>Pemeliharaan Kendaraan</t>
  </si>
  <si>
    <t>009</t>
  </si>
  <si>
    <t>SPPD ke Sampit An. Ilias dll</t>
  </si>
  <si>
    <t>96.08.30</t>
  </si>
  <si>
    <t>B. Perjalanan Dinas</t>
  </si>
  <si>
    <t>010</t>
  </si>
  <si>
    <t>Pemy. Listrik Bag. Produksi</t>
  </si>
  <si>
    <t>91.01.30</t>
  </si>
  <si>
    <t>B. Listrik PLN Sumber Air</t>
  </si>
  <si>
    <t>011</t>
  </si>
  <si>
    <t>Pemb. Lap Top Acer</t>
  </si>
  <si>
    <t>ASET TETAP</t>
  </si>
  <si>
    <t>31.01.00</t>
  </si>
  <si>
    <t>31.09..20</t>
  </si>
  <si>
    <t>Mesin-mesin kantor</t>
  </si>
  <si>
    <t>012</t>
  </si>
  <si>
    <t>Pemb. 2 unit sepeda motor</t>
  </si>
  <si>
    <t>31.08.00</t>
  </si>
  <si>
    <t>Kendaraan/Alat Pengangkutan</t>
  </si>
  <si>
    <t>013</t>
  </si>
  <si>
    <t>Pemb. Aki Mobil Avanza KH 1179PU</t>
  </si>
  <si>
    <t>014</t>
  </si>
  <si>
    <t>Pemb. Cat &amp; Kuas Utk Pipa Intake</t>
  </si>
  <si>
    <t>91.02.90</t>
  </si>
  <si>
    <t>Pemelih Inst. Sumber lainnya</t>
  </si>
  <si>
    <t>23 Jan</t>
  </si>
  <si>
    <t>015</t>
  </si>
  <si>
    <t>016</t>
  </si>
  <si>
    <t>Pulsa Listrik kantor, Loket dan Gudang</t>
  </si>
  <si>
    <t>96.02.70</t>
  </si>
  <si>
    <t>B. Listrik/Penerangan</t>
  </si>
  <si>
    <t>017</t>
  </si>
  <si>
    <t>Pemby. Rek Telp/HP/Fax</t>
  </si>
  <si>
    <t>96.02.40</t>
  </si>
  <si>
    <t>B. Telepon</t>
  </si>
  <si>
    <t>018</t>
  </si>
  <si>
    <t>Pemb. Sapu Lidi, soklin lantai,tisu,dll</t>
  </si>
  <si>
    <t>019</t>
  </si>
  <si>
    <t>B. ATK dan Fotocopy</t>
  </si>
  <si>
    <t>020</t>
  </si>
  <si>
    <t>Pemb. ATK &amp; B. Fotocopy</t>
  </si>
  <si>
    <t>Pemb. Kertas De Paper (rek)</t>
  </si>
  <si>
    <t>96.02.20</t>
  </si>
  <si>
    <t>Barang2 Cetakkan</t>
  </si>
  <si>
    <t>021</t>
  </si>
  <si>
    <t>24 Jan</t>
  </si>
  <si>
    <t>SPPD A. Rijali,Kardi,Bagus ke Sampit</t>
  </si>
  <si>
    <t>022</t>
  </si>
  <si>
    <t>Pemb. Kabel &amp;terminal</t>
  </si>
  <si>
    <t>023</t>
  </si>
  <si>
    <t>Pemy. SPPD Ilias dan Jawi ke SBY</t>
  </si>
  <si>
    <t>024</t>
  </si>
  <si>
    <t>Pemby. Iuran DPD PERPAMSI Kal-Teng</t>
  </si>
  <si>
    <t>96.08.10</t>
  </si>
  <si>
    <t>B. Iuran Berlangganan</t>
  </si>
  <si>
    <t>025</t>
  </si>
  <si>
    <t>96.01.30</t>
  </si>
  <si>
    <t>Iuran Pensiun</t>
  </si>
  <si>
    <t>026</t>
  </si>
  <si>
    <t>96.08.60</t>
  </si>
  <si>
    <t>B. Asuransi</t>
  </si>
  <si>
    <t>96.08.80</t>
  </si>
  <si>
    <t>Rupa2 B. Umum Lainnya</t>
  </si>
  <si>
    <t>027</t>
  </si>
  <si>
    <t>028</t>
  </si>
  <si>
    <t>029</t>
  </si>
  <si>
    <t>Pemb. Kasur,bantal, dll</t>
  </si>
  <si>
    <t>96.08.81</t>
  </si>
  <si>
    <t>030</t>
  </si>
  <si>
    <t>031</t>
  </si>
  <si>
    <t>032</t>
  </si>
  <si>
    <t>033</t>
  </si>
  <si>
    <t>034</t>
  </si>
  <si>
    <t>035</t>
  </si>
  <si>
    <t>Honorarium Dewas &amp; Sekretariat Dewas</t>
  </si>
  <si>
    <t>96.08.20</t>
  </si>
  <si>
    <t>B. Badan Pengawas</t>
  </si>
  <si>
    <t>Gaji Pegawai Bag. Umum</t>
  </si>
  <si>
    <t>96.01.10</t>
  </si>
  <si>
    <t>B. Pegawai Bagian Umum</t>
  </si>
  <si>
    <t>Gaji Bagian Transist</t>
  </si>
  <si>
    <t>93.01.10</t>
  </si>
  <si>
    <t>B. Pegawai Operasi Trandist</t>
  </si>
  <si>
    <t>Gaji Bagian Produksi</t>
  </si>
  <si>
    <t>92.01.10</t>
  </si>
  <si>
    <t>B. Pegawai Ops. Pengolahan Air</t>
  </si>
  <si>
    <t>B. Asuransi/Keamanan</t>
  </si>
  <si>
    <t>Penghargaan masa Kerja Pegawai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</si>
  <si>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</si>
  <si>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</si>
  <si>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</si>
  <si>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</si>
  <si>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</si>
  <si>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</si>
  <si>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</si>
  <si>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</si>
  <si>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</si>
  <si>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Pemby. Langg. majalah PERPAMSI</t>
  </si>
  <si>
    <t>Honorarium Penys. Anggaran</t>
  </si>
  <si>
    <t>27 Jan</t>
  </si>
  <si>
    <t>Pemby. Jasa Pengabdian Direktur</t>
  </si>
  <si>
    <t>Rehap Pintu Ruang Teknik</t>
  </si>
  <si>
    <t>96.06.30</t>
  </si>
  <si>
    <t>Pemeliharaan Bangunan</t>
  </si>
  <si>
    <t>Pemby. Pembuatan Meja Kantor</t>
  </si>
  <si>
    <t>31.09.10</t>
  </si>
  <si>
    <t>Meubelair kantor</t>
  </si>
  <si>
    <t>96.02.60</t>
  </si>
  <si>
    <t>B. Pos Dan Materai</t>
  </si>
  <si>
    <t>Pemb. Pertalite Operasional Mobil</t>
  </si>
  <si>
    <t>045</t>
  </si>
  <si>
    <t>046</t>
  </si>
  <si>
    <t>047</t>
  </si>
  <si>
    <t>048</t>
  </si>
  <si>
    <t>049</t>
  </si>
  <si>
    <t>050</t>
  </si>
  <si>
    <t>051</t>
  </si>
  <si>
    <t>Pemb. Kunci Inggris dan Kunci Pipa</t>
  </si>
  <si>
    <t>93.01.20</t>
  </si>
  <si>
    <t>B. Pemakaian Bahan/Perlengkapan</t>
  </si>
  <si>
    <t>Pemby. Biaya Pembuatan Spanduk</t>
  </si>
  <si>
    <t>Biaya Pemasangan Jaringan Pipa HDPE</t>
  </si>
  <si>
    <t>B. Pemeliharaan Trandist</t>
  </si>
  <si>
    <t>96.03.70</t>
  </si>
  <si>
    <t>B. Promosi</t>
  </si>
  <si>
    <t>96.06.10</t>
  </si>
  <si>
    <t>Pemeliharaan Invent. Kantor</t>
  </si>
  <si>
    <t>Pemeliharaan AC Kantor</t>
  </si>
  <si>
    <t>28 Jan</t>
  </si>
  <si>
    <t>Perpanjaangan STNK</t>
  </si>
  <si>
    <t>Pemb. Sunder F 2-H</t>
  </si>
  <si>
    <t>98.08.80</t>
  </si>
  <si>
    <t>Rupa-rupa Beban Umum lainnya</t>
  </si>
  <si>
    <t>29 Jan</t>
  </si>
  <si>
    <t>31 jan</t>
  </si>
  <si>
    <t>Dibuat Oleh,</t>
  </si>
  <si>
    <t>TRI MURTIANI, S.E</t>
  </si>
  <si>
    <t>JUMLAH (Rp)</t>
  </si>
  <si>
    <t>BULAN FEBRUARI</t>
  </si>
  <si>
    <t>JUMLAH BULAN INI</t>
  </si>
  <si>
    <t>JUMLAH BULAN LALU</t>
  </si>
  <si>
    <t>JUMLAH SAMPAI DENGAN BULAN INI</t>
  </si>
  <si>
    <t>BULAN MARET</t>
  </si>
  <si>
    <t>BULAN APRIL</t>
  </si>
  <si>
    <t>BKU PENGELUARAN</t>
  </si>
  <si>
    <t>BULAN MEI</t>
  </si>
  <si>
    <t>BULAN JUNI</t>
  </si>
  <si>
    <t>BULAN JULI</t>
  </si>
  <si>
    <t>BULAN AGUSTUS</t>
  </si>
  <si>
    <t>BULAN SEPTEMBER</t>
  </si>
  <si>
    <t>BULAN OKTOBER</t>
  </si>
  <si>
    <t>BULAN : JANUARI 2021</t>
  </si>
  <si>
    <r>
      <t>BPTRNA/</t>
    </r>
    <r>
      <rPr>
        <sz val="11"/>
        <rFont val="Calibri"/>
        <family val="2"/>
        <scheme val="minor"/>
      </rPr>
      <t>01</t>
    </r>
    <r>
      <rPr>
        <sz val="11"/>
        <color theme="1"/>
        <rFont val="Calibri"/>
        <family val="2"/>
        <scheme val="minor"/>
      </rPr>
      <t>/I/2021</t>
    </r>
  </si>
  <si>
    <t>Kuala Pembuang, ... Januari 2021</t>
  </si>
  <si>
    <t>BPTRNA/01/I/2021</t>
  </si>
  <si>
    <t>No. KM/01/I/2021</t>
  </si>
  <si>
    <t>BPTRA/01/I/2021</t>
  </si>
  <si>
    <t>Kuala Pembuang, 01 Januari 2021</t>
  </si>
  <si>
    <t>BULAN :  JANUARI 2021</t>
  </si>
  <si>
    <t>No. KM/02/I/2021</t>
  </si>
  <si>
    <t>BPTRA/02/I/2021</t>
  </si>
  <si>
    <t>No. KM/03/I/2021</t>
  </si>
  <si>
    <t>BPTRA/03/I/2021</t>
  </si>
  <si>
    <t>Kuala Pembuang, 03 Januari 2021</t>
  </si>
  <si>
    <t>Kuala Pembuang, 02 Januari 2021</t>
  </si>
  <si>
    <t>No. KM/04/I/2021</t>
  </si>
  <si>
    <t>BPTRA/04/I/2021</t>
  </si>
  <si>
    <t>Kuala Pembuang, 04 Januari 2021</t>
  </si>
  <si>
    <t>No. KM/05/I/2021</t>
  </si>
  <si>
    <t>BPTRA/05/I/2021</t>
  </si>
  <si>
    <t>Kuala Pembuang, 05 Januari 2021</t>
  </si>
  <si>
    <t>Kuala Pembuang, 06 Januari 2021</t>
  </si>
  <si>
    <t>Penerimaan SR Baru 3 SR</t>
  </si>
  <si>
    <t>No. KM/06/I/2021</t>
  </si>
  <si>
    <t>BPTRA/06/I/2021</t>
  </si>
  <si>
    <t>No. KM/07/I/2021</t>
  </si>
  <si>
    <t>BPTRA/07/I/2021</t>
  </si>
  <si>
    <t>Kuala Pembuang, 07 Januari 2021</t>
  </si>
  <si>
    <t>No. KM/08/I/2021</t>
  </si>
  <si>
    <t>BPTRA/08/I/2021</t>
  </si>
  <si>
    <t>Kuala Pembuang, 08 Januari 2021</t>
  </si>
  <si>
    <t>No. KM/09/I/2021</t>
  </si>
  <si>
    <t>BPTRA/09/I/2021</t>
  </si>
  <si>
    <t>Kuala Pembuang, 09 Januari 2021</t>
  </si>
  <si>
    <t>No. KM/10/I/2021</t>
  </si>
  <si>
    <t>BPTRA/10/I/2021</t>
  </si>
  <si>
    <t>Kuala Pembuang, 10 Januari 2021</t>
  </si>
  <si>
    <t>BPTRA/11/I/2021</t>
  </si>
  <si>
    <t>No. KM/11/I/2021</t>
  </si>
  <si>
    <t>Kuala Pembuang, 11 Januari 2021</t>
  </si>
  <si>
    <t>No. KM/12/I/2021</t>
  </si>
  <si>
    <t>BPTRA/12/I/2021</t>
  </si>
  <si>
    <t>Kuala Pembuang, 12 Januari 2021</t>
  </si>
  <si>
    <t>No. KM/13/I/2021</t>
  </si>
  <si>
    <t>BPTRA/13/I/2021</t>
  </si>
  <si>
    <t>Kuala Pembuang, 13 Januari 2021</t>
  </si>
  <si>
    <t>BPTRNA/02/I/2021</t>
  </si>
  <si>
    <t>Penerimaan SR Baru 19 SR</t>
  </si>
  <si>
    <t xml:space="preserve">Penerimaan SR Baru </t>
  </si>
  <si>
    <t>No. KM/14/I/2021</t>
  </si>
  <si>
    <t>BPTRA/14/I/2021</t>
  </si>
  <si>
    <t>Kuala Pembuang, 14 Januari 2021</t>
  </si>
  <si>
    <t>No. KM/15/I/2021</t>
  </si>
  <si>
    <t>BPTRA/15/I/2021</t>
  </si>
  <si>
    <t>Kuala Pembuang, 15 Januari 2021</t>
  </si>
  <si>
    <t>No. KM/16/I/2021</t>
  </si>
  <si>
    <t>BPTRA/16/I/2021</t>
  </si>
  <si>
    <t>Kuala Pembuang, 16 Januari 2021</t>
  </si>
  <si>
    <t>No. KM/17/I/2021</t>
  </si>
  <si>
    <t>BPTRA/17/I/2021</t>
  </si>
  <si>
    <t>Kuala Pembuang, 17 Januari 2021</t>
  </si>
  <si>
    <t>No. KM/18/I/2021</t>
  </si>
  <si>
    <t>BPTRA/18/I/2021</t>
  </si>
  <si>
    <t>Kuala Pembuang, 18 Januari 2021</t>
  </si>
  <si>
    <t>BPTRNA/03/I/2021</t>
  </si>
  <si>
    <t>Penerimaan Balik Nama</t>
  </si>
  <si>
    <t>No. KM/19/I/2021</t>
  </si>
  <si>
    <t>BPTRA/19/I/2021</t>
  </si>
  <si>
    <t>Kuala Pembuang, 19 Januari 2021</t>
  </si>
  <si>
    <t>No. KM/20/I/2021</t>
  </si>
  <si>
    <t>BPTRA/20/I/2021</t>
  </si>
  <si>
    <t>Kuala Pembuang, 20 Januari 2021</t>
  </si>
  <si>
    <t>BPTRNA/04/I/2021</t>
  </si>
  <si>
    <t>Penerimaan SR Baru</t>
  </si>
  <si>
    <t>No. KM/21/I/2021</t>
  </si>
  <si>
    <t>BPTRA/21/I/2021</t>
  </si>
  <si>
    <t>Kuala Pembuang, 21 Januari 2021</t>
  </si>
  <si>
    <t>No. KM/22/I/2021</t>
  </si>
  <si>
    <t>BPTRA/22/I/2021</t>
  </si>
  <si>
    <t>Kuala Pembuang, 22 Januari 2021</t>
  </si>
  <si>
    <t>No. KM/23/I/2021</t>
  </si>
  <si>
    <t>BPTRA/23/I/2021</t>
  </si>
  <si>
    <t>Kuala Pembuang, 23 Januari 2021</t>
  </si>
  <si>
    <t xml:space="preserve"> </t>
  </si>
  <si>
    <t>50.01.01</t>
  </si>
  <si>
    <t>PERUSAHAAN UMUM DAERAH AIR MINUM</t>
  </si>
  <si>
    <t>TIRTA SERUYAN</t>
  </si>
  <si>
    <t>BULAN NOVEMBER</t>
  </si>
  <si>
    <t>BULAN DESEMBER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</si>
  <si>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</si>
  <si>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</si>
  <si>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</si>
  <si>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</si>
  <si>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</si>
  <si>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</si>
  <si>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</si>
  <si>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</si>
  <si>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</si>
  <si>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14</t>
  </si>
  <si>
    <t>Kabag. Umum &amp; Keuangan</t>
  </si>
  <si>
    <t>21 Jan</t>
  </si>
  <si>
    <t>10</t>
  </si>
  <si>
    <t>11</t>
  </si>
  <si>
    <t>12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</si>
  <si>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</si>
  <si>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</si>
  <si>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</si>
  <si>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</si>
  <si>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</si>
  <si>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</si>
  <si>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</si>
  <si>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</si>
  <si>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</si>
  <si>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</si>
  <si>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</si>
  <si>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</si>
  <si>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</si>
  <si>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</si>
  <si>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</si>
  <si>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</si>
  <si>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</si>
  <si>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</si>
  <si>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</si>
  <si>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</si>
  <si>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</si>
  <si>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</si>
  <si>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</si>
  <si>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</si>
  <si>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</si>
  <si>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</si>
  <si>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</si>
  <si>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</si>
  <si>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</si>
  <si>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</si>
  <si>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</si>
  <si>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</si>
  <si>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</si>
  <si>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</si>
  <si>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</si>
  <si>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</si>
  <si>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</si>
  <si>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</si>
  <si>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</si>
  <si>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</si>
  <si>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</si>
  <si>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</si>
  <si>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</si>
  <si>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</si>
  <si>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</si>
  <si>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</si>
  <si>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</si>
  <si>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</si>
  <si>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</si>
  <si>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</si>
  <si>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</si>
  <si>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</si>
  <si>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97.06.20</t>
  </si>
  <si>
    <t>Persediaan Bahan Operasi Kimia</t>
  </si>
  <si>
    <t>Kabag Adm. &amp; Keuangan</t>
  </si>
  <si>
    <t>Example</t>
  </si>
  <si>
    <t>dst.</t>
  </si>
  <si>
    <t>Pembayaran Belanja Bahan Habis Pakai Tawas dll</t>
  </si>
  <si>
    <t>Pembayaran Biaya Perpanjangan STNK Mobil Pick Up KH 1234 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</si>
</sst>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u/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</cellStyleXfs>
  <cellXfs count="338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horizontal="center"/>
    </xf>
    <xf numFmtId="0" fontId="2" fillId="0" borderId="14" xfId="0" applyFont="1" applyBorder="1"/>
    <xf numFmtId="0" fontId="2" fillId="0" borderId="1" xfId="0" applyFont="1" applyBorder="1"/>
    <xf numFmtId="0" fontId="2" fillId="0" borderId="9" xfId="0" applyFont="1" applyBorder="1" applyAlignment="1">
      <alignment horizontal="center"/>
    </xf>
    <xf numFmtId="0" fontId="2" fillId="0" borderId="18" xfId="0" applyFont="1" applyBorder="1"/>
    <xf numFmtId="0" fontId="2" fillId="0" borderId="17" xfId="0" applyFont="1" applyBorder="1"/>
    <xf numFmtId="0" fontId="4" fillId="0" borderId="0" xfId="0" applyFont="1"/>
    <xf numFmtId="0" fontId="2" fillId="0" borderId="6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2" xfId="0" applyFont="1" applyBorder="1"/>
    <xf numFmtId="0" fontId="2" fillId="0" borderId="19" xfId="0" applyFont="1" applyBorder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left"/>
    </xf>
    <xf numFmtId="3" fontId="2" fillId="0" borderId="0" xfId="0" applyNumberFormat="1" applyFont="1" applyAlignment="1">
      <alignment horizontal="center"/>
    </xf>
    <xf numFmtId="0" fontId="4" fillId="0" borderId="0" xfId="0" applyFont="1" applyAlignment="1">
      <alignment vertical="top"/>
    </xf>
    <xf numFmtId="0" fontId="4" fillId="0" borderId="6" xfId="0" applyFont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15" fontId="2" fillId="0" borderId="5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right"/>
    </xf>
    <xf numFmtId="3" fontId="2" fillId="0" borderId="10" xfId="0" applyNumberFormat="1" applyFont="1" applyBorder="1" applyAlignment="1">
      <alignment horizontal="right"/>
    </xf>
    <xf numFmtId="0" fontId="2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10" xfId="0" applyFont="1" applyBorder="1"/>
    <xf numFmtId="0" fontId="4" fillId="0" borderId="20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21" xfId="0" applyFont="1" applyBorder="1" applyAlignment="1">
      <alignment vertical="center"/>
    </xf>
    <xf numFmtId="0" fontId="2" fillId="0" borderId="21" xfId="0" applyFont="1" applyBorder="1" applyAlignment="1">
      <alignment horizontal="left"/>
    </xf>
    <xf numFmtId="0" fontId="2" fillId="0" borderId="21" xfId="0" applyFont="1" applyBorder="1"/>
    <xf numFmtId="0" fontId="4" fillId="0" borderId="8" xfId="0" applyFont="1" applyBorder="1" applyAlignment="1">
      <alignment vertical="center"/>
    </xf>
    <xf numFmtId="0" fontId="2" fillId="0" borderId="11" xfId="0" applyFont="1" applyBorder="1" applyAlignment="1">
      <alignment horizontal="left"/>
    </xf>
    <xf numFmtId="0" fontId="2" fillId="0" borderId="11" xfId="0" applyFont="1" applyBorder="1"/>
    <xf numFmtId="0" fontId="4" fillId="0" borderId="5" xfId="0" applyFont="1" applyBorder="1" applyAlignment="1">
      <alignment horizontal="center" vertical="center"/>
    </xf>
    <xf numFmtId="41" fontId="2" fillId="0" borderId="10" xfId="0" applyNumberFormat="1" applyFont="1" applyBorder="1"/>
    <xf numFmtId="3" fontId="3" fillId="0" borderId="23" xfId="0" applyNumberFormat="1" applyFont="1" applyBorder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3" fontId="2" fillId="0" borderId="21" xfId="0" applyNumberFormat="1" applyFont="1" applyBorder="1" applyAlignment="1">
      <alignment horizontal="left"/>
    </xf>
    <xf numFmtId="0" fontId="4" fillId="0" borderId="11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14" fontId="2" fillId="0" borderId="6" xfId="0" applyNumberFormat="1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3" fontId="2" fillId="0" borderId="10" xfId="0" applyNumberFormat="1" applyFont="1" applyBorder="1" applyAlignment="1">
      <alignment horizontal="right" vertical="center"/>
    </xf>
    <xf numFmtId="14" fontId="2" fillId="0" borderId="6" xfId="0" quotePrefix="1" applyNumberFormat="1" applyFont="1" applyBorder="1" applyAlignment="1">
      <alignment vertical="center"/>
    </xf>
    <xf numFmtId="14" fontId="2" fillId="0" borderId="6" xfId="0" quotePrefix="1" applyNumberFormat="1" applyFont="1" applyBorder="1" applyAlignment="1">
      <alignment horizontal="center" vertical="center"/>
    </xf>
    <xf numFmtId="0" fontId="2" fillId="0" borderId="9" xfId="0" applyFont="1" applyBorder="1"/>
    <xf numFmtId="0" fontId="2" fillId="0" borderId="6" xfId="0" quotePrefix="1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/>
    </xf>
    <xf numFmtId="3" fontId="5" fillId="0" borderId="6" xfId="0" applyNumberFormat="1" applyFont="1" applyBorder="1" applyAlignment="1">
      <alignment horizontal="right"/>
    </xf>
    <xf numFmtId="0" fontId="2" fillId="0" borderId="6" xfId="0" quotePrefix="1" applyFont="1" applyBorder="1" applyAlignment="1">
      <alignment horizontal="center"/>
    </xf>
    <xf numFmtId="41" fontId="2" fillId="0" borderId="0" xfId="1" applyFont="1"/>
    <xf numFmtId="165" fontId="4" fillId="0" borderId="6" xfId="0" applyNumberFormat="1" applyFont="1" applyBorder="1" applyAlignment="1">
      <alignment horizontal="center" vertical="center"/>
    </xf>
    <xf numFmtId="43" fontId="4" fillId="0" borderId="0" xfId="1" applyNumberFormat="1" applyFont="1" applyFill="1" applyBorder="1"/>
    <xf numFmtId="43" fontId="2" fillId="0" borderId="0" xfId="1" applyNumberFormat="1" applyFont="1" applyFill="1" applyBorder="1"/>
    <xf numFmtId="43" fontId="4" fillId="0" borderId="3" xfId="1" applyNumberFormat="1" applyFont="1" applyFill="1" applyBorder="1" applyAlignment="1">
      <alignment horizontal="center"/>
    </xf>
    <xf numFmtId="43" fontId="2" fillId="0" borderId="10" xfId="1" applyNumberFormat="1" applyFont="1" applyFill="1" applyBorder="1" applyAlignment="1">
      <alignment horizontal="center"/>
    </xf>
    <xf numFmtId="43" fontId="2" fillId="0" borderId="10" xfId="1" applyNumberFormat="1" applyFont="1" applyFill="1" applyBorder="1" applyAlignment="1">
      <alignment horizontal="center" vertical="center"/>
    </xf>
    <xf numFmtId="43" fontId="4" fillId="0" borderId="10" xfId="1" applyNumberFormat="1" applyFont="1" applyFill="1" applyBorder="1" applyAlignment="1">
      <alignment horizontal="center" vertical="center"/>
    </xf>
    <xf numFmtId="43" fontId="2" fillId="0" borderId="10" xfId="1" applyNumberFormat="1" applyFont="1" applyFill="1" applyBorder="1" applyAlignment="1">
      <alignment horizontal="right"/>
    </xf>
    <xf numFmtId="43" fontId="2" fillId="0" borderId="6" xfId="0" applyNumberFormat="1" applyFont="1" applyBorder="1" applyAlignment="1">
      <alignment horizontal="right"/>
    </xf>
    <xf numFmtId="43" fontId="0" fillId="0" borderId="0" xfId="1" applyNumberFormat="1" applyFont="1" applyFill="1"/>
    <xf numFmtId="43" fontId="4" fillId="0" borderId="0" xfId="0" applyNumberFormat="1" applyFont="1"/>
    <xf numFmtId="43" fontId="2" fillId="0" borderId="0" xfId="0" applyNumberFormat="1" applyFont="1"/>
    <xf numFmtId="43" fontId="4" fillId="0" borderId="4" xfId="0" applyNumberFormat="1" applyFont="1" applyBorder="1" applyAlignment="1">
      <alignment horizontal="center"/>
    </xf>
    <xf numFmtId="43" fontId="2" fillId="0" borderId="6" xfId="0" applyNumberFormat="1" applyFont="1" applyBorder="1" applyAlignment="1">
      <alignment horizontal="center"/>
    </xf>
    <xf numFmtId="43" fontId="2" fillId="0" borderId="6" xfId="1" applyNumberFormat="1" applyFont="1" applyFill="1" applyBorder="1" applyAlignment="1">
      <alignment horizontal="center"/>
    </xf>
    <xf numFmtId="43" fontId="0" fillId="0" borderId="0" xfId="0" applyNumberFormat="1"/>
    <xf numFmtId="0" fontId="2" fillId="0" borderId="6" xfId="0" quotePrefix="1" applyFont="1" applyBorder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43" fontId="3" fillId="0" borderId="0" xfId="0" applyNumberFormat="1" applyFont="1"/>
    <xf numFmtId="3" fontId="0" fillId="0" borderId="0" xfId="0" applyNumberFormat="1"/>
    <xf numFmtId="0" fontId="0" fillId="0" borderId="6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4" xfId="0" applyBorder="1"/>
    <xf numFmtId="0" fontId="0" fillId="0" borderId="9" xfId="0" applyBorder="1" applyAlignment="1">
      <alignment horizontal="center"/>
    </xf>
    <xf numFmtId="0" fontId="2" fillId="0" borderId="29" xfId="0" applyFont="1" applyBorder="1" applyAlignment="1">
      <alignment horizontal="center"/>
    </xf>
    <xf numFmtId="43" fontId="2" fillId="0" borderId="30" xfId="1" applyNumberFormat="1" applyFont="1" applyFill="1" applyBorder="1" applyAlignment="1">
      <alignment horizontal="right"/>
    </xf>
    <xf numFmtId="43" fontId="3" fillId="0" borderId="18" xfId="0" applyNumberFormat="1" applyFont="1" applyBorder="1"/>
    <xf numFmtId="43" fontId="3" fillId="0" borderId="19" xfId="0" applyNumberFormat="1" applyFont="1" applyBorder="1"/>
    <xf numFmtId="0" fontId="1" fillId="0" borderId="0" xfId="2" applyAlignment="1">
      <alignment horizontal="left"/>
    </xf>
    <xf numFmtId="0" fontId="1" fillId="0" borderId="0" xfId="2"/>
    <xf numFmtId="0" fontId="1" fillId="0" borderId="0" xfId="2" applyAlignment="1">
      <alignment horizontal="center"/>
    </xf>
    <xf numFmtId="0" fontId="1" fillId="0" borderId="0" xfId="2" applyAlignment="1">
      <alignment horizontal="centerContinuous"/>
    </xf>
    <xf numFmtId="0" fontId="1" fillId="0" borderId="20" xfId="2" applyBorder="1" applyAlignment="1">
      <alignment horizontal="center"/>
    </xf>
    <xf numFmtId="0" fontId="1" fillId="0" borderId="4" xfId="2" applyBorder="1" applyAlignment="1">
      <alignment horizontal="center"/>
    </xf>
    <xf numFmtId="0" fontId="1" fillId="0" borderId="3" xfId="2" applyBorder="1" applyAlignment="1">
      <alignment horizontal="center"/>
    </xf>
    <xf numFmtId="0" fontId="1" fillId="0" borderId="16" xfId="2" applyBorder="1" applyAlignment="1">
      <alignment horizontal="center"/>
    </xf>
    <xf numFmtId="0" fontId="1" fillId="0" borderId="1" xfId="2" applyBorder="1" applyAlignment="1">
      <alignment horizontal="left"/>
    </xf>
    <xf numFmtId="4" fontId="1" fillId="0" borderId="1" xfId="2" quotePrefix="1" applyNumberFormat="1" applyBorder="1" applyAlignment="1">
      <alignment horizontal="center"/>
    </xf>
    <xf numFmtId="0" fontId="1" fillId="0" borderId="1" xfId="2" quotePrefix="1" applyBorder="1" applyAlignment="1">
      <alignment horizontal="center"/>
    </xf>
    <xf numFmtId="3" fontId="1" fillId="0" borderId="2" xfId="2" applyNumberFormat="1" applyBorder="1"/>
    <xf numFmtId="0" fontId="1" fillId="0" borderId="17" xfId="2" applyBorder="1" applyAlignment="1">
      <alignment horizontal="center"/>
    </xf>
    <xf numFmtId="3" fontId="7" fillId="0" borderId="19" xfId="2" applyNumberFormat="1" applyFont="1" applyBorder="1"/>
    <xf numFmtId="0" fontId="0" fillId="0" borderId="0" xfId="2" applyFont="1" applyAlignment="1">
      <alignment horizontal="centerContinuous"/>
    </xf>
    <xf numFmtId="0" fontId="0" fillId="0" borderId="0" xfId="2" applyFont="1" applyAlignment="1">
      <alignment horizontal="left"/>
    </xf>
    <xf numFmtId="0" fontId="0" fillId="0" borderId="0" xfId="2" applyFont="1"/>
    <xf numFmtId="0" fontId="8" fillId="0" borderId="0" xfId="2" applyFont="1" applyAlignment="1">
      <alignment horizontal="left"/>
    </xf>
    <xf numFmtId="0" fontId="8" fillId="0" borderId="0" xfId="2" applyFont="1"/>
    <xf numFmtId="0" fontId="8" fillId="0" borderId="0" xfId="2" applyFont="1" applyAlignment="1">
      <alignment horizontal="centerContinuous"/>
    </xf>
    <xf numFmtId="0" fontId="8" fillId="0" borderId="20" xfId="2" applyFont="1" applyBorder="1" applyAlignment="1">
      <alignment horizontal="center"/>
    </xf>
    <xf numFmtId="0" fontId="8" fillId="0" borderId="4" xfId="2" applyFont="1" applyBorder="1" applyAlignment="1">
      <alignment horizontal="center"/>
    </xf>
    <xf numFmtId="0" fontId="8" fillId="0" borderId="3" xfId="2" applyFont="1" applyBorder="1" applyAlignment="1">
      <alignment horizontal="center"/>
    </xf>
    <xf numFmtId="0" fontId="8" fillId="0" borderId="13" xfId="2" applyFont="1" applyBorder="1" applyAlignment="1">
      <alignment horizontal="center"/>
    </xf>
    <xf numFmtId="0" fontId="8" fillId="0" borderId="14" xfId="2" applyFont="1" applyBorder="1" applyAlignment="1">
      <alignment horizontal="left"/>
    </xf>
    <xf numFmtId="0" fontId="8" fillId="0" borderId="14" xfId="2" quotePrefix="1" applyFont="1" applyBorder="1" applyAlignment="1">
      <alignment horizontal="center"/>
    </xf>
    <xf numFmtId="0" fontId="8" fillId="0" borderId="14" xfId="2" applyFont="1" applyBorder="1" applyAlignment="1">
      <alignment horizontal="center"/>
    </xf>
    <xf numFmtId="41" fontId="8" fillId="0" borderId="15" xfId="1" applyFont="1" applyBorder="1" applyAlignment="1">
      <alignment horizontal="right"/>
    </xf>
    <xf numFmtId="0" fontId="8" fillId="0" borderId="5" xfId="2" applyFont="1" applyBorder="1" applyAlignment="1">
      <alignment horizontal="center"/>
    </xf>
    <xf numFmtId="41" fontId="8" fillId="0" borderId="10" xfId="1" applyFont="1" applyBorder="1" applyAlignment="1">
      <alignment horizontal="right"/>
    </xf>
    <xf numFmtId="0" fontId="8" fillId="0" borderId="17" xfId="2" applyFont="1" applyBorder="1" applyAlignment="1">
      <alignment horizontal="center"/>
    </xf>
    <xf numFmtId="0" fontId="9" fillId="0" borderId="32" xfId="2" applyFont="1" applyBorder="1" applyAlignment="1">
      <alignment horizontal="center"/>
    </xf>
    <xf numFmtId="0" fontId="9" fillId="0" borderId="33" xfId="2" applyFont="1" applyBorder="1" applyAlignment="1">
      <alignment horizontal="center"/>
    </xf>
    <xf numFmtId="0" fontId="9" fillId="0" borderId="34" xfId="2" applyFont="1" applyBorder="1" applyAlignment="1">
      <alignment horizontal="center"/>
    </xf>
    <xf numFmtId="3" fontId="9" fillId="0" borderId="19" xfId="2" applyNumberFormat="1" applyFont="1" applyBorder="1"/>
    <xf numFmtId="0" fontId="8" fillId="0" borderId="0" xfId="0" applyFont="1"/>
    <xf numFmtId="0" fontId="1" fillId="0" borderId="0" xfId="0" applyFont="1"/>
    <xf numFmtId="0" fontId="7" fillId="0" borderId="0" xfId="2" applyFont="1" applyAlignment="1">
      <alignment horizontal="center"/>
    </xf>
    <xf numFmtId="3" fontId="7" fillId="0" borderId="0" xfId="2" applyNumberFormat="1" applyFont="1"/>
    <xf numFmtId="0" fontId="0" fillId="0" borderId="13" xfId="0" applyBorder="1" applyAlignment="1">
      <alignment horizontal="center"/>
    </xf>
    <xf numFmtId="3" fontId="0" fillId="0" borderId="14" xfId="0" applyNumberFormat="1" applyBorder="1"/>
    <xf numFmtId="3" fontId="0" fillId="0" borderId="35" xfId="0" applyNumberFormat="1" applyBorder="1"/>
    <xf numFmtId="41" fontId="0" fillId="0" borderId="15" xfId="1" applyFont="1" applyBorder="1"/>
    <xf numFmtId="0" fontId="0" fillId="0" borderId="16" xfId="0" applyBorder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0" fontId="0" fillId="0" borderId="27" xfId="0" applyBorder="1"/>
    <xf numFmtId="0" fontId="0" fillId="0" borderId="16" xfId="0" applyBorder="1"/>
    <xf numFmtId="41" fontId="0" fillId="0" borderId="2" xfId="1" applyFont="1" applyBorder="1"/>
    <xf numFmtId="0" fontId="0" fillId="0" borderId="28" xfId="0" applyBorder="1"/>
    <xf numFmtId="0" fontId="0" fillId="0" borderId="9" xfId="0" applyBorder="1"/>
    <xf numFmtId="0" fontId="0" fillId="0" borderId="22" xfId="0" applyBorder="1"/>
    <xf numFmtId="41" fontId="0" fillId="0" borderId="7" xfId="1" applyFont="1" applyBorder="1"/>
    <xf numFmtId="0" fontId="7" fillId="0" borderId="17" xfId="0" applyFont="1" applyBorder="1"/>
    <xf numFmtId="0" fontId="7" fillId="0" borderId="18" xfId="0" applyFont="1" applyBorder="1"/>
    <xf numFmtId="3" fontId="7" fillId="0" borderId="18" xfId="0" applyNumberFormat="1" applyFont="1" applyBorder="1"/>
    <xf numFmtId="41" fontId="7" fillId="0" borderId="19" xfId="1" applyFont="1" applyBorder="1" applyAlignment="1"/>
    <xf numFmtId="0" fontId="2" fillId="0" borderId="8" xfId="0" applyFont="1" applyBorder="1" applyAlignment="1">
      <alignment horizontal="center" vertical="center"/>
    </xf>
    <xf numFmtId="0" fontId="0" fillId="0" borderId="1" xfId="2" applyFont="1" applyBorder="1" applyAlignment="1">
      <alignment horizontal="left"/>
    </xf>
    <xf numFmtId="4" fontId="0" fillId="0" borderId="1" xfId="2" quotePrefix="1" applyNumberFormat="1" applyFont="1" applyBorder="1" applyAlignment="1">
      <alignment horizontal="center"/>
    </xf>
    <xf numFmtId="0" fontId="1" fillId="0" borderId="28" xfId="2" applyBorder="1" applyAlignment="1">
      <alignment horizontal="center"/>
    </xf>
    <xf numFmtId="0" fontId="1" fillId="0" borderId="8" xfId="2" quotePrefix="1" applyBorder="1" applyAlignment="1">
      <alignment horizontal="center"/>
    </xf>
    <xf numFmtId="3" fontId="1" fillId="0" borderId="7" xfId="2" applyNumberFormat="1" applyBorder="1"/>
    <xf numFmtId="3" fontId="0" fillId="0" borderId="2" xfId="2" applyNumberFormat="1" applyFont="1" applyBorder="1"/>
    <xf numFmtId="3" fontId="0" fillId="0" borderId="7" xfId="2" applyNumberFormat="1" applyFont="1" applyBorder="1"/>
    <xf numFmtId="41" fontId="0" fillId="0" borderId="14" xfId="1" applyFont="1" applyBorder="1"/>
    <xf numFmtId="0" fontId="8" fillId="0" borderId="0" xfId="2" applyFont="1" applyAlignment="1">
      <alignment horizontal="center"/>
    </xf>
    <xf numFmtId="41" fontId="2" fillId="0" borderId="0" xfId="1" applyFont="1" applyFill="1" applyBorder="1"/>
    <xf numFmtId="41" fontId="4" fillId="0" borderId="0" xfId="1" applyFont="1"/>
    <xf numFmtId="3" fontId="6" fillId="0" borderId="21" xfId="0" applyNumberFormat="1" applyFont="1" applyBorder="1" applyAlignment="1">
      <alignment horizontal="left"/>
    </xf>
    <xf numFmtId="165" fontId="4" fillId="0" borderId="6" xfId="0" quotePrefix="1" applyNumberFormat="1" applyFont="1" applyBorder="1" applyAlignment="1">
      <alignment horizontal="center" vertical="center"/>
    </xf>
    <xf numFmtId="0" fontId="2" fillId="0" borderId="21" xfId="0" quotePrefix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21" xfId="0" applyBorder="1"/>
    <xf numFmtId="41" fontId="4" fillId="0" borderId="1" xfId="1" applyFont="1" applyBorder="1" applyAlignment="1">
      <alignment vertical="center"/>
    </xf>
    <xf numFmtId="0" fontId="2" fillId="0" borderId="9" xfId="0" quotePrefix="1" applyFont="1" applyBorder="1"/>
    <xf numFmtId="41" fontId="4" fillId="0" borderId="0" xfId="1" applyFont="1" applyAlignment="1">
      <alignment horizontal="center"/>
    </xf>
    <xf numFmtId="41" fontId="4" fillId="0" borderId="39" xfId="1" applyFont="1" applyBorder="1" applyAlignment="1">
      <alignment horizontal="center"/>
    </xf>
    <xf numFmtId="41" fontId="4" fillId="0" borderId="1" xfId="1" applyFont="1" applyBorder="1" applyAlignment="1">
      <alignment horizontal="center" vertical="center"/>
    </xf>
    <xf numFmtId="41" fontId="4" fillId="0" borderId="14" xfId="1" applyFont="1" applyBorder="1" applyAlignment="1">
      <alignment horizontal="center"/>
    </xf>
    <xf numFmtId="41" fontId="2" fillId="0" borderId="9" xfId="1" applyFont="1" applyBorder="1"/>
    <xf numFmtId="41" fontId="2" fillId="0" borderId="6" xfId="1" applyFont="1" applyBorder="1"/>
    <xf numFmtId="41" fontId="4" fillId="0" borderId="1" xfId="1" applyFont="1" applyBorder="1" applyAlignment="1">
      <alignment horizontal="center" vertical="center" wrapText="1"/>
    </xf>
    <xf numFmtId="0" fontId="2" fillId="0" borderId="9" xfId="0" quotePrefix="1" applyFont="1" applyBorder="1" applyAlignment="1">
      <alignment horizontal="center"/>
    </xf>
    <xf numFmtId="41" fontId="2" fillId="0" borderId="6" xfId="1" applyFont="1" applyFill="1" applyBorder="1" applyAlignment="1">
      <alignment horizontal="center"/>
    </xf>
    <xf numFmtId="41" fontId="2" fillId="0" borderId="9" xfId="1" applyFont="1" applyFill="1" applyBorder="1" applyAlignment="1">
      <alignment horizontal="center"/>
    </xf>
    <xf numFmtId="41" fontId="2" fillId="0" borderId="9" xfId="1" applyFont="1" applyFill="1" applyBorder="1"/>
    <xf numFmtId="41" fontId="2" fillId="0" borderId="6" xfId="1" applyFont="1" applyFill="1" applyBorder="1"/>
    <xf numFmtId="0" fontId="4" fillId="0" borderId="0" xfId="0" applyFont="1" applyAlignment="1">
      <alignment horizontal="center" vertical="center"/>
    </xf>
    <xf numFmtId="41" fontId="2" fillId="0" borderId="0" xfId="0" applyNumberFormat="1" applyFont="1"/>
    <xf numFmtId="0" fontId="11" fillId="0" borderId="0" xfId="0" applyFont="1"/>
    <xf numFmtId="1" fontId="2" fillId="0" borderId="6" xfId="1" applyNumberFormat="1" applyFont="1" applyFill="1" applyBorder="1"/>
    <xf numFmtId="1" fontId="2" fillId="0" borderId="9" xfId="1" applyNumberFormat="1" applyFont="1" applyFill="1" applyBorder="1"/>
    <xf numFmtId="1" fontId="2" fillId="0" borderId="6" xfId="0" applyNumberFormat="1" applyFont="1" applyBorder="1"/>
    <xf numFmtId="41" fontId="11" fillId="0" borderId="0" xfId="1" applyFont="1" applyFill="1"/>
    <xf numFmtId="41" fontId="2" fillId="0" borderId="0" xfId="1" applyFont="1" applyFill="1"/>
    <xf numFmtId="41" fontId="2" fillId="0" borderId="0" xfId="1" applyFont="1" applyFill="1" applyBorder="1" applyAlignment="1">
      <alignment horizontal="center"/>
    </xf>
    <xf numFmtId="1" fontId="2" fillId="0" borderId="9" xfId="0" applyNumberFormat="1" applyFont="1" applyBorder="1"/>
    <xf numFmtId="0" fontId="1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41" fontId="11" fillId="0" borderId="0" xfId="1" applyFont="1"/>
    <xf numFmtId="41" fontId="13" fillId="0" borderId="0" xfId="0" applyNumberFormat="1" applyFont="1"/>
    <xf numFmtId="16" fontId="2" fillId="0" borderId="9" xfId="0" quotePrefix="1" applyNumberFormat="1" applyFont="1" applyBorder="1" applyAlignment="1">
      <alignment horizontal="center"/>
    </xf>
    <xf numFmtId="0" fontId="8" fillId="0" borderId="0" xfId="0" applyFont="1" applyAlignment="1">
      <alignment horizontal="left"/>
    </xf>
    <xf numFmtId="41" fontId="2" fillId="0" borderId="6" xfId="0" applyNumberFormat="1" applyFont="1" applyBorder="1"/>
    <xf numFmtId="41" fontId="2" fillId="0" borderId="6" xfId="0" applyNumberFormat="1" applyFont="1" applyBorder="1" applyAlignment="1">
      <alignment vertical="center"/>
    </xf>
    <xf numFmtId="41" fontId="3" fillId="0" borderId="34" xfId="0" applyNumberFormat="1" applyFont="1" applyBorder="1" applyAlignment="1">
      <alignment horizontal="center" vertical="center"/>
    </xf>
    <xf numFmtId="41" fontId="4" fillId="0" borderId="0" xfId="0" applyNumberFormat="1" applyFont="1" applyAlignment="1">
      <alignment horizontal="center" vertical="center"/>
    </xf>
    <xf numFmtId="41" fontId="11" fillId="0" borderId="0" xfId="0" applyNumberFormat="1" applyFont="1"/>
    <xf numFmtId="41" fontId="3" fillId="0" borderId="1" xfId="0" applyNumberFormat="1" applyFont="1" applyBorder="1" applyAlignment="1">
      <alignment horizontal="center" vertical="center"/>
    </xf>
    <xf numFmtId="41" fontId="3" fillId="0" borderId="18" xfId="0" applyNumberFormat="1" applyFont="1" applyBorder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right"/>
    </xf>
    <xf numFmtId="41" fontId="2" fillId="0" borderId="0" xfId="0" applyNumberFormat="1" applyFont="1" applyAlignment="1">
      <alignment horizontal="center"/>
    </xf>
    <xf numFmtId="43" fontId="13" fillId="0" borderId="0" xfId="0" applyNumberFormat="1" applyFont="1"/>
    <xf numFmtId="41" fontId="3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41" fontId="11" fillId="0" borderId="0" xfId="0" applyNumberFormat="1" applyFont="1" applyAlignment="1">
      <alignment horizontal="center" vertical="center"/>
    </xf>
    <xf numFmtId="43" fontId="11" fillId="0" borderId="0" xfId="0" applyNumberFormat="1" applyFont="1"/>
    <xf numFmtId="0" fontId="2" fillId="0" borderId="0" xfId="0" quotePrefix="1" applyFont="1" applyAlignment="1">
      <alignment horizontal="center"/>
    </xf>
    <xf numFmtId="41" fontId="5" fillId="0" borderId="0" xfId="1" applyFont="1" applyFill="1" applyBorder="1"/>
    <xf numFmtId="0" fontId="14" fillId="0" borderId="0" xfId="0" applyFont="1" applyAlignment="1">
      <alignment horizontal="center" vertical="center"/>
    </xf>
    <xf numFmtId="41" fontId="5" fillId="0" borderId="0" xfId="0" applyNumberFormat="1" applyFont="1"/>
    <xf numFmtId="41" fontId="11" fillId="0" borderId="0" xfId="0" applyNumberFormat="1" applyFont="1" applyAlignment="1">
      <alignment horizontal="left"/>
    </xf>
    <xf numFmtId="0" fontId="15" fillId="0" borderId="0" xfId="0" applyFont="1" applyAlignment="1">
      <alignment horizontal="center" wrapText="1"/>
    </xf>
    <xf numFmtId="0" fontId="3" fillId="0" borderId="4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16" fontId="2" fillId="2" borderId="9" xfId="0" quotePrefix="1" applyNumberFormat="1" applyFont="1" applyFill="1" applyBorder="1" applyAlignment="1">
      <alignment horizontal="center"/>
    </xf>
    <xf numFmtId="0" fontId="2" fillId="2" borderId="9" xfId="0" quotePrefix="1" applyFont="1" applyFill="1" applyBorder="1" applyAlignment="1">
      <alignment horizontal="center"/>
    </xf>
    <xf numFmtId="0" fontId="2" fillId="2" borderId="9" xfId="0" quotePrefix="1" applyFont="1" applyFill="1" applyBorder="1"/>
    <xf numFmtId="0" fontId="2" fillId="2" borderId="9" xfId="0" applyFont="1" applyFill="1" applyBorder="1" applyAlignment="1">
      <alignment horizontal="center"/>
    </xf>
    <xf numFmtId="41" fontId="2" fillId="2" borderId="9" xfId="1" applyFont="1" applyFill="1" applyBorder="1" applyAlignment="1">
      <alignment horizontal="center"/>
    </xf>
    <xf numFmtId="41" fontId="2" fillId="2" borderId="9" xfId="1" applyFont="1" applyFill="1" applyBorder="1"/>
    <xf numFmtId="0" fontId="2" fillId="2" borderId="6" xfId="0" applyFont="1" applyFill="1" applyBorder="1" applyAlignment="1">
      <alignment horizontal="center"/>
    </xf>
    <xf numFmtId="0" fontId="2" fillId="2" borderId="6" xfId="0" applyFont="1" applyFill="1" applyBorder="1"/>
    <xf numFmtId="41" fontId="2" fillId="2" borderId="6" xfId="0" applyNumberFormat="1" applyFont="1" applyFill="1" applyBorder="1"/>
    <xf numFmtId="41" fontId="2" fillId="0" borderId="21" xfId="1" applyFont="1" applyFill="1" applyBorder="1"/>
    <xf numFmtId="41" fontId="2" fillId="2" borderId="6" xfId="1" applyFont="1" applyFill="1" applyBorder="1" applyAlignment="1">
      <alignment horizontal="center"/>
    </xf>
    <xf numFmtId="1" fontId="2" fillId="2" borderId="6" xfId="0" applyNumberFormat="1" applyFont="1" applyFill="1" applyBorder="1"/>
    <xf numFmtId="0" fontId="2" fillId="2" borderId="6" xfId="0" quotePrefix="1" applyFont="1" applyFill="1" applyBorder="1" applyAlignment="1">
      <alignment horizontal="center"/>
    </xf>
    <xf numFmtId="164" fontId="5" fillId="2" borderId="6" xfId="1" applyNumberFormat="1" applyFont="1" applyFill="1" applyBorder="1" applyAlignment="1">
      <alignment vertical="center"/>
    </xf>
    <xf numFmtId="41" fontId="2" fillId="0" borderId="0" xfId="0" applyNumberFormat="1" applyFont="1" applyAlignment="1">
      <alignment horizontal="left" vertical="center"/>
    </xf>
    <xf numFmtId="0" fontId="0" fillId="0" borderId="0" xfId="2" applyFont="1" applyAlignment="1">
      <alignment horizontal="center"/>
    </xf>
    <xf numFmtId="0" fontId="1" fillId="0" borderId="0" xfId="2" applyAlignment="1">
      <alignment horizontal="center"/>
    </xf>
    <xf numFmtId="0" fontId="7" fillId="0" borderId="32" xfId="2" applyFont="1" applyBorder="1" applyAlignment="1">
      <alignment horizontal="center"/>
    </xf>
    <xf numFmtId="0" fontId="7" fillId="0" borderId="33" xfId="2" applyFont="1" applyBorder="1" applyAlignment="1">
      <alignment horizontal="center"/>
    </xf>
    <xf numFmtId="0" fontId="7" fillId="0" borderId="34" xfId="2" applyFont="1" applyBorder="1" applyAlignment="1">
      <alignment horizontal="center"/>
    </xf>
    <xf numFmtId="0" fontId="0" fillId="0" borderId="22" xfId="2" applyFont="1" applyBorder="1" applyAlignment="1">
      <alignment horizontal="center" vertical="center"/>
    </xf>
    <xf numFmtId="0" fontId="1" fillId="0" borderId="31" xfId="2" applyBorder="1" applyAlignment="1">
      <alignment horizontal="center" vertical="center"/>
    </xf>
    <xf numFmtId="0" fontId="1" fillId="0" borderId="36" xfId="2" applyBorder="1" applyAlignment="1">
      <alignment horizontal="center" vertical="center"/>
    </xf>
    <xf numFmtId="0" fontId="1" fillId="0" borderId="35" xfId="2" applyBorder="1" applyAlignment="1">
      <alignment horizontal="center" vertical="center"/>
    </xf>
    <xf numFmtId="0" fontId="1" fillId="0" borderId="37" xfId="2" applyBorder="1" applyAlignment="1">
      <alignment horizontal="center" vertical="center"/>
    </xf>
    <xf numFmtId="0" fontId="1" fillId="0" borderId="38" xfId="2" applyBorder="1" applyAlignment="1">
      <alignment horizontal="center" vertical="center"/>
    </xf>
    <xf numFmtId="0" fontId="8" fillId="0" borderId="0" xfId="2" applyFont="1" applyAlignment="1">
      <alignment horizontal="center"/>
    </xf>
    <xf numFmtId="0" fontId="12" fillId="0" borderId="22" xfId="2" applyFont="1" applyBorder="1" applyAlignment="1">
      <alignment horizontal="center" vertical="center"/>
    </xf>
    <xf numFmtId="0" fontId="12" fillId="0" borderId="31" xfId="2" applyFont="1" applyBorder="1" applyAlignment="1">
      <alignment horizontal="center" vertical="center"/>
    </xf>
    <xf numFmtId="0" fontId="12" fillId="0" borderId="36" xfId="2" applyFont="1" applyBorder="1" applyAlignment="1">
      <alignment horizontal="center" vertical="center"/>
    </xf>
    <xf numFmtId="0" fontId="12" fillId="0" borderId="35" xfId="2" applyFont="1" applyBorder="1" applyAlignment="1">
      <alignment horizontal="center" vertical="center"/>
    </xf>
    <xf numFmtId="0" fontId="12" fillId="0" borderId="37" xfId="2" applyFont="1" applyBorder="1" applyAlignment="1">
      <alignment horizontal="center" vertical="center"/>
    </xf>
    <xf numFmtId="0" fontId="12" fillId="0" borderId="38" xfId="2" applyFont="1" applyBorder="1" applyAlignment="1">
      <alignment horizontal="center" vertical="center"/>
    </xf>
    <xf numFmtId="0" fontId="0" fillId="0" borderId="31" xfId="2" applyFont="1" applyBorder="1" applyAlignment="1">
      <alignment horizontal="center" vertical="center"/>
    </xf>
    <xf numFmtId="0" fontId="0" fillId="0" borderId="36" xfId="2" applyFont="1" applyBorder="1" applyAlignment="1">
      <alignment horizontal="center" vertical="center"/>
    </xf>
    <xf numFmtId="0" fontId="0" fillId="0" borderId="35" xfId="2" applyFont="1" applyBorder="1" applyAlignment="1">
      <alignment horizontal="center" vertical="center"/>
    </xf>
    <xf numFmtId="0" fontId="0" fillId="0" borderId="37" xfId="2" applyFont="1" applyBorder="1" applyAlignment="1">
      <alignment horizontal="center" vertical="center"/>
    </xf>
    <xf numFmtId="0" fontId="0" fillId="0" borderId="38" xfId="2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/>
    </xf>
    <xf numFmtId="3" fontId="0" fillId="0" borderId="27" xfId="0" applyNumberFormat="1" applyBorder="1" applyAlignment="1">
      <alignment horizontal="center"/>
    </xf>
    <xf numFmtId="3" fontId="0" fillId="0" borderId="39" xfId="0" applyNumberFormat="1" applyBorder="1" applyAlignment="1">
      <alignment horizontal="center"/>
    </xf>
    <xf numFmtId="3" fontId="0" fillId="0" borderId="26" xfId="0" applyNumberForma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41" fontId="4" fillId="0" borderId="27" xfId="1" applyFont="1" applyBorder="1" applyAlignment="1">
      <alignment horizontal="center"/>
    </xf>
    <xf numFmtId="41" fontId="4" fillId="0" borderId="39" xfId="1" applyFont="1" applyBorder="1" applyAlignment="1">
      <alignment horizontal="center"/>
    </xf>
    <xf numFmtId="41" fontId="4" fillId="0" borderId="26" xfId="1" applyFont="1" applyBorder="1" applyAlignment="1">
      <alignment horizontal="center"/>
    </xf>
    <xf numFmtId="41" fontId="4" fillId="0" borderId="27" xfId="1" applyFont="1" applyBorder="1" applyAlignment="1">
      <alignment horizontal="center" vertical="center" wrapText="1"/>
    </xf>
    <xf numFmtId="41" fontId="4" fillId="0" borderId="39" xfId="1" applyFont="1" applyBorder="1" applyAlignment="1">
      <alignment horizontal="center" vertical="center" wrapText="1"/>
    </xf>
    <xf numFmtId="41" fontId="4" fillId="0" borderId="26" xfId="1" applyFont="1" applyBorder="1" applyAlignment="1">
      <alignment horizontal="center" vertical="center" wrapText="1"/>
    </xf>
    <xf numFmtId="41" fontId="4" fillId="0" borderId="27" xfId="1" applyFont="1" applyBorder="1" applyAlignment="1">
      <alignment horizontal="center" vertical="center"/>
    </xf>
    <xf numFmtId="41" fontId="4" fillId="0" borderId="39" xfId="1" applyFont="1" applyBorder="1" applyAlignment="1">
      <alignment horizontal="center" vertical="center"/>
    </xf>
    <xf numFmtId="41" fontId="4" fillId="0" borderId="26" xfId="1" applyFont="1" applyBorder="1" applyAlignment="1">
      <alignment horizontal="center" vertical="center"/>
    </xf>
    <xf numFmtId="41" fontId="4" fillId="0" borderId="22" xfId="1" applyFont="1" applyBorder="1" applyAlignment="1">
      <alignment horizontal="center" vertical="center" wrapText="1"/>
    </xf>
    <xf numFmtId="41" fontId="4" fillId="0" borderId="31" xfId="1" applyFont="1" applyBorder="1" applyAlignment="1">
      <alignment horizontal="center" vertical="center" wrapText="1"/>
    </xf>
    <xf numFmtId="41" fontId="4" fillId="0" borderId="8" xfId="1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27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3" fillId="0" borderId="27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41" fontId="3" fillId="0" borderId="1" xfId="0" applyNumberFormat="1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41" fontId="3" fillId="0" borderId="18" xfId="0" applyNumberFormat="1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1" fontId="3" fillId="0" borderId="32" xfId="0" applyNumberFormat="1" applyFont="1" applyBorder="1" applyAlignment="1">
      <alignment horizontal="center" vertical="center"/>
    </xf>
    <xf numFmtId="41" fontId="3" fillId="0" borderId="34" xfId="0" applyNumberFormat="1" applyFont="1" applyBorder="1" applyAlignment="1">
      <alignment horizontal="center" vertical="center"/>
    </xf>
    <xf numFmtId="41" fontId="3" fillId="0" borderId="27" xfId="0" applyNumberFormat="1" applyFont="1" applyBorder="1" applyAlignment="1">
      <alignment horizontal="center" vertical="center"/>
    </xf>
    <xf numFmtId="41" fontId="3" fillId="0" borderId="2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1" fontId="3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wrapText="1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</cellXfs>
  <cellStyles count="4">
    <cellStyle name="Comma [0]" xfId="1" builtinId="6"/>
    <cellStyle name="Comma [0] 4" xfId="3" xr:uid="{CA6B03EA-E60E-4886-B8DE-EE7A9544A8F6}"/>
    <cellStyle name="Normal" xfId="0" builtinId="0"/>
    <cellStyle name="Normal 2" xfId="2" xr:uid="{00000000-0005-0000-0000-000003000000}"/>
  </cellStyles>
  <dxfs count="0"/>
  <tableStyles count="0" defaultTableStyle="TableStyleMedium9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54"/>
  <sheetViews>
    <sheetView view="pageLayout" topLeftCell="A48" zoomScale="78" zoomScaleNormal="79" zoomScalePageLayoutView="78" workbookViewId="0">
      <selection activeCell="B62" sqref="B62"/>
    </sheetView>
  </sheetViews>
  <sheetFormatPr defaultRowHeight="15" x14ac:dyDescent="0.25"/>
  <cols>
    <col min="1" max="1" width="5.85546875" customWidth="1"/>
    <col min="2" max="2" width="39" customWidth="1"/>
    <col min="3" max="3" width="14.5703125" customWidth="1"/>
    <col min="4" max="4" width="11.140625" customWidth="1"/>
    <col min="5" max="5" width="19.140625" customWidth="1"/>
  </cols>
  <sheetData>
    <row r="1" spans="1:5" x14ac:dyDescent="0.25">
      <c r="A1" s="93" t="s">
        <v>0</v>
      </c>
      <c r="B1" s="94"/>
      <c r="C1" s="95"/>
      <c r="D1" s="94"/>
      <c r="E1" s="94"/>
    </row>
    <row r="2" spans="1:5" x14ac:dyDescent="0.25">
      <c r="A2" s="93" t="s">
        <v>1</v>
      </c>
      <c r="B2" s="94"/>
      <c r="C2" s="95"/>
      <c r="D2" s="94"/>
      <c r="E2" s="94"/>
    </row>
    <row r="3" spans="1:5" x14ac:dyDescent="0.25">
      <c r="A3" s="93"/>
      <c r="B3" s="94"/>
      <c r="C3" s="95"/>
      <c r="D3" s="94"/>
      <c r="E3" s="94"/>
    </row>
    <row r="4" spans="1:5" x14ac:dyDescent="0.25">
      <c r="A4" s="107" t="s">
        <v>81</v>
      </c>
      <c r="B4" s="96"/>
      <c r="C4" s="96"/>
      <c r="D4" s="96"/>
      <c r="E4" s="96"/>
    </row>
    <row r="5" spans="1:5" x14ac:dyDescent="0.25">
      <c r="A5" s="238" t="s">
        <v>3466</v>
      </c>
      <c r="B5" s="239"/>
      <c r="C5" s="239"/>
      <c r="D5" s="239"/>
      <c r="E5" s="239"/>
    </row>
    <row r="6" spans="1:5" x14ac:dyDescent="0.25">
      <c r="A6" s="96"/>
      <c r="B6" s="96"/>
      <c r="C6" s="96"/>
      <c r="D6" s="96"/>
      <c r="E6" s="96"/>
    </row>
    <row r="7" spans="1:5" ht="15.75" thickBot="1" x14ac:dyDescent="0.3">
      <c r="A7" s="94"/>
      <c r="B7" s="94"/>
      <c r="C7" s="95"/>
      <c r="D7" s="94"/>
      <c r="E7" s="109" t="s">
        <v>3467</v>
      </c>
    </row>
    <row r="8" spans="1:5" x14ac:dyDescent="0.25">
      <c r="A8" s="97" t="s">
        <v>16</v>
      </c>
      <c r="B8" s="98" t="s">
        <v>79</v>
      </c>
      <c r="C8" s="98" t="s">
        <v>80</v>
      </c>
      <c r="D8" s="98" t="s">
        <v>77</v>
      </c>
      <c r="E8" s="99" t="s">
        <v>10</v>
      </c>
    </row>
    <row r="9" spans="1:5" x14ac:dyDescent="0.25">
      <c r="A9" s="100">
        <v>1</v>
      </c>
      <c r="B9" s="101"/>
      <c r="C9" s="102"/>
      <c r="D9" s="103"/>
      <c r="E9" s="104"/>
    </row>
    <row r="10" spans="1:5" x14ac:dyDescent="0.25">
      <c r="A10" s="100">
        <v>2</v>
      </c>
      <c r="B10" s="243" t="s">
        <v>1538</v>
      </c>
      <c r="C10" s="244"/>
      <c r="D10" s="244"/>
      <c r="E10" s="245"/>
    </row>
    <row r="11" spans="1:5" x14ac:dyDescent="0.25">
      <c r="A11" s="100">
        <v>3</v>
      </c>
      <c r="B11" s="246"/>
      <c r="C11" s="247"/>
      <c r="D11" s="247"/>
      <c r="E11" s="248"/>
    </row>
    <row r="12" spans="1:5" x14ac:dyDescent="0.25">
      <c r="A12" s="100">
        <v>4</v>
      </c>
      <c r="B12" s="101"/>
      <c r="C12" s="102"/>
      <c r="D12" s="103"/>
      <c r="E12" s="104"/>
    </row>
    <row r="13" spans="1:5" x14ac:dyDescent="0.25">
      <c r="A13" s="100"/>
      <c r="B13" s="101"/>
      <c r="C13" s="102"/>
      <c r="D13" s="103"/>
      <c r="E13" s="104"/>
    </row>
    <row r="14" spans="1:5" ht="15.75" thickBot="1" x14ac:dyDescent="0.3">
      <c r="A14" s="105"/>
      <c r="B14" s="240" t="s">
        <v>10</v>
      </c>
      <c r="C14" s="241"/>
      <c r="D14" s="242"/>
      <c r="E14" s="106">
        <f>SUM(E9:E13)</f>
        <v>0</v>
      </c>
    </row>
    <row r="15" spans="1:5" x14ac:dyDescent="0.25">
      <c r="A15" s="94"/>
      <c r="B15" s="94"/>
      <c r="C15" s="95"/>
      <c r="D15" s="94"/>
      <c r="E15" s="94"/>
    </row>
    <row r="16" spans="1:5" x14ac:dyDescent="0.25">
      <c r="A16" s="94"/>
      <c r="B16" s="94"/>
      <c r="C16" s="95"/>
      <c r="D16" s="108" t="s">
        <v>3468</v>
      </c>
      <c r="E16" s="94"/>
    </row>
    <row r="17" spans="1:5" x14ac:dyDescent="0.25">
      <c r="A17" s="94"/>
      <c r="B17" s="94"/>
      <c r="C17" s="95"/>
      <c r="D17" s="108" t="s">
        <v>83</v>
      </c>
      <c r="E17" s="94"/>
    </row>
    <row r="54" spans="1:5" x14ac:dyDescent="0.25">
      <c r="A54" s="94"/>
      <c r="B54" s="94"/>
      <c r="C54" s="95"/>
      <c r="D54" s="108"/>
      <c r="E54" s="94"/>
    </row>
  </sheetData>
  <mergeCells count="3">
    <mergeCell ref="A5:E5"/>
    <mergeCell ref="B14:D14"/>
    <mergeCell ref="B10:E11"/>
  </mergeCells>
  <pageMargins left="0.70866141732283472" right="0.70866141732283472" top="0.74803149606299213" bottom="0.74803149606299213" header="0.31496062992125984" footer="0.31496062992125984"/>
  <pageSetup paperSize="9" scale="95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179"/>
  <sheetViews>
    <sheetView showWhiteSpace="0" view="pageLayout" topLeftCell="A156" zoomScale="80" zoomScaleNormal="79" zoomScalePageLayoutView="80" workbookViewId="0">
      <selection activeCell="D179" sqref="D179"/>
    </sheetView>
  </sheetViews>
  <sheetFormatPr defaultRowHeight="15" x14ac:dyDescent="0.25"/>
  <cols>
    <col min="1" max="1" width="5.85546875" customWidth="1"/>
    <col min="2" max="2" width="34.140625" customWidth="1"/>
    <col min="3" max="3" width="14.5703125" customWidth="1"/>
    <col min="4" max="4" width="15.5703125" customWidth="1"/>
    <col min="5" max="5" width="19.140625" customWidth="1"/>
  </cols>
  <sheetData>
    <row r="1" spans="1:5" x14ac:dyDescent="0.25">
      <c r="A1" s="110" t="s">
        <v>0</v>
      </c>
      <c r="B1" s="111"/>
      <c r="C1" s="159"/>
      <c r="D1" s="111"/>
      <c r="E1" s="111"/>
    </row>
    <row r="2" spans="1:5" x14ac:dyDescent="0.25">
      <c r="A2" s="110" t="s">
        <v>1</v>
      </c>
      <c r="B2" s="111"/>
      <c r="C2" s="159"/>
      <c r="D2" s="111"/>
      <c r="E2" s="111"/>
    </row>
    <row r="3" spans="1:5" x14ac:dyDescent="0.25">
      <c r="A3" s="110"/>
      <c r="B3" s="111"/>
      <c r="C3" s="159"/>
      <c r="D3" s="111"/>
      <c r="E3" s="111"/>
    </row>
    <row r="4" spans="1:5" x14ac:dyDescent="0.25">
      <c r="A4" s="112" t="s">
        <v>81</v>
      </c>
      <c r="B4" s="112"/>
      <c r="C4" s="112"/>
      <c r="D4" s="112"/>
      <c r="E4" s="112"/>
    </row>
    <row r="5" spans="1:5" x14ac:dyDescent="0.25">
      <c r="A5" s="249" t="s">
        <v>3466</v>
      </c>
      <c r="B5" s="249"/>
      <c r="C5" s="249"/>
      <c r="D5" s="249"/>
      <c r="E5" s="249"/>
    </row>
    <row r="6" spans="1:5" x14ac:dyDescent="0.25">
      <c r="A6" s="112"/>
      <c r="B6" s="112"/>
      <c r="C6" s="112"/>
      <c r="D6" s="112"/>
      <c r="E6" s="112"/>
    </row>
    <row r="7" spans="1:5" ht="15.75" thickBot="1" x14ac:dyDescent="0.3">
      <c r="A7" s="111"/>
      <c r="B7" s="111"/>
      <c r="C7" s="159"/>
      <c r="D7" s="111"/>
      <c r="E7" s="111" t="s">
        <v>3469</v>
      </c>
    </row>
    <row r="8" spans="1:5" x14ac:dyDescent="0.25">
      <c r="A8" s="113" t="s">
        <v>16</v>
      </c>
      <c r="B8" s="114" t="s">
        <v>79</v>
      </c>
      <c r="C8" s="114" t="s">
        <v>80</v>
      </c>
      <c r="D8" s="114" t="s">
        <v>77</v>
      </c>
      <c r="E8" s="115" t="s">
        <v>10</v>
      </c>
    </row>
    <row r="9" spans="1:5" x14ac:dyDescent="0.25">
      <c r="A9" s="116">
        <v>1</v>
      </c>
      <c r="B9" s="117" t="s">
        <v>3487</v>
      </c>
      <c r="C9" s="118"/>
      <c r="D9" s="119"/>
      <c r="E9" s="120">
        <f>875000*3</f>
        <v>2625000</v>
      </c>
    </row>
    <row r="10" spans="1:5" x14ac:dyDescent="0.25">
      <c r="A10" s="116">
        <f>A9+1</f>
        <v>2</v>
      </c>
      <c r="B10" s="117"/>
      <c r="C10" s="118"/>
      <c r="D10" s="119"/>
      <c r="E10" s="120"/>
    </row>
    <row r="11" spans="1:5" x14ac:dyDescent="0.25">
      <c r="A11" s="116">
        <f t="shared" ref="A11:A15" si="0">A10+1</f>
        <v>3</v>
      </c>
      <c r="B11" s="117"/>
      <c r="C11" s="118"/>
      <c r="D11" s="119"/>
      <c r="E11" s="120"/>
    </row>
    <row r="12" spans="1:5" x14ac:dyDescent="0.25">
      <c r="A12" s="116">
        <f t="shared" si="0"/>
        <v>4</v>
      </c>
      <c r="B12" s="117"/>
      <c r="C12" s="118"/>
      <c r="D12" s="119"/>
      <c r="E12" s="120"/>
    </row>
    <row r="13" spans="1:5" x14ac:dyDescent="0.25">
      <c r="A13" s="116">
        <f t="shared" si="0"/>
        <v>5</v>
      </c>
      <c r="B13" s="117"/>
      <c r="C13" s="118"/>
      <c r="D13" s="119"/>
      <c r="E13" s="120"/>
    </row>
    <row r="14" spans="1:5" x14ac:dyDescent="0.25">
      <c r="A14" s="116">
        <f t="shared" si="0"/>
        <v>6</v>
      </c>
      <c r="B14" s="117"/>
      <c r="C14" s="118"/>
      <c r="D14" s="119"/>
      <c r="E14" s="120"/>
    </row>
    <row r="15" spans="1:5" x14ac:dyDescent="0.25">
      <c r="A15" s="116">
        <f t="shared" si="0"/>
        <v>7</v>
      </c>
      <c r="B15" s="117"/>
      <c r="C15" s="118"/>
      <c r="D15" s="119"/>
      <c r="E15" s="120"/>
    </row>
    <row r="16" spans="1:5" x14ac:dyDescent="0.25">
      <c r="A16" s="121"/>
      <c r="B16" s="117"/>
      <c r="C16" s="118"/>
      <c r="D16" s="119"/>
      <c r="E16" s="122"/>
    </row>
    <row r="17" spans="1:5" ht="15.75" thickBot="1" x14ac:dyDescent="0.3">
      <c r="A17" s="123"/>
      <c r="B17" s="124" t="s">
        <v>10</v>
      </c>
      <c r="C17" s="125"/>
      <c r="D17" s="126"/>
      <c r="E17" s="127">
        <f>SUM(E9:E15)</f>
        <v>2625000</v>
      </c>
    </row>
    <row r="18" spans="1:5" x14ac:dyDescent="0.25">
      <c r="A18" s="111"/>
      <c r="B18" s="111"/>
      <c r="C18" s="159"/>
      <c r="E18" s="111"/>
    </row>
    <row r="19" spans="1:5" x14ac:dyDescent="0.25">
      <c r="A19" s="128"/>
      <c r="B19" s="128"/>
      <c r="C19" s="128"/>
      <c r="D19" s="110" t="s">
        <v>3486</v>
      </c>
      <c r="E19" s="128"/>
    </row>
    <row r="20" spans="1:5" x14ac:dyDescent="0.25">
      <c r="A20" s="128"/>
      <c r="B20" s="128"/>
      <c r="C20" s="128"/>
      <c r="D20" s="128"/>
      <c r="E20" s="128"/>
    </row>
    <row r="54" spans="1:5" x14ac:dyDescent="0.25">
      <c r="A54" s="110" t="s">
        <v>0</v>
      </c>
      <c r="B54" s="111"/>
      <c r="C54" s="159"/>
      <c r="D54" s="111"/>
      <c r="E54" s="111"/>
    </row>
    <row r="55" spans="1:5" x14ac:dyDescent="0.25">
      <c r="A55" s="110" t="s">
        <v>1</v>
      </c>
      <c r="B55" s="111"/>
      <c r="C55" s="159"/>
      <c r="D55" s="111"/>
      <c r="E55" s="111"/>
    </row>
    <row r="56" spans="1:5" x14ac:dyDescent="0.25">
      <c r="A56" s="110"/>
      <c r="B56" s="111"/>
      <c r="C56" s="159"/>
      <c r="D56" s="111"/>
      <c r="E56" s="111"/>
    </row>
    <row r="57" spans="1:5" x14ac:dyDescent="0.25">
      <c r="A57" s="112" t="s">
        <v>81</v>
      </c>
      <c r="B57" s="112"/>
      <c r="C57" s="112"/>
      <c r="D57" s="112"/>
      <c r="E57" s="112"/>
    </row>
    <row r="58" spans="1:5" x14ac:dyDescent="0.25">
      <c r="A58" s="249" t="s">
        <v>3466</v>
      </c>
      <c r="B58" s="249"/>
      <c r="C58" s="249"/>
      <c r="D58" s="249"/>
      <c r="E58" s="249"/>
    </row>
    <row r="59" spans="1:5" x14ac:dyDescent="0.25">
      <c r="A59" s="112"/>
      <c r="B59" s="112"/>
      <c r="C59" s="112"/>
      <c r="D59" s="112"/>
      <c r="E59" s="112"/>
    </row>
    <row r="60" spans="1:5" ht="15.75" thickBot="1" x14ac:dyDescent="0.3">
      <c r="A60" s="111"/>
      <c r="B60" s="111"/>
      <c r="C60" s="159"/>
      <c r="D60" s="111"/>
      <c r="E60" s="111" t="s">
        <v>3511</v>
      </c>
    </row>
    <row r="61" spans="1:5" x14ac:dyDescent="0.25">
      <c r="A61" s="113" t="s">
        <v>16</v>
      </c>
      <c r="B61" s="114" t="s">
        <v>79</v>
      </c>
      <c r="C61" s="114" t="s">
        <v>80</v>
      </c>
      <c r="D61" s="114" t="s">
        <v>77</v>
      </c>
      <c r="E61" s="115" t="s">
        <v>10</v>
      </c>
    </row>
    <row r="62" spans="1:5" x14ac:dyDescent="0.25">
      <c r="A62" s="116">
        <v>1</v>
      </c>
      <c r="B62" s="117" t="s">
        <v>3512</v>
      </c>
      <c r="C62" s="118"/>
      <c r="D62" s="119"/>
      <c r="E62" s="120">
        <f>19*875000</f>
        <v>16625000</v>
      </c>
    </row>
    <row r="63" spans="1:5" x14ac:dyDescent="0.25">
      <c r="A63" s="116">
        <f>A62+1</f>
        <v>2</v>
      </c>
      <c r="B63" s="117"/>
      <c r="C63" s="118"/>
      <c r="D63" s="119"/>
      <c r="E63" s="120"/>
    </row>
    <row r="64" spans="1:5" x14ac:dyDescent="0.25">
      <c r="A64" s="116">
        <f t="shared" ref="A64:A68" si="1">A63+1</f>
        <v>3</v>
      </c>
      <c r="B64" s="117"/>
      <c r="C64" s="118"/>
      <c r="D64" s="119"/>
      <c r="E64" s="120"/>
    </row>
    <row r="65" spans="1:5" x14ac:dyDescent="0.25">
      <c r="A65" s="116">
        <f t="shared" si="1"/>
        <v>4</v>
      </c>
      <c r="B65" s="117"/>
      <c r="C65" s="118"/>
      <c r="D65" s="119"/>
      <c r="E65" s="120"/>
    </row>
    <row r="66" spans="1:5" x14ac:dyDescent="0.25">
      <c r="A66" s="116">
        <f t="shared" si="1"/>
        <v>5</v>
      </c>
      <c r="B66" s="117"/>
      <c r="C66" s="118"/>
      <c r="D66" s="119"/>
      <c r="E66" s="120"/>
    </row>
    <row r="67" spans="1:5" x14ac:dyDescent="0.25">
      <c r="A67" s="116">
        <f t="shared" si="1"/>
        <v>6</v>
      </c>
      <c r="B67" s="117"/>
      <c r="C67" s="118"/>
      <c r="D67" s="119"/>
      <c r="E67" s="120"/>
    </row>
    <row r="68" spans="1:5" x14ac:dyDescent="0.25">
      <c r="A68" s="116">
        <f t="shared" si="1"/>
        <v>7</v>
      </c>
      <c r="B68" s="117"/>
      <c r="C68" s="118"/>
      <c r="D68" s="119"/>
      <c r="E68" s="120"/>
    </row>
    <row r="69" spans="1:5" x14ac:dyDescent="0.25">
      <c r="A69" s="121"/>
      <c r="B69" s="117"/>
      <c r="C69" s="118"/>
      <c r="D69" s="119"/>
      <c r="E69" s="122"/>
    </row>
    <row r="70" spans="1:5" ht="15.75" thickBot="1" x14ac:dyDescent="0.3">
      <c r="A70" s="123"/>
      <c r="B70" s="124" t="s">
        <v>10</v>
      </c>
      <c r="C70" s="125"/>
      <c r="D70" s="126"/>
      <c r="E70" s="127">
        <f>SUM(E62:E68)</f>
        <v>16625000</v>
      </c>
    </row>
    <row r="71" spans="1:5" x14ac:dyDescent="0.25">
      <c r="A71" s="111"/>
      <c r="B71" s="111"/>
      <c r="C71" s="159"/>
      <c r="E71" s="111"/>
    </row>
    <row r="72" spans="1:5" x14ac:dyDescent="0.25">
      <c r="A72" s="128"/>
      <c r="B72" s="128"/>
      <c r="C72" s="128"/>
      <c r="D72" s="110" t="s">
        <v>3507</v>
      </c>
      <c r="E72" s="128"/>
    </row>
    <row r="73" spans="1:5" x14ac:dyDescent="0.25">
      <c r="A73" s="128"/>
      <c r="B73" s="128"/>
      <c r="C73" s="128"/>
      <c r="D73" s="128"/>
      <c r="E73" s="128"/>
    </row>
    <row r="107" spans="1:5" x14ac:dyDescent="0.25">
      <c r="A107" s="110" t="s">
        <v>0</v>
      </c>
      <c r="B107" s="111"/>
      <c r="C107" s="159"/>
      <c r="D107" s="111"/>
      <c r="E107" s="111"/>
    </row>
    <row r="108" spans="1:5" x14ac:dyDescent="0.25">
      <c r="A108" s="110" t="s">
        <v>1</v>
      </c>
      <c r="B108" s="111"/>
      <c r="C108" s="159"/>
      <c r="D108" s="111"/>
      <c r="E108" s="111"/>
    </row>
    <row r="109" spans="1:5" x14ac:dyDescent="0.25">
      <c r="A109" s="110"/>
      <c r="B109" s="111"/>
      <c r="C109" s="159"/>
      <c r="D109" s="111"/>
      <c r="E109" s="111"/>
    </row>
    <row r="110" spans="1:5" x14ac:dyDescent="0.25">
      <c r="A110" s="112" t="s">
        <v>81</v>
      </c>
      <c r="B110" s="112"/>
      <c r="C110" s="112"/>
      <c r="D110" s="112"/>
      <c r="E110" s="112"/>
    </row>
    <row r="111" spans="1:5" x14ac:dyDescent="0.25">
      <c r="A111" s="249" t="s">
        <v>3466</v>
      </c>
      <c r="B111" s="249"/>
      <c r="C111" s="249"/>
      <c r="D111" s="249"/>
      <c r="E111" s="249"/>
    </row>
    <row r="112" spans="1:5" x14ac:dyDescent="0.25">
      <c r="A112" s="112"/>
      <c r="B112" s="112"/>
      <c r="C112" s="112"/>
      <c r="D112" s="112"/>
      <c r="E112" s="112"/>
    </row>
    <row r="113" spans="1:5" ht="15.75" thickBot="1" x14ac:dyDescent="0.3">
      <c r="A113" s="111"/>
      <c r="B113" s="111"/>
      <c r="C113" s="159"/>
      <c r="D113" s="111"/>
      <c r="E113" s="111" t="s">
        <v>3529</v>
      </c>
    </row>
    <row r="114" spans="1:5" x14ac:dyDescent="0.25">
      <c r="A114" s="113" t="s">
        <v>16</v>
      </c>
      <c r="B114" s="114" t="s">
        <v>79</v>
      </c>
      <c r="C114" s="114" t="s">
        <v>80</v>
      </c>
      <c r="D114" s="114" t="s">
        <v>77</v>
      </c>
      <c r="E114" s="115" t="s">
        <v>10</v>
      </c>
    </row>
    <row r="115" spans="1:5" x14ac:dyDescent="0.25">
      <c r="A115" s="116">
        <v>1</v>
      </c>
      <c r="B115" s="117" t="s">
        <v>3530</v>
      </c>
      <c r="C115" s="118"/>
      <c r="D115" s="119"/>
      <c r="E115" s="120">
        <v>100000</v>
      </c>
    </row>
    <row r="116" spans="1:5" x14ac:dyDescent="0.25">
      <c r="A116" s="116">
        <f>A115+1</f>
        <v>2</v>
      </c>
      <c r="B116" s="117"/>
      <c r="C116" s="118"/>
      <c r="D116" s="119"/>
      <c r="E116" s="120"/>
    </row>
    <row r="117" spans="1:5" x14ac:dyDescent="0.25">
      <c r="A117" s="116">
        <f t="shared" ref="A117:A121" si="2">A116+1</f>
        <v>3</v>
      </c>
      <c r="B117" s="117"/>
      <c r="C117" s="118"/>
      <c r="D117" s="119"/>
      <c r="E117" s="120"/>
    </row>
    <row r="118" spans="1:5" x14ac:dyDescent="0.25">
      <c r="A118" s="116">
        <f t="shared" si="2"/>
        <v>4</v>
      </c>
      <c r="B118" s="117"/>
      <c r="C118" s="118"/>
      <c r="D118" s="119"/>
      <c r="E118" s="120"/>
    </row>
    <row r="119" spans="1:5" x14ac:dyDescent="0.25">
      <c r="A119" s="116">
        <f t="shared" si="2"/>
        <v>5</v>
      </c>
      <c r="B119" s="117"/>
      <c r="C119" s="118"/>
      <c r="D119" s="119"/>
      <c r="E119" s="120"/>
    </row>
    <row r="120" spans="1:5" x14ac:dyDescent="0.25">
      <c r="A120" s="116">
        <f t="shared" si="2"/>
        <v>6</v>
      </c>
      <c r="B120" s="117"/>
      <c r="C120" s="118"/>
      <c r="D120" s="119"/>
      <c r="E120" s="120"/>
    </row>
    <row r="121" spans="1:5" x14ac:dyDescent="0.25">
      <c r="A121" s="116">
        <f t="shared" si="2"/>
        <v>7</v>
      </c>
      <c r="B121" s="117"/>
      <c r="C121" s="118"/>
      <c r="D121" s="119"/>
      <c r="E121" s="120"/>
    </row>
    <row r="122" spans="1:5" x14ac:dyDescent="0.25">
      <c r="A122" s="121"/>
      <c r="B122" s="117"/>
      <c r="C122" s="118"/>
      <c r="D122" s="119"/>
      <c r="E122" s="122"/>
    </row>
    <row r="123" spans="1:5" ht="15.75" thickBot="1" x14ac:dyDescent="0.3">
      <c r="A123" s="123"/>
      <c r="B123" s="124" t="s">
        <v>10</v>
      </c>
      <c r="C123" s="125"/>
      <c r="D123" s="126"/>
      <c r="E123" s="127">
        <f>SUM(E115:E121)</f>
        <v>100000</v>
      </c>
    </row>
    <row r="124" spans="1:5" x14ac:dyDescent="0.25">
      <c r="A124" s="111"/>
      <c r="B124" s="111"/>
      <c r="C124" s="159"/>
      <c r="E124" s="111"/>
    </row>
    <row r="125" spans="1:5" x14ac:dyDescent="0.25">
      <c r="A125" s="128"/>
      <c r="B125" s="128"/>
      <c r="C125" s="128"/>
      <c r="D125" s="110" t="s">
        <v>3516</v>
      </c>
      <c r="E125" s="128"/>
    </row>
    <row r="126" spans="1:5" x14ac:dyDescent="0.25">
      <c r="A126" s="128"/>
      <c r="B126" s="128"/>
      <c r="C126" s="128"/>
      <c r="D126" s="128"/>
      <c r="E126" s="128"/>
    </row>
    <row r="160" spans="1:5" x14ac:dyDescent="0.25">
      <c r="A160" s="110" t="s">
        <v>0</v>
      </c>
      <c r="B160" s="111"/>
      <c r="C160" s="159"/>
      <c r="D160" s="111"/>
      <c r="E160" s="111"/>
    </row>
    <row r="161" spans="1:5" x14ac:dyDescent="0.25">
      <c r="A161" s="110" t="s">
        <v>1</v>
      </c>
      <c r="B161" s="111"/>
      <c r="C161" s="159"/>
      <c r="D161" s="111"/>
      <c r="E161" s="111"/>
    </row>
    <row r="162" spans="1:5" x14ac:dyDescent="0.25">
      <c r="A162" s="110"/>
      <c r="B162" s="111"/>
      <c r="C162" s="159"/>
      <c r="D162" s="111"/>
      <c r="E162" s="111"/>
    </row>
    <row r="163" spans="1:5" x14ac:dyDescent="0.25">
      <c r="A163" s="112" t="s">
        <v>81</v>
      </c>
      <c r="B163" s="112"/>
      <c r="C163" s="112"/>
      <c r="D163" s="112"/>
      <c r="E163" s="112"/>
    </row>
    <row r="164" spans="1:5" x14ac:dyDescent="0.25">
      <c r="A164" s="249" t="s">
        <v>3466</v>
      </c>
      <c r="B164" s="249"/>
      <c r="C164" s="249"/>
      <c r="D164" s="249"/>
      <c r="E164" s="249"/>
    </row>
    <row r="165" spans="1:5" x14ac:dyDescent="0.25">
      <c r="A165" s="112"/>
      <c r="B165" s="112"/>
      <c r="C165" s="112"/>
      <c r="D165" s="112"/>
      <c r="E165" s="112"/>
    </row>
    <row r="166" spans="1:5" ht="15.75" thickBot="1" x14ac:dyDescent="0.3">
      <c r="A166" s="111"/>
      <c r="B166" s="111"/>
      <c r="C166" s="159"/>
      <c r="D166" s="111"/>
      <c r="E166" s="111" t="s">
        <v>3537</v>
      </c>
    </row>
    <row r="167" spans="1:5" x14ac:dyDescent="0.25">
      <c r="A167" s="113" t="s">
        <v>16</v>
      </c>
      <c r="B167" s="114" t="s">
        <v>79</v>
      </c>
      <c r="C167" s="114" t="s">
        <v>80</v>
      </c>
      <c r="D167" s="114" t="s">
        <v>77</v>
      </c>
      <c r="E167" s="115" t="s">
        <v>10</v>
      </c>
    </row>
    <row r="168" spans="1:5" x14ac:dyDescent="0.25">
      <c r="A168" s="116">
        <v>1</v>
      </c>
      <c r="B168" s="117" t="s">
        <v>3530</v>
      </c>
      <c r="C168" s="118"/>
      <c r="D168" s="119"/>
      <c r="E168" s="120">
        <v>875000</v>
      </c>
    </row>
    <row r="169" spans="1:5" x14ac:dyDescent="0.25">
      <c r="A169" s="116">
        <f>A168+1</f>
        <v>2</v>
      </c>
      <c r="B169" s="117"/>
      <c r="C169" s="118"/>
      <c r="D169" s="119"/>
      <c r="E169" s="120"/>
    </row>
    <row r="170" spans="1:5" x14ac:dyDescent="0.25">
      <c r="A170" s="116">
        <f t="shared" ref="A170:A174" si="3">A169+1</f>
        <v>3</v>
      </c>
      <c r="B170" s="117"/>
      <c r="C170" s="118"/>
      <c r="D170" s="119"/>
      <c r="E170" s="120"/>
    </row>
    <row r="171" spans="1:5" x14ac:dyDescent="0.25">
      <c r="A171" s="116">
        <f t="shared" si="3"/>
        <v>4</v>
      </c>
      <c r="B171" s="117"/>
      <c r="C171" s="118"/>
      <c r="D171" s="119"/>
      <c r="E171" s="120"/>
    </row>
    <row r="172" spans="1:5" x14ac:dyDescent="0.25">
      <c r="A172" s="116">
        <f t="shared" si="3"/>
        <v>5</v>
      </c>
      <c r="B172" s="117"/>
      <c r="C172" s="118"/>
      <c r="D172" s="119"/>
      <c r="E172" s="120"/>
    </row>
    <row r="173" spans="1:5" x14ac:dyDescent="0.25">
      <c r="A173" s="116">
        <f t="shared" si="3"/>
        <v>6</v>
      </c>
      <c r="B173" s="117"/>
      <c r="C173" s="118"/>
      <c r="D173" s="119"/>
      <c r="E173" s="120"/>
    </row>
    <row r="174" spans="1:5" x14ac:dyDescent="0.25">
      <c r="A174" s="116">
        <f t="shared" si="3"/>
        <v>7</v>
      </c>
      <c r="B174" s="117"/>
      <c r="C174" s="118"/>
      <c r="D174" s="119"/>
      <c r="E174" s="120"/>
    </row>
    <row r="175" spans="1:5" x14ac:dyDescent="0.25">
      <c r="A175" s="121"/>
      <c r="B175" s="117"/>
      <c r="C175" s="118"/>
      <c r="D175" s="119"/>
      <c r="E175" s="122"/>
    </row>
    <row r="176" spans="1:5" ht="15.75" thickBot="1" x14ac:dyDescent="0.3">
      <c r="A176" s="123"/>
      <c r="B176" s="124" t="s">
        <v>10</v>
      </c>
      <c r="C176" s="125"/>
      <c r="D176" s="126"/>
      <c r="E176" s="127">
        <f>SUM(E168:E174)</f>
        <v>875000</v>
      </c>
    </row>
    <row r="177" spans="1:5" x14ac:dyDescent="0.25">
      <c r="A177" s="111"/>
      <c r="B177" s="111"/>
      <c r="C177" s="159"/>
      <c r="E177" s="111"/>
    </row>
    <row r="178" spans="1:5" x14ac:dyDescent="0.25">
      <c r="A178" s="128"/>
      <c r="B178" s="128"/>
      <c r="C178" s="128"/>
      <c r="D178" s="110" t="s">
        <v>3533</v>
      </c>
      <c r="E178" s="128"/>
    </row>
    <row r="179" spans="1:5" x14ac:dyDescent="0.25">
      <c r="A179" s="128"/>
      <c r="B179" s="128"/>
      <c r="C179" s="128"/>
      <c r="D179" s="128"/>
      <c r="E179" s="128"/>
    </row>
  </sheetData>
  <mergeCells count="4">
    <mergeCell ref="A5:E5"/>
    <mergeCell ref="A58:E58"/>
    <mergeCell ref="A111:E111"/>
    <mergeCell ref="A164:E164"/>
  </mergeCells>
  <pageMargins left="0.70866141732283472" right="0.70866141732283472" top="0.74803149606299213" bottom="0.74803149606299213" header="0.31496062992125984" footer="0.31496062992125984"/>
  <pageSetup paperSize="9" scale="95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4398"/>
  <sheetViews>
    <sheetView showWhiteSpace="0" view="pageLayout" topLeftCell="A4376" zoomScale="78" zoomScaleNormal="79" zoomScalePageLayoutView="78" workbookViewId="0">
      <selection activeCell="B4390" sqref="B4390"/>
    </sheetView>
  </sheetViews>
  <sheetFormatPr defaultRowHeight="15" x14ac:dyDescent="0.25"/>
  <cols>
    <col min="1" max="1" width="5.85546875" customWidth="1"/>
    <col min="2" max="2" width="39" customWidth="1"/>
    <col min="3" max="3" width="14.5703125" customWidth="1"/>
    <col min="4" max="4" width="11.140625" customWidth="1"/>
    <col min="5" max="5" width="19.140625" customWidth="1"/>
    <col min="7" max="7" width="23.140625" customWidth="1"/>
  </cols>
  <sheetData>
    <row r="1" spans="1:5" x14ac:dyDescent="0.25">
      <c r="A1" s="93" t="s">
        <v>0</v>
      </c>
      <c r="B1" s="129"/>
      <c r="C1" s="129"/>
      <c r="D1" s="129"/>
      <c r="E1" s="129"/>
    </row>
    <row r="2" spans="1:5" x14ac:dyDescent="0.25">
      <c r="A2" s="93" t="s">
        <v>1</v>
      </c>
      <c r="B2" s="94"/>
      <c r="C2" s="95"/>
      <c r="D2" s="94"/>
      <c r="E2" s="94"/>
    </row>
    <row r="3" spans="1:5" x14ac:dyDescent="0.25">
      <c r="A3" s="93"/>
      <c r="B3" s="94"/>
      <c r="C3" s="95"/>
      <c r="D3" s="94"/>
      <c r="E3" s="94"/>
    </row>
    <row r="4" spans="1:5" x14ac:dyDescent="0.25">
      <c r="A4" s="96" t="s">
        <v>84</v>
      </c>
      <c r="B4" s="96"/>
      <c r="C4" s="96"/>
      <c r="D4" s="96"/>
      <c r="E4" s="96"/>
    </row>
    <row r="5" spans="1:5" x14ac:dyDescent="0.25">
      <c r="A5" s="238" t="s">
        <v>82</v>
      </c>
      <c r="B5" s="239"/>
      <c r="C5" s="239"/>
      <c r="D5" s="239"/>
      <c r="E5" s="239"/>
    </row>
    <row r="6" spans="1:5" x14ac:dyDescent="0.25">
      <c r="A6" s="95"/>
      <c r="B6" s="95"/>
      <c r="C6" s="95"/>
      <c r="D6" s="95"/>
      <c r="E6" s="95"/>
    </row>
    <row r="7" spans="1:5" ht="15.75" thickBot="1" x14ac:dyDescent="0.3">
      <c r="A7" s="94"/>
      <c r="B7" s="94"/>
      <c r="C7" s="95"/>
      <c r="D7" s="94"/>
      <c r="E7" s="109" t="s">
        <v>85</v>
      </c>
    </row>
    <row r="8" spans="1:5" x14ac:dyDescent="0.25">
      <c r="A8" s="97" t="s">
        <v>16</v>
      </c>
      <c r="B8" s="98" t="s">
        <v>79</v>
      </c>
      <c r="C8" s="98" t="s">
        <v>80</v>
      </c>
      <c r="D8" s="98" t="s">
        <v>77</v>
      </c>
      <c r="E8" s="99" t="s">
        <v>10</v>
      </c>
    </row>
    <row r="9" spans="1:5" x14ac:dyDescent="0.25">
      <c r="A9" s="100">
        <v>1</v>
      </c>
      <c r="B9" s="151" t="s">
        <v>103</v>
      </c>
      <c r="C9" s="152" t="s">
        <v>109</v>
      </c>
      <c r="D9" s="103"/>
      <c r="E9" s="104">
        <v>50000</v>
      </c>
    </row>
    <row r="10" spans="1:5" x14ac:dyDescent="0.25">
      <c r="A10" s="100">
        <f>A9+1</f>
        <v>2</v>
      </c>
      <c r="B10" s="151" t="s">
        <v>104</v>
      </c>
      <c r="C10" s="152" t="s">
        <v>110</v>
      </c>
      <c r="D10" s="103"/>
      <c r="E10" s="104">
        <v>12500</v>
      </c>
    </row>
    <row r="11" spans="1:5" x14ac:dyDescent="0.25">
      <c r="A11" s="100">
        <f t="shared" ref="A11:A22" si="0">A10+1</f>
        <v>3</v>
      </c>
      <c r="B11" s="151" t="s">
        <v>105</v>
      </c>
      <c r="C11" s="152" t="s">
        <v>111</v>
      </c>
      <c r="D11" s="103"/>
      <c r="E11" s="104">
        <v>5000</v>
      </c>
    </row>
    <row r="12" spans="1:5" x14ac:dyDescent="0.25">
      <c r="A12" s="100">
        <f t="shared" si="0"/>
        <v>4</v>
      </c>
      <c r="B12" s="151" t="s">
        <v>106</v>
      </c>
      <c r="C12" s="152" t="s">
        <v>112</v>
      </c>
      <c r="D12" s="103"/>
      <c r="E12" s="104">
        <v>42500</v>
      </c>
    </row>
    <row r="13" spans="1:5" x14ac:dyDescent="0.25">
      <c r="A13" s="100">
        <f t="shared" si="0"/>
        <v>5</v>
      </c>
      <c r="B13" s="151" t="s">
        <v>107</v>
      </c>
      <c r="C13" s="152" t="s">
        <v>113</v>
      </c>
      <c r="D13" s="103"/>
      <c r="E13" s="104">
        <v>42500</v>
      </c>
    </row>
    <row r="14" spans="1:5" x14ac:dyDescent="0.25">
      <c r="A14" s="100">
        <f t="shared" si="0"/>
        <v>6</v>
      </c>
      <c r="B14" s="151" t="s">
        <v>108</v>
      </c>
      <c r="C14" s="152" t="s">
        <v>114</v>
      </c>
      <c r="D14" s="103"/>
      <c r="E14" s="104">
        <v>12500</v>
      </c>
    </row>
    <row r="15" spans="1:5" x14ac:dyDescent="0.25">
      <c r="A15" s="100">
        <f t="shared" si="0"/>
        <v>7</v>
      </c>
      <c r="B15" s="151" t="s">
        <v>116</v>
      </c>
      <c r="C15" s="152" t="s">
        <v>124</v>
      </c>
      <c r="D15" s="103"/>
      <c r="E15" s="104">
        <v>32500</v>
      </c>
    </row>
    <row r="16" spans="1:5" x14ac:dyDescent="0.25">
      <c r="A16" s="100">
        <f t="shared" si="0"/>
        <v>8</v>
      </c>
      <c r="B16" s="151" t="s">
        <v>117</v>
      </c>
      <c r="C16" s="152" t="s">
        <v>125</v>
      </c>
      <c r="D16" s="103"/>
      <c r="E16" s="104">
        <v>17500</v>
      </c>
    </row>
    <row r="17" spans="1:5" x14ac:dyDescent="0.25">
      <c r="A17" s="100">
        <f t="shared" si="0"/>
        <v>9</v>
      </c>
      <c r="B17" s="151" t="s">
        <v>118</v>
      </c>
      <c r="C17" s="152" t="s">
        <v>126</v>
      </c>
      <c r="D17" s="103"/>
      <c r="E17" s="104">
        <v>5000</v>
      </c>
    </row>
    <row r="18" spans="1:5" x14ac:dyDescent="0.25">
      <c r="A18" s="100">
        <f t="shared" si="0"/>
        <v>10</v>
      </c>
      <c r="B18" s="151" t="s">
        <v>119</v>
      </c>
      <c r="C18" s="152" t="s">
        <v>127</v>
      </c>
      <c r="D18" s="103"/>
      <c r="E18" s="104">
        <v>5000</v>
      </c>
    </row>
    <row r="19" spans="1:5" x14ac:dyDescent="0.25">
      <c r="A19" s="100">
        <f t="shared" si="0"/>
        <v>11</v>
      </c>
      <c r="B19" s="151" t="s">
        <v>120</v>
      </c>
      <c r="C19" s="152" t="s">
        <v>128</v>
      </c>
      <c r="D19" s="103"/>
      <c r="E19" s="104">
        <v>12500</v>
      </c>
    </row>
    <row r="20" spans="1:5" x14ac:dyDescent="0.25">
      <c r="A20" s="100">
        <f t="shared" si="0"/>
        <v>12</v>
      </c>
      <c r="B20" s="151" t="s">
        <v>121</v>
      </c>
      <c r="C20" s="152" t="s">
        <v>129</v>
      </c>
      <c r="D20" s="103"/>
      <c r="E20" s="104">
        <v>5000</v>
      </c>
    </row>
    <row r="21" spans="1:5" x14ac:dyDescent="0.25">
      <c r="A21" s="100">
        <f t="shared" si="0"/>
        <v>13</v>
      </c>
      <c r="B21" s="151" t="s">
        <v>122</v>
      </c>
      <c r="C21" s="152" t="s">
        <v>130</v>
      </c>
      <c r="D21" s="103"/>
      <c r="E21" s="104">
        <v>5000</v>
      </c>
    </row>
    <row r="22" spans="1:5" x14ac:dyDescent="0.25">
      <c r="A22" s="100">
        <f t="shared" si="0"/>
        <v>14</v>
      </c>
      <c r="B22" s="151" t="s">
        <v>123</v>
      </c>
      <c r="C22" s="152" t="s">
        <v>131</v>
      </c>
      <c r="D22" s="103"/>
      <c r="E22" s="104">
        <v>5000</v>
      </c>
    </row>
    <row r="23" spans="1:5" x14ac:dyDescent="0.25">
      <c r="A23" s="100"/>
      <c r="B23" s="101"/>
      <c r="C23" s="102"/>
      <c r="D23" s="103"/>
      <c r="E23" s="104"/>
    </row>
    <row r="24" spans="1:5" ht="15.75" thickBot="1" x14ac:dyDescent="0.3">
      <c r="A24" s="105"/>
      <c r="B24" s="240" t="s">
        <v>10</v>
      </c>
      <c r="C24" s="241"/>
      <c r="D24" s="242"/>
      <c r="E24" s="106">
        <f>SUM(E9:E23)</f>
        <v>252500</v>
      </c>
    </row>
    <row r="25" spans="1:5" x14ac:dyDescent="0.25">
      <c r="A25" s="95"/>
      <c r="B25" s="130"/>
      <c r="C25" s="130"/>
      <c r="D25" s="129"/>
      <c r="E25" s="131"/>
    </row>
    <row r="26" spans="1:5" x14ac:dyDescent="0.25">
      <c r="A26" s="94"/>
      <c r="B26" s="94"/>
      <c r="C26" s="95"/>
      <c r="D26" s="108" t="s">
        <v>115</v>
      </c>
      <c r="E26" s="94"/>
    </row>
    <row r="27" spans="1:5" x14ac:dyDescent="0.25">
      <c r="A27" s="129"/>
      <c r="B27" s="129"/>
      <c r="C27" s="129"/>
      <c r="D27" s="108" t="s">
        <v>83</v>
      </c>
      <c r="E27" s="129"/>
    </row>
    <row r="28" spans="1:5" x14ac:dyDescent="0.25">
      <c r="A28" s="129"/>
      <c r="B28" s="129"/>
      <c r="C28" s="129"/>
      <c r="D28" s="129"/>
      <c r="E28" s="129"/>
    </row>
    <row r="29" spans="1:5" x14ac:dyDescent="0.25">
      <c r="A29" s="129"/>
      <c r="B29" s="129"/>
      <c r="C29" s="129"/>
      <c r="D29" s="129"/>
      <c r="E29" s="129"/>
    </row>
    <row r="30" spans="1:5" x14ac:dyDescent="0.25">
      <c r="A30" s="129"/>
      <c r="B30" s="129"/>
      <c r="C30" s="129"/>
      <c r="D30" s="129"/>
      <c r="E30" s="129"/>
    </row>
    <row r="31" spans="1:5" x14ac:dyDescent="0.25">
      <c r="A31" s="129"/>
      <c r="B31" s="129"/>
      <c r="C31" s="129"/>
      <c r="D31" s="129"/>
      <c r="E31" s="129"/>
    </row>
    <row r="32" spans="1:5" x14ac:dyDescent="0.25">
      <c r="A32" s="129"/>
      <c r="B32" s="129"/>
      <c r="C32" s="129"/>
      <c r="D32" s="129"/>
      <c r="E32" s="129"/>
    </row>
    <row r="54" spans="1:5" x14ac:dyDescent="0.25">
      <c r="A54" s="93" t="s">
        <v>0</v>
      </c>
      <c r="B54" s="129"/>
      <c r="C54" s="129"/>
      <c r="D54" s="129"/>
      <c r="E54" s="129"/>
    </row>
    <row r="55" spans="1:5" x14ac:dyDescent="0.25">
      <c r="A55" s="93" t="s">
        <v>1</v>
      </c>
      <c r="B55" s="94"/>
      <c r="C55" s="95"/>
      <c r="D55" s="94"/>
      <c r="E55" s="94"/>
    </row>
    <row r="56" spans="1:5" x14ac:dyDescent="0.25">
      <c r="A56" s="93"/>
      <c r="B56" s="94"/>
      <c r="C56" s="95"/>
      <c r="D56" s="94"/>
      <c r="E56" s="94"/>
    </row>
    <row r="57" spans="1:5" x14ac:dyDescent="0.25">
      <c r="A57" s="96" t="s">
        <v>84</v>
      </c>
      <c r="B57" s="96"/>
      <c r="C57" s="96"/>
      <c r="D57" s="96"/>
      <c r="E57" s="96"/>
    </row>
    <row r="58" spans="1:5" x14ac:dyDescent="0.25">
      <c r="A58" s="238" t="s">
        <v>82</v>
      </c>
      <c r="B58" s="239"/>
      <c r="C58" s="239"/>
      <c r="D58" s="239"/>
      <c r="E58" s="239"/>
    </row>
    <row r="59" spans="1:5" x14ac:dyDescent="0.25">
      <c r="A59" s="95"/>
      <c r="B59" s="95"/>
      <c r="C59" s="95"/>
      <c r="D59" s="95"/>
      <c r="E59" s="95"/>
    </row>
    <row r="60" spans="1:5" ht="15.75" thickBot="1" x14ac:dyDescent="0.3">
      <c r="A60" s="94"/>
      <c r="B60" s="94"/>
      <c r="C60" s="95"/>
      <c r="D60" s="94"/>
      <c r="E60" s="109" t="s">
        <v>132</v>
      </c>
    </row>
    <row r="61" spans="1:5" x14ac:dyDescent="0.25">
      <c r="A61" s="97" t="s">
        <v>16</v>
      </c>
      <c r="B61" s="98" t="s">
        <v>79</v>
      </c>
      <c r="C61" s="98" t="s">
        <v>80</v>
      </c>
      <c r="D61" s="98" t="s">
        <v>77</v>
      </c>
      <c r="E61" s="99" t="s">
        <v>10</v>
      </c>
    </row>
    <row r="62" spans="1:5" x14ac:dyDescent="0.25">
      <c r="A62" s="100">
        <v>1</v>
      </c>
      <c r="B62" s="151" t="s">
        <v>134</v>
      </c>
      <c r="C62" s="152" t="s">
        <v>140</v>
      </c>
      <c r="D62" s="103"/>
      <c r="E62" s="104">
        <v>12500</v>
      </c>
    </row>
    <row r="63" spans="1:5" x14ac:dyDescent="0.25">
      <c r="A63" s="100">
        <f>A62+1</f>
        <v>2</v>
      </c>
      <c r="B63" s="151" t="s">
        <v>135</v>
      </c>
      <c r="C63" s="152" t="s">
        <v>141</v>
      </c>
      <c r="D63" s="103"/>
      <c r="E63" s="104">
        <v>5000</v>
      </c>
    </row>
    <row r="64" spans="1:5" x14ac:dyDescent="0.25">
      <c r="A64" s="100">
        <f t="shared" ref="A64:A110" si="1">A63+1</f>
        <v>3</v>
      </c>
      <c r="B64" s="151" t="s">
        <v>136</v>
      </c>
      <c r="C64" s="152" t="s">
        <v>142</v>
      </c>
      <c r="D64" s="103"/>
      <c r="E64" s="104">
        <v>5000</v>
      </c>
    </row>
    <row r="65" spans="1:5" x14ac:dyDescent="0.25">
      <c r="A65" s="100">
        <f t="shared" si="1"/>
        <v>4</v>
      </c>
      <c r="B65" s="151" t="s">
        <v>137</v>
      </c>
      <c r="C65" s="152" t="s">
        <v>143</v>
      </c>
      <c r="D65" s="103"/>
      <c r="E65" s="104">
        <v>5000</v>
      </c>
    </row>
    <row r="66" spans="1:5" x14ac:dyDescent="0.25">
      <c r="A66" s="100">
        <f t="shared" si="1"/>
        <v>5</v>
      </c>
      <c r="B66" s="151" t="s">
        <v>138</v>
      </c>
      <c r="C66" s="152" t="s">
        <v>144</v>
      </c>
      <c r="D66" s="103"/>
      <c r="E66" s="104">
        <v>22500</v>
      </c>
    </row>
    <row r="67" spans="1:5" x14ac:dyDescent="0.25">
      <c r="A67" s="100">
        <f t="shared" si="1"/>
        <v>6</v>
      </c>
      <c r="B67" s="151" t="s">
        <v>139</v>
      </c>
      <c r="C67" s="152" t="s">
        <v>145</v>
      </c>
      <c r="D67" s="103"/>
      <c r="E67" s="104">
        <v>42500</v>
      </c>
    </row>
    <row r="68" spans="1:5" x14ac:dyDescent="0.25">
      <c r="A68" s="100">
        <f t="shared" si="1"/>
        <v>7</v>
      </c>
      <c r="B68" s="151" t="s">
        <v>152</v>
      </c>
      <c r="C68" s="152" t="s">
        <v>146</v>
      </c>
      <c r="D68" s="103"/>
      <c r="E68" s="104">
        <v>22500</v>
      </c>
    </row>
    <row r="69" spans="1:5" x14ac:dyDescent="0.25">
      <c r="A69" s="100">
        <f t="shared" si="1"/>
        <v>8</v>
      </c>
      <c r="B69" s="151" t="s">
        <v>153</v>
      </c>
      <c r="C69" s="152" t="s">
        <v>147</v>
      </c>
      <c r="D69" s="103"/>
      <c r="E69" s="104">
        <v>47500</v>
      </c>
    </row>
    <row r="70" spans="1:5" x14ac:dyDescent="0.25">
      <c r="A70" s="100">
        <f t="shared" si="1"/>
        <v>9</v>
      </c>
      <c r="B70" s="151" t="s">
        <v>154</v>
      </c>
      <c r="C70" s="152" t="s">
        <v>148</v>
      </c>
      <c r="D70" s="103"/>
      <c r="E70" s="104">
        <v>52500</v>
      </c>
    </row>
    <row r="71" spans="1:5" x14ac:dyDescent="0.25">
      <c r="A71" s="100">
        <f t="shared" si="1"/>
        <v>10</v>
      </c>
      <c r="B71" s="151" t="s">
        <v>155</v>
      </c>
      <c r="C71" s="152" t="s">
        <v>149</v>
      </c>
      <c r="D71" s="103"/>
      <c r="E71" s="104">
        <v>62500</v>
      </c>
    </row>
    <row r="72" spans="1:5" x14ac:dyDescent="0.25">
      <c r="A72" s="100">
        <f t="shared" si="1"/>
        <v>11</v>
      </c>
      <c r="B72" s="151" t="s">
        <v>156</v>
      </c>
      <c r="C72" s="152" t="s">
        <v>150</v>
      </c>
      <c r="D72" s="103"/>
      <c r="E72" s="104">
        <v>5000</v>
      </c>
    </row>
    <row r="73" spans="1:5" x14ac:dyDescent="0.25">
      <c r="A73" s="100">
        <f t="shared" si="1"/>
        <v>12</v>
      </c>
      <c r="B73" s="151" t="s">
        <v>157</v>
      </c>
      <c r="C73" s="152" t="s">
        <v>151</v>
      </c>
      <c r="D73" s="103"/>
      <c r="E73" s="104">
        <v>62500</v>
      </c>
    </row>
    <row r="74" spans="1:5" x14ac:dyDescent="0.25">
      <c r="A74" s="100">
        <f t="shared" si="1"/>
        <v>13</v>
      </c>
      <c r="B74" s="151" t="s">
        <v>158</v>
      </c>
      <c r="C74" s="152" t="s">
        <v>167</v>
      </c>
      <c r="D74" s="103"/>
      <c r="E74" s="104">
        <v>12500</v>
      </c>
    </row>
    <row r="75" spans="1:5" x14ac:dyDescent="0.25">
      <c r="A75" s="100">
        <f t="shared" si="1"/>
        <v>14</v>
      </c>
      <c r="B75" s="151" t="s">
        <v>159</v>
      </c>
      <c r="C75" s="152" t="s">
        <v>168</v>
      </c>
      <c r="D75" s="103"/>
      <c r="E75" s="104">
        <v>22500</v>
      </c>
    </row>
    <row r="76" spans="1:5" x14ac:dyDescent="0.25">
      <c r="A76" s="100">
        <f t="shared" si="1"/>
        <v>15</v>
      </c>
      <c r="B76" s="151" t="s">
        <v>160</v>
      </c>
      <c r="C76" s="152" t="s">
        <v>169</v>
      </c>
      <c r="D76" s="103"/>
      <c r="E76" s="104">
        <v>22500</v>
      </c>
    </row>
    <row r="77" spans="1:5" x14ac:dyDescent="0.25">
      <c r="A77" s="100">
        <f t="shared" si="1"/>
        <v>16</v>
      </c>
      <c r="B77" s="151" t="s">
        <v>161</v>
      </c>
      <c r="C77" s="152" t="s">
        <v>170</v>
      </c>
      <c r="D77" s="103"/>
      <c r="E77" s="104">
        <v>12500</v>
      </c>
    </row>
    <row r="78" spans="1:5" x14ac:dyDescent="0.25">
      <c r="A78" s="100">
        <f t="shared" si="1"/>
        <v>17</v>
      </c>
      <c r="B78" s="151" t="s">
        <v>162</v>
      </c>
      <c r="C78" s="152" t="s">
        <v>171</v>
      </c>
      <c r="D78" s="103"/>
      <c r="E78" s="104">
        <v>22500</v>
      </c>
    </row>
    <row r="79" spans="1:5" x14ac:dyDescent="0.25">
      <c r="A79" s="100">
        <f t="shared" si="1"/>
        <v>18</v>
      </c>
      <c r="B79" s="151" t="s">
        <v>163</v>
      </c>
      <c r="C79" s="152" t="s">
        <v>172</v>
      </c>
      <c r="D79" s="103"/>
      <c r="E79" s="104">
        <v>52500</v>
      </c>
    </row>
    <row r="80" spans="1:5" x14ac:dyDescent="0.25">
      <c r="A80" s="100">
        <f t="shared" si="1"/>
        <v>19</v>
      </c>
      <c r="B80" s="151" t="s">
        <v>164</v>
      </c>
      <c r="C80" s="152" t="s">
        <v>175</v>
      </c>
      <c r="D80" s="103"/>
      <c r="E80" s="104">
        <v>5000</v>
      </c>
    </row>
    <row r="81" spans="1:5" x14ac:dyDescent="0.25">
      <c r="A81" s="100">
        <f t="shared" si="1"/>
        <v>20</v>
      </c>
      <c r="B81" s="151" t="s">
        <v>165</v>
      </c>
      <c r="C81" s="152" t="s">
        <v>173</v>
      </c>
      <c r="D81" s="103"/>
      <c r="E81" s="104">
        <v>12500</v>
      </c>
    </row>
    <row r="82" spans="1:5" x14ac:dyDescent="0.25">
      <c r="A82" s="100">
        <f t="shared" si="1"/>
        <v>21</v>
      </c>
      <c r="B82" s="151" t="s">
        <v>166</v>
      </c>
      <c r="C82" s="152" t="s">
        <v>174</v>
      </c>
      <c r="D82" s="103"/>
      <c r="E82" s="104">
        <v>42500</v>
      </c>
    </row>
    <row r="83" spans="1:5" x14ac:dyDescent="0.25">
      <c r="A83" s="100">
        <f t="shared" si="1"/>
        <v>22</v>
      </c>
      <c r="B83" s="151" t="s">
        <v>185</v>
      </c>
      <c r="C83" s="152" t="s">
        <v>181</v>
      </c>
      <c r="D83" s="103"/>
      <c r="E83" s="104">
        <v>5000</v>
      </c>
    </row>
    <row r="84" spans="1:5" x14ac:dyDescent="0.25">
      <c r="A84" s="100">
        <f t="shared" si="1"/>
        <v>23</v>
      </c>
      <c r="B84" s="151" t="s">
        <v>186</v>
      </c>
      <c r="C84" s="152" t="s">
        <v>176</v>
      </c>
      <c r="D84" s="103"/>
      <c r="E84" s="104">
        <v>5000</v>
      </c>
    </row>
    <row r="85" spans="1:5" x14ac:dyDescent="0.25">
      <c r="A85" s="100">
        <f t="shared" si="1"/>
        <v>24</v>
      </c>
      <c r="B85" s="151" t="s">
        <v>187</v>
      </c>
      <c r="C85" s="152" t="s">
        <v>177</v>
      </c>
      <c r="D85" s="103"/>
      <c r="E85" s="104">
        <v>5000</v>
      </c>
    </row>
    <row r="86" spans="1:5" x14ac:dyDescent="0.25">
      <c r="A86" s="100">
        <f t="shared" si="1"/>
        <v>25</v>
      </c>
      <c r="B86" s="151" t="s">
        <v>188</v>
      </c>
      <c r="C86" s="152" t="s">
        <v>178</v>
      </c>
      <c r="D86" s="103"/>
      <c r="E86" s="104">
        <v>72500</v>
      </c>
    </row>
    <row r="87" spans="1:5" x14ac:dyDescent="0.25">
      <c r="A87" s="100">
        <f t="shared" si="1"/>
        <v>26</v>
      </c>
      <c r="B87" s="151" t="s">
        <v>189</v>
      </c>
      <c r="C87" s="152" t="s">
        <v>179</v>
      </c>
      <c r="D87" s="103"/>
      <c r="E87" s="104">
        <v>12500</v>
      </c>
    </row>
    <row r="88" spans="1:5" x14ac:dyDescent="0.25">
      <c r="A88" s="100">
        <f t="shared" si="1"/>
        <v>27</v>
      </c>
      <c r="B88" s="151" t="s">
        <v>190</v>
      </c>
      <c r="C88" s="152" t="s">
        <v>180</v>
      </c>
      <c r="D88" s="103"/>
      <c r="E88" s="104">
        <v>5000</v>
      </c>
    </row>
    <row r="89" spans="1:5" x14ac:dyDescent="0.25">
      <c r="A89" s="100">
        <f t="shared" si="1"/>
        <v>28</v>
      </c>
      <c r="B89" s="151" t="s">
        <v>119</v>
      </c>
      <c r="C89" s="152" t="s">
        <v>182</v>
      </c>
      <c r="D89" s="103"/>
      <c r="E89" s="104">
        <v>12500</v>
      </c>
    </row>
    <row r="90" spans="1:5" x14ac:dyDescent="0.25">
      <c r="A90" s="100">
        <f t="shared" si="1"/>
        <v>29</v>
      </c>
      <c r="B90" s="151" t="s">
        <v>191</v>
      </c>
      <c r="C90" s="152" t="s">
        <v>183</v>
      </c>
      <c r="D90" s="103"/>
      <c r="E90" s="104">
        <v>5000</v>
      </c>
    </row>
    <row r="91" spans="1:5" x14ac:dyDescent="0.25">
      <c r="A91" s="100">
        <f t="shared" si="1"/>
        <v>30</v>
      </c>
      <c r="B91" s="151" t="s">
        <v>192</v>
      </c>
      <c r="C91" s="152" t="s">
        <v>184</v>
      </c>
      <c r="D91" s="103"/>
      <c r="E91" s="104">
        <v>5000</v>
      </c>
    </row>
    <row r="92" spans="1:5" x14ac:dyDescent="0.25">
      <c r="A92" s="100">
        <f t="shared" si="1"/>
        <v>31</v>
      </c>
      <c r="B92" s="151" t="s">
        <v>193</v>
      </c>
      <c r="C92" s="152" t="s">
        <v>205</v>
      </c>
      <c r="D92" s="103"/>
      <c r="E92" s="104">
        <v>12500</v>
      </c>
    </row>
    <row r="93" spans="1:5" x14ac:dyDescent="0.25">
      <c r="A93" s="100">
        <f t="shared" si="1"/>
        <v>32</v>
      </c>
      <c r="B93" s="151" t="s">
        <v>194</v>
      </c>
      <c r="C93" s="152" t="s">
        <v>206</v>
      </c>
      <c r="D93" s="103"/>
      <c r="E93" s="104">
        <v>12500</v>
      </c>
    </row>
    <row r="94" spans="1:5" x14ac:dyDescent="0.25">
      <c r="A94" s="100">
        <f t="shared" si="1"/>
        <v>33</v>
      </c>
      <c r="B94" s="151" t="s">
        <v>195</v>
      </c>
      <c r="C94" s="152" t="s">
        <v>207</v>
      </c>
      <c r="D94" s="103"/>
      <c r="E94" s="104">
        <v>22500</v>
      </c>
    </row>
    <row r="95" spans="1:5" x14ac:dyDescent="0.25">
      <c r="A95" s="100">
        <f t="shared" si="1"/>
        <v>34</v>
      </c>
      <c r="B95" s="151" t="s">
        <v>196</v>
      </c>
      <c r="C95" s="152" t="s">
        <v>208</v>
      </c>
      <c r="D95" s="103"/>
      <c r="E95" s="104">
        <v>5000</v>
      </c>
    </row>
    <row r="96" spans="1:5" x14ac:dyDescent="0.25">
      <c r="A96" s="100">
        <f t="shared" si="1"/>
        <v>35</v>
      </c>
      <c r="B96" s="151" t="s">
        <v>197</v>
      </c>
      <c r="C96" s="152" t="s">
        <v>209</v>
      </c>
      <c r="D96" s="103"/>
      <c r="E96" s="104">
        <v>5000</v>
      </c>
    </row>
    <row r="97" spans="1:5" x14ac:dyDescent="0.25">
      <c r="A97" s="100">
        <f t="shared" si="1"/>
        <v>36</v>
      </c>
      <c r="B97" s="151" t="s">
        <v>198</v>
      </c>
      <c r="C97" s="152" t="s">
        <v>210</v>
      </c>
      <c r="D97" s="103"/>
      <c r="E97" s="104">
        <v>12500</v>
      </c>
    </row>
    <row r="98" spans="1:5" x14ac:dyDescent="0.25">
      <c r="A98" s="100">
        <f t="shared" si="1"/>
        <v>37</v>
      </c>
      <c r="B98" s="151" t="s">
        <v>199</v>
      </c>
      <c r="C98" s="152" t="s">
        <v>211</v>
      </c>
      <c r="D98" s="103"/>
      <c r="E98" s="104">
        <v>5000</v>
      </c>
    </row>
    <row r="99" spans="1:5" x14ac:dyDescent="0.25">
      <c r="A99" s="100">
        <f t="shared" si="1"/>
        <v>38</v>
      </c>
      <c r="B99" s="151" t="s">
        <v>200</v>
      </c>
      <c r="C99" s="152" t="s">
        <v>212</v>
      </c>
      <c r="D99" s="103"/>
      <c r="E99" s="104">
        <v>5000</v>
      </c>
    </row>
    <row r="100" spans="1:5" x14ac:dyDescent="0.25">
      <c r="A100" s="100">
        <f t="shared" si="1"/>
        <v>39</v>
      </c>
      <c r="B100" s="151" t="s">
        <v>201</v>
      </c>
      <c r="C100" s="152" t="s">
        <v>213</v>
      </c>
      <c r="D100" s="103"/>
      <c r="E100" s="104">
        <v>5000</v>
      </c>
    </row>
    <row r="101" spans="1:5" x14ac:dyDescent="0.25">
      <c r="A101" s="100">
        <f t="shared" si="1"/>
        <v>40</v>
      </c>
      <c r="B101" s="151" t="s">
        <v>202</v>
      </c>
      <c r="C101" s="152" t="s">
        <v>214</v>
      </c>
      <c r="D101" s="103"/>
      <c r="E101" s="104">
        <v>12500</v>
      </c>
    </row>
    <row r="102" spans="1:5" x14ac:dyDescent="0.25">
      <c r="A102" s="100">
        <f t="shared" si="1"/>
        <v>41</v>
      </c>
      <c r="B102" s="151" t="s">
        <v>203</v>
      </c>
      <c r="C102" s="152" t="s">
        <v>215</v>
      </c>
      <c r="D102" s="103"/>
      <c r="E102" s="104">
        <v>5000</v>
      </c>
    </row>
    <row r="103" spans="1:5" x14ac:dyDescent="0.25">
      <c r="A103" s="100">
        <f t="shared" si="1"/>
        <v>42</v>
      </c>
      <c r="B103" s="151" t="s">
        <v>204</v>
      </c>
      <c r="C103" s="152" t="s">
        <v>216</v>
      </c>
      <c r="D103" s="103"/>
      <c r="E103" s="104">
        <v>5000</v>
      </c>
    </row>
    <row r="104" spans="1:5" x14ac:dyDescent="0.25">
      <c r="A104" s="100">
        <f t="shared" si="1"/>
        <v>43</v>
      </c>
      <c r="B104" s="151" t="s">
        <v>224</v>
      </c>
      <c r="C104" s="152" t="s">
        <v>217</v>
      </c>
      <c r="D104" s="103"/>
      <c r="E104" s="104">
        <v>12500</v>
      </c>
    </row>
    <row r="105" spans="1:5" x14ac:dyDescent="0.25">
      <c r="A105" s="100">
        <f t="shared" si="1"/>
        <v>44</v>
      </c>
      <c r="B105" s="151" t="s">
        <v>225</v>
      </c>
      <c r="C105" s="152" t="s">
        <v>218</v>
      </c>
      <c r="D105" s="103"/>
      <c r="E105" s="104">
        <v>12500</v>
      </c>
    </row>
    <row r="106" spans="1:5" x14ac:dyDescent="0.25">
      <c r="A106" s="100">
        <f t="shared" si="1"/>
        <v>45</v>
      </c>
      <c r="B106" s="151" t="s">
        <v>226</v>
      </c>
      <c r="C106" s="152" t="s">
        <v>219</v>
      </c>
      <c r="D106" s="103"/>
      <c r="E106" s="104">
        <v>5000</v>
      </c>
    </row>
    <row r="107" spans="1:5" x14ac:dyDescent="0.25">
      <c r="A107" s="100">
        <f t="shared" si="1"/>
        <v>46</v>
      </c>
      <c r="B107" s="151" t="s">
        <v>227</v>
      </c>
      <c r="C107" s="152" t="s">
        <v>220</v>
      </c>
      <c r="D107" s="103"/>
      <c r="E107" s="104">
        <v>5000</v>
      </c>
    </row>
    <row r="108" spans="1:5" x14ac:dyDescent="0.25">
      <c r="A108" s="100">
        <f t="shared" si="1"/>
        <v>47</v>
      </c>
      <c r="B108" s="151" t="s">
        <v>228</v>
      </c>
      <c r="C108" s="152" t="s">
        <v>221</v>
      </c>
      <c r="D108" s="103"/>
      <c r="E108" s="104">
        <v>5000</v>
      </c>
    </row>
    <row r="109" spans="1:5" x14ac:dyDescent="0.25">
      <c r="A109" s="100">
        <f t="shared" si="1"/>
        <v>48</v>
      </c>
      <c r="B109" s="151" t="s">
        <v>229</v>
      </c>
      <c r="C109" s="152" t="s">
        <v>222</v>
      </c>
      <c r="D109" s="103"/>
      <c r="E109" s="104">
        <v>5000</v>
      </c>
    </row>
    <row r="110" spans="1:5" x14ac:dyDescent="0.25">
      <c r="A110" s="100">
        <f t="shared" si="1"/>
        <v>49</v>
      </c>
      <c r="B110" s="151" t="s">
        <v>230</v>
      </c>
      <c r="C110" s="152" t="s">
        <v>223</v>
      </c>
      <c r="D110" s="103"/>
      <c r="E110" s="104">
        <v>5000</v>
      </c>
    </row>
    <row r="111" spans="1:5" x14ac:dyDescent="0.25">
      <c r="A111" s="100"/>
      <c r="B111" s="101"/>
      <c r="C111" s="102"/>
      <c r="D111" s="103"/>
      <c r="E111" s="104"/>
    </row>
    <row r="112" spans="1:5" ht="15.75" thickBot="1" x14ac:dyDescent="0.3">
      <c r="A112" s="105"/>
      <c r="B112" s="240" t="s">
        <v>10</v>
      </c>
      <c r="C112" s="241"/>
      <c r="D112" s="242"/>
      <c r="E112" s="106">
        <f>SUM(E62:E111)</f>
        <v>835000</v>
      </c>
    </row>
    <row r="113" spans="1:5" x14ac:dyDescent="0.25">
      <c r="A113" s="95"/>
      <c r="B113" s="130"/>
      <c r="C113" s="130"/>
      <c r="D113" s="129"/>
      <c r="E113" s="131"/>
    </row>
    <row r="114" spans="1:5" x14ac:dyDescent="0.25">
      <c r="A114" s="94"/>
      <c r="B114" s="94"/>
      <c r="C114" s="95"/>
      <c r="D114" s="108" t="s">
        <v>133</v>
      </c>
      <c r="E114" s="94"/>
    </row>
    <row r="115" spans="1:5" x14ac:dyDescent="0.25">
      <c r="A115" s="129"/>
      <c r="B115" s="129"/>
      <c r="C115" s="129"/>
      <c r="D115" s="108" t="s">
        <v>83</v>
      </c>
      <c r="E115" s="129"/>
    </row>
    <row r="160" spans="1:5" x14ac:dyDescent="0.25">
      <c r="A160" s="93" t="s">
        <v>0</v>
      </c>
      <c r="B160" s="129"/>
      <c r="C160" s="129"/>
      <c r="D160" s="129"/>
      <c r="E160" s="129"/>
    </row>
    <row r="161" spans="1:5" x14ac:dyDescent="0.25">
      <c r="A161" s="93" t="s">
        <v>1</v>
      </c>
      <c r="B161" s="94"/>
      <c r="C161" s="95"/>
      <c r="D161" s="94"/>
      <c r="E161" s="94"/>
    </row>
    <row r="162" spans="1:5" x14ac:dyDescent="0.25">
      <c r="A162" s="93"/>
      <c r="B162" s="94"/>
      <c r="C162" s="95"/>
      <c r="D162" s="94"/>
      <c r="E162" s="94"/>
    </row>
    <row r="163" spans="1:5" x14ac:dyDescent="0.25">
      <c r="A163" s="96" t="s">
        <v>84</v>
      </c>
      <c r="B163" s="96"/>
      <c r="C163" s="96"/>
      <c r="D163" s="96"/>
      <c r="E163" s="96"/>
    </row>
    <row r="164" spans="1:5" x14ac:dyDescent="0.25">
      <c r="A164" s="238" t="s">
        <v>82</v>
      </c>
      <c r="B164" s="239"/>
      <c r="C164" s="239"/>
      <c r="D164" s="239"/>
      <c r="E164" s="239"/>
    </row>
    <row r="165" spans="1:5" x14ac:dyDescent="0.25">
      <c r="A165" s="95"/>
      <c r="B165" s="95"/>
      <c r="C165" s="95"/>
      <c r="D165" s="95"/>
      <c r="E165" s="95"/>
    </row>
    <row r="166" spans="1:5" ht="15.75" thickBot="1" x14ac:dyDescent="0.3">
      <c r="A166" s="94"/>
      <c r="B166" s="94"/>
      <c r="C166" s="95"/>
      <c r="D166" s="94"/>
      <c r="E166" s="109" t="s">
        <v>231</v>
      </c>
    </row>
    <row r="167" spans="1:5" x14ac:dyDescent="0.25">
      <c r="A167" s="97" t="s">
        <v>16</v>
      </c>
      <c r="B167" s="98" t="s">
        <v>79</v>
      </c>
      <c r="C167" s="98" t="s">
        <v>80</v>
      </c>
      <c r="D167" s="98" t="s">
        <v>77</v>
      </c>
      <c r="E167" s="99" t="s">
        <v>10</v>
      </c>
    </row>
    <row r="168" spans="1:5" x14ac:dyDescent="0.25">
      <c r="A168" s="100">
        <v>1</v>
      </c>
      <c r="B168" s="151" t="s">
        <v>233</v>
      </c>
      <c r="C168" s="152" t="s">
        <v>239</v>
      </c>
      <c r="D168" s="103"/>
      <c r="E168" s="104">
        <v>12500</v>
      </c>
    </row>
    <row r="169" spans="1:5" x14ac:dyDescent="0.25">
      <c r="A169" s="100">
        <f>A168+1</f>
        <v>2</v>
      </c>
      <c r="B169" s="151" t="s">
        <v>234</v>
      </c>
      <c r="C169" s="152" t="s">
        <v>240</v>
      </c>
      <c r="D169" s="103"/>
      <c r="E169" s="104">
        <v>40000</v>
      </c>
    </row>
    <row r="170" spans="1:5" x14ac:dyDescent="0.25">
      <c r="A170" s="100">
        <f t="shared" ref="A170:A217" si="2">A169+1</f>
        <v>3</v>
      </c>
      <c r="B170" s="151" t="s">
        <v>235</v>
      </c>
      <c r="C170" s="152" t="s">
        <v>241</v>
      </c>
      <c r="D170" s="103"/>
      <c r="E170" s="104">
        <v>5000</v>
      </c>
    </row>
    <row r="171" spans="1:5" x14ac:dyDescent="0.25">
      <c r="A171" s="100">
        <f t="shared" si="2"/>
        <v>4</v>
      </c>
      <c r="B171" s="151" t="s">
        <v>236</v>
      </c>
      <c r="C171" s="152" t="s">
        <v>242</v>
      </c>
      <c r="D171" s="103"/>
      <c r="E171" s="104">
        <v>27500</v>
      </c>
    </row>
    <row r="172" spans="1:5" x14ac:dyDescent="0.25">
      <c r="A172" s="100">
        <f t="shared" si="2"/>
        <v>5</v>
      </c>
      <c r="B172" s="151" t="s">
        <v>237</v>
      </c>
      <c r="C172" s="152" t="s">
        <v>243</v>
      </c>
      <c r="D172" s="103"/>
      <c r="E172" s="104">
        <v>52500</v>
      </c>
    </row>
    <row r="173" spans="1:5" x14ac:dyDescent="0.25">
      <c r="A173" s="100">
        <f t="shared" si="2"/>
        <v>6</v>
      </c>
      <c r="B173" s="151" t="s">
        <v>238</v>
      </c>
      <c r="C173" s="152" t="s">
        <v>244</v>
      </c>
      <c r="D173" s="103"/>
      <c r="E173" s="104">
        <v>42500</v>
      </c>
    </row>
    <row r="174" spans="1:5" x14ac:dyDescent="0.25">
      <c r="A174" s="100">
        <f t="shared" si="2"/>
        <v>7</v>
      </c>
      <c r="B174" s="151" t="s">
        <v>253</v>
      </c>
      <c r="C174" s="152" t="s">
        <v>245</v>
      </c>
      <c r="D174" s="103"/>
      <c r="E174" s="104">
        <v>52500</v>
      </c>
    </row>
    <row r="175" spans="1:5" x14ac:dyDescent="0.25">
      <c r="A175" s="100">
        <f t="shared" si="2"/>
        <v>8</v>
      </c>
      <c r="B175" s="151" t="s">
        <v>254</v>
      </c>
      <c r="C175" s="152" t="s">
        <v>246</v>
      </c>
      <c r="D175" s="103"/>
      <c r="E175" s="104">
        <v>12500</v>
      </c>
    </row>
    <row r="176" spans="1:5" x14ac:dyDescent="0.25">
      <c r="A176" s="100">
        <f t="shared" si="2"/>
        <v>9</v>
      </c>
      <c r="B176" s="151" t="s">
        <v>255</v>
      </c>
      <c r="C176" s="152" t="s">
        <v>247</v>
      </c>
      <c r="D176" s="103"/>
      <c r="E176" s="104">
        <v>5000</v>
      </c>
    </row>
    <row r="177" spans="1:5" x14ac:dyDescent="0.25">
      <c r="A177" s="100">
        <f t="shared" si="2"/>
        <v>10</v>
      </c>
      <c r="B177" s="151" t="s">
        <v>256</v>
      </c>
      <c r="C177" s="152" t="s">
        <v>248</v>
      </c>
      <c r="D177" s="103"/>
      <c r="E177" s="104">
        <v>5000</v>
      </c>
    </row>
    <row r="178" spans="1:5" x14ac:dyDescent="0.25">
      <c r="A178" s="100">
        <f t="shared" si="2"/>
        <v>11</v>
      </c>
      <c r="B178" s="151" t="s">
        <v>257</v>
      </c>
      <c r="C178" s="152" t="s">
        <v>249</v>
      </c>
      <c r="D178" s="103"/>
      <c r="E178" s="104">
        <v>32500</v>
      </c>
    </row>
    <row r="179" spans="1:5" x14ac:dyDescent="0.25">
      <c r="A179" s="100">
        <f t="shared" si="2"/>
        <v>12</v>
      </c>
      <c r="B179" s="151" t="s">
        <v>258</v>
      </c>
      <c r="C179" s="152" t="s">
        <v>250</v>
      </c>
      <c r="D179" s="103"/>
      <c r="E179" s="104">
        <v>72500</v>
      </c>
    </row>
    <row r="180" spans="1:5" x14ac:dyDescent="0.25">
      <c r="A180" s="100">
        <f t="shared" si="2"/>
        <v>13</v>
      </c>
      <c r="B180" s="151" t="s">
        <v>259</v>
      </c>
      <c r="C180" s="152" t="s">
        <v>251</v>
      </c>
      <c r="D180" s="103"/>
      <c r="E180" s="104">
        <v>12500</v>
      </c>
    </row>
    <row r="181" spans="1:5" x14ac:dyDescent="0.25">
      <c r="A181" s="100">
        <f t="shared" si="2"/>
        <v>14</v>
      </c>
      <c r="B181" s="151" t="s">
        <v>260</v>
      </c>
      <c r="C181" s="152" t="s">
        <v>252</v>
      </c>
      <c r="D181" s="103"/>
      <c r="E181" s="104">
        <v>32500</v>
      </c>
    </row>
    <row r="182" spans="1:5" x14ac:dyDescent="0.25">
      <c r="A182" s="100">
        <f t="shared" si="2"/>
        <v>15</v>
      </c>
      <c r="B182" s="151" t="s">
        <v>261</v>
      </c>
      <c r="C182" s="152" t="s">
        <v>272</v>
      </c>
      <c r="D182" s="103"/>
      <c r="E182" s="104">
        <v>22500</v>
      </c>
    </row>
    <row r="183" spans="1:5" x14ac:dyDescent="0.25">
      <c r="A183" s="100">
        <f t="shared" si="2"/>
        <v>16</v>
      </c>
      <c r="B183" s="151" t="s">
        <v>262</v>
      </c>
      <c r="C183" s="152" t="s">
        <v>273</v>
      </c>
      <c r="D183" s="103"/>
      <c r="E183" s="104">
        <v>12500</v>
      </c>
    </row>
    <row r="184" spans="1:5" x14ac:dyDescent="0.25">
      <c r="A184" s="100">
        <f t="shared" si="2"/>
        <v>17</v>
      </c>
      <c r="B184" s="151" t="s">
        <v>263</v>
      </c>
      <c r="C184" s="152" t="s">
        <v>274</v>
      </c>
      <c r="D184" s="103"/>
      <c r="E184" s="104">
        <v>5000</v>
      </c>
    </row>
    <row r="185" spans="1:5" x14ac:dyDescent="0.25">
      <c r="A185" s="100">
        <f t="shared" si="2"/>
        <v>18</v>
      </c>
      <c r="B185" s="151" t="s">
        <v>264</v>
      </c>
      <c r="C185" s="152" t="s">
        <v>275</v>
      </c>
      <c r="D185" s="103"/>
      <c r="E185" s="104">
        <v>12500</v>
      </c>
    </row>
    <row r="186" spans="1:5" x14ac:dyDescent="0.25">
      <c r="A186" s="100">
        <f t="shared" si="2"/>
        <v>19</v>
      </c>
      <c r="B186" s="151" t="s">
        <v>265</v>
      </c>
      <c r="C186" s="152" t="s">
        <v>276</v>
      </c>
      <c r="D186" s="103"/>
      <c r="E186" s="104">
        <v>52500</v>
      </c>
    </row>
    <row r="187" spans="1:5" x14ac:dyDescent="0.25">
      <c r="A187" s="100">
        <f t="shared" si="2"/>
        <v>20</v>
      </c>
      <c r="B187" s="151" t="s">
        <v>266</v>
      </c>
      <c r="C187" s="152" t="s">
        <v>277</v>
      </c>
      <c r="D187" s="103"/>
      <c r="E187" s="104">
        <v>22500</v>
      </c>
    </row>
    <row r="188" spans="1:5" x14ac:dyDescent="0.25">
      <c r="A188" s="100">
        <f t="shared" si="2"/>
        <v>21</v>
      </c>
      <c r="B188" s="151" t="s">
        <v>267</v>
      </c>
      <c r="C188" s="152" t="s">
        <v>278</v>
      </c>
      <c r="D188" s="103"/>
      <c r="E188" s="104">
        <v>20000</v>
      </c>
    </row>
    <row r="189" spans="1:5" x14ac:dyDescent="0.25">
      <c r="A189" s="100">
        <f t="shared" si="2"/>
        <v>22</v>
      </c>
      <c r="B189" s="151" t="s">
        <v>268</v>
      </c>
      <c r="C189" s="152" t="s">
        <v>279</v>
      </c>
      <c r="D189" s="103"/>
      <c r="E189" s="104">
        <v>12500</v>
      </c>
    </row>
    <row r="190" spans="1:5" x14ac:dyDescent="0.25">
      <c r="A190" s="100">
        <f t="shared" si="2"/>
        <v>23</v>
      </c>
      <c r="B190" s="151" t="s">
        <v>269</v>
      </c>
      <c r="C190" s="152" t="s">
        <v>280</v>
      </c>
      <c r="D190" s="103"/>
      <c r="E190" s="104">
        <v>32500</v>
      </c>
    </row>
    <row r="191" spans="1:5" x14ac:dyDescent="0.25">
      <c r="A191" s="100">
        <f t="shared" si="2"/>
        <v>24</v>
      </c>
      <c r="B191" s="151" t="s">
        <v>270</v>
      </c>
      <c r="C191" s="152" t="s">
        <v>281</v>
      </c>
      <c r="D191" s="103"/>
      <c r="E191" s="104">
        <v>12500</v>
      </c>
    </row>
    <row r="192" spans="1:5" x14ac:dyDescent="0.25">
      <c r="A192" s="100">
        <f t="shared" si="2"/>
        <v>25</v>
      </c>
      <c r="B192" s="151" t="s">
        <v>271</v>
      </c>
      <c r="C192" s="152" t="s">
        <v>282</v>
      </c>
      <c r="D192" s="103"/>
      <c r="E192" s="104">
        <v>37500</v>
      </c>
    </row>
    <row r="193" spans="1:5" x14ac:dyDescent="0.25">
      <c r="A193" s="100">
        <f t="shared" si="2"/>
        <v>26</v>
      </c>
      <c r="B193" s="151" t="s">
        <v>296</v>
      </c>
      <c r="C193" s="152" t="s">
        <v>283</v>
      </c>
      <c r="D193" s="103"/>
      <c r="E193" s="104">
        <v>5000</v>
      </c>
    </row>
    <row r="194" spans="1:5" x14ac:dyDescent="0.25">
      <c r="A194" s="100">
        <f t="shared" si="2"/>
        <v>27</v>
      </c>
      <c r="B194" s="151" t="s">
        <v>297</v>
      </c>
      <c r="C194" s="152" t="s">
        <v>284</v>
      </c>
      <c r="D194" s="103"/>
      <c r="E194" s="104">
        <v>5000</v>
      </c>
    </row>
    <row r="195" spans="1:5" x14ac:dyDescent="0.25">
      <c r="A195" s="100">
        <f t="shared" si="2"/>
        <v>28</v>
      </c>
      <c r="B195" s="151" t="s">
        <v>298</v>
      </c>
      <c r="C195" s="152" t="s">
        <v>285</v>
      </c>
      <c r="D195" s="103"/>
      <c r="E195" s="104">
        <v>22500</v>
      </c>
    </row>
    <row r="196" spans="1:5" x14ac:dyDescent="0.25">
      <c r="A196" s="100">
        <f t="shared" si="2"/>
        <v>29</v>
      </c>
      <c r="B196" s="151" t="s">
        <v>299</v>
      </c>
      <c r="C196" s="152" t="s">
        <v>286</v>
      </c>
      <c r="D196" s="103"/>
      <c r="E196" s="104">
        <v>5000</v>
      </c>
    </row>
    <row r="197" spans="1:5" x14ac:dyDescent="0.25">
      <c r="A197" s="100">
        <f t="shared" si="2"/>
        <v>30</v>
      </c>
      <c r="B197" s="151" t="s">
        <v>300</v>
      </c>
      <c r="C197" s="152" t="s">
        <v>287</v>
      </c>
      <c r="D197" s="103"/>
      <c r="E197" s="104">
        <v>20000</v>
      </c>
    </row>
    <row r="198" spans="1:5" x14ac:dyDescent="0.25">
      <c r="A198" s="100">
        <f t="shared" si="2"/>
        <v>31</v>
      </c>
      <c r="B198" s="151" t="s">
        <v>301</v>
      </c>
      <c r="C198" s="152" t="s">
        <v>288</v>
      </c>
      <c r="D198" s="103"/>
      <c r="E198" s="104">
        <v>5000</v>
      </c>
    </row>
    <row r="199" spans="1:5" x14ac:dyDescent="0.25">
      <c r="A199" s="100">
        <f t="shared" si="2"/>
        <v>32</v>
      </c>
      <c r="B199" s="151" t="s">
        <v>302</v>
      </c>
      <c r="C199" s="152" t="s">
        <v>289</v>
      </c>
      <c r="D199" s="103"/>
      <c r="E199" s="104">
        <v>12500</v>
      </c>
    </row>
    <row r="200" spans="1:5" x14ac:dyDescent="0.25">
      <c r="A200" s="100">
        <f t="shared" si="2"/>
        <v>33</v>
      </c>
      <c r="B200" s="151" t="s">
        <v>303</v>
      </c>
      <c r="C200" s="152" t="s">
        <v>290</v>
      </c>
      <c r="D200" s="103"/>
      <c r="E200" s="104">
        <v>5000</v>
      </c>
    </row>
    <row r="201" spans="1:5" x14ac:dyDescent="0.25">
      <c r="A201" s="100">
        <f t="shared" si="2"/>
        <v>34</v>
      </c>
      <c r="B201" s="151" t="s">
        <v>304</v>
      </c>
      <c r="C201" s="152" t="s">
        <v>291</v>
      </c>
      <c r="D201" s="103"/>
      <c r="E201" s="104">
        <v>5000</v>
      </c>
    </row>
    <row r="202" spans="1:5" x14ac:dyDescent="0.25">
      <c r="A202" s="100">
        <f t="shared" si="2"/>
        <v>35</v>
      </c>
      <c r="B202" s="151" t="s">
        <v>305</v>
      </c>
      <c r="C202" s="152" t="s">
        <v>292</v>
      </c>
      <c r="D202" s="103"/>
      <c r="E202" s="104">
        <v>5000</v>
      </c>
    </row>
    <row r="203" spans="1:5" x14ac:dyDescent="0.25">
      <c r="A203" s="100">
        <f t="shared" si="2"/>
        <v>36</v>
      </c>
      <c r="B203" s="151" t="s">
        <v>306</v>
      </c>
      <c r="C203" s="152" t="s">
        <v>293</v>
      </c>
      <c r="D203" s="103"/>
      <c r="E203" s="104">
        <v>5000</v>
      </c>
    </row>
    <row r="204" spans="1:5" x14ac:dyDescent="0.25">
      <c r="A204" s="100">
        <f t="shared" si="2"/>
        <v>37</v>
      </c>
      <c r="B204" s="151" t="s">
        <v>307</v>
      </c>
      <c r="C204" s="152" t="s">
        <v>294</v>
      </c>
      <c r="D204" s="103"/>
      <c r="E204" s="104">
        <v>5000</v>
      </c>
    </row>
    <row r="205" spans="1:5" x14ac:dyDescent="0.25">
      <c r="A205" s="100">
        <f t="shared" si="2"/>
        <v>38</v>
      </c>
      <c r="B205" s="151" t="s">
        <v>308</v>
      </c>
      <c r="C205" s="152" t="s">
        <v>295</v>
      </c>
      <c r="D205" s="103"/>
      <c r="E205" s="104">
        <v>5000</v>
      </c>
    </row>
    <row r="206" spans="1:5" x14ac:dyDescent="0.25">
      <c r="A206" s="100">
        <f t="shared" si="2"/>
        <v>39</v>
      </c>
      <c r="B206" s="151" t="s">
        <v>309</v>
      </c>
      <c r="C206" s="152" t="s">
        <v>316</v>
      </c>
      <c r="D206" s="103"/>
      <c r="E206" s="104">
        <v>12500</v>
      </c>
    </row>
    <row r="207" spans="1:5" x14ac:dyDescent="0.25">
      <c r="A207" s="100">
        <f t="shared" si="2"/>
        <v>40</v>
      </c>
      <c r="B207" s="151" t="s">
        <v>310</v>
      </c>
      <c r="C207" s="152" t="s">
        <v>317</v>
      </c>
      <c r="D207" s="103"/>
      <c r="E207" s="104">
        <v>5000</v>
      </c>
    </row>
    <row r="208" spans="1:5" x14ac:dyDescent="0.25">
      <c r="A208" s="100">
        <f t="shared" si="2"/>
        <v>41</v>
      </c>
      <c r="B208" s="151" t="s">
        <v>311</v>
      </c>
      <c r="C208" s="152" t="s">
        <v>318</v>
      </c>
      <c r="D208" s="103"/>
      <c r="E208" s="104">
        <v>5000</v>
      </c>
    </row>
    <row r="209" spans="1:5" x14ac:dyDescent="0.25">
      <c r="A209" s="100">
        <f t="shared" si="2"/>
        <v>42</v>
      </c>
      <c r="B209" s="151" t="s">
        <v>301</v>
      </c>
      <c r="C209" s="152" t="s">
        <v>319</v>
      </c>
      <c r="D209" s="103"/>
      <c r="E209" s="104">
        <v>5000</v>
      </c>
    </row>
    <row r="210" spans="1:5" x14ac:dyDescent="0.25">
      <c r="A210" s="100">
        <f t="shared" si="2"/>
        <v>43</v>
      </c>
      <c r="B210" s="151" t="s">
        <v>312</v>
      </c>
      <c r="C210" s="152" t="s">
        <v>320</v>
      </c>
      <c r="D210" s="103"/>
      <c r="E210" s="104">
        <v>5000</v>
      </c>
    </row>
    <row r="211" spans="1:5" x14ac:dyDescent="0.25">
      <c r="A211" s="100">
        <f t="shared" si="2"/>
        <v>44</v>
      </c>
      <c r="B211" s="151" t="s">
        <v>313</v>
      </c>
      <c r="C211" s="152" t="s">
        <v>321</v>
      </c>
      <c r="D211" s="103"/>
      <c r="E211" s="104">
        <v>12500</v>
      </c>
    </row>
    <row r="212" spans="1:5" x14ac:dyDescent="0.25">
      <c r="A212" s="100">
        <f t="shared" si="2"/>
        <v>45</v>
      </c>
      <c r="B212" s="151" t="s">
        <v>314</v>
      </c>
      <c r="C212" s="152" t="s">
        <v>322</v>
      </c>
      <c r="D212" s="103"/>
      <c r="E212" s="104">
        <v>5000</v>
      </c>
    </row>
    <row r="213" spans="1:5" x14ac:dyDescent="0.25">
      <c r="A213" s="100">
        <f t="shared" si="2"/>
        <v>46</v>
      </c>
      <c r="B213" s="151" t="s">
        <v>315</v>
      </c>
      <c r="C213" s="152" t="s">
        <v>323</v>
      </c>
      <c r="D213" s="103"/>
      <c r="E213" s="104">
        <v>5000</v>
      </c>
    </row>
    <row r="214" spans="1:5" x14ac:dyDescent="0.25">
      <c r="A214" s="100">
        <f t="shared" si="2"/>
        <v>47</v>
      </c>
      <c r="B214" s="151" t="s">
        <v>328</v>
      </c>
      <c r="C214" s="152" t="s">
        <v>324</v>
      </c>
      <c r="D214" s="103"/>
      <c r="E214" s="104">
        <v>5000</v>
      </c>
    </row>
    <row r="215" spans="1:5" x14ac:dyDescent="0.25">
      <c r="A215" s="100">
        <f t="shared" si="2"/>
        <v>48</v>
      </c>
      <c r="B215" s="151" t="s">
        <v>329</v>
      </c>
      <c r="C215" s="152" t="s">
        <v>325</v>
      </c>
      <c r="D215" s="103"/>
      <c r="E215" s="104">
        <v>12500</v>
      </c>
    </row>
    <row r="216" spans="1:5" x14ac:dyDescent="0.25">
      <c r="A216" s="100">
        <f t="shared" si="2"/>
        <v>49</v>
      </c>
      <c r="B216" s="151" t="s">
        <v>330</v>
      </c>
      <c r="C216" s="152" t="s">
        <v>326</v>
      </c>
      <c r="D216" s="103"/>
      <c r="E216" s="104">
        <v>5000</v>
      </c>
    </row>
    <row r="217" spans="1:5" x14ac:dyDescent="0.25">
      <c r="A217" s="100">
        <f t="shared" si="2"/>
        <v>50</v>
      </c>
      <c r="B217" s="151" t="s">
        <v>331</v>
      </c>
      <c r="C217" s="152" t="s">
        <v>327</v>
      </c>
      <c r="D217" s="103"/>
      <c r="E217" s="104">
        <v>5000</v>
      </c>
    </row>
    <row r="218" spans="1:5" x14ac:dyDescent="0.25">
      <c r="A218" s="100"/>
      <c r="B218" s="101"/>
      <c r="C218" s="102"/>
      <c r="D218" s="103"/>
      <c r="E218" s="104"/>
    </row>
    <row r="219" spans="1:5" ht="15.75" thickBot="1" x14ac:dyDescent="0.3">
      <c r="A219" s="105"/>
      <c r="B219" s="240" t="s">
        <v>10</v>
      </c>
      <c r="C219" s="241"/>
      <c r="D219" s="242"/>
      <c r="E219" s="106">
        <f>SUM(E168:E218)</f>
        <v>835000</v>
      </c>
    </row>
    <row r="220" spans="1:5" x14ac:dyDescent="0.25">
      <c r="A220" s="95"/>
      <c r="B220" s="130"/>
      <c r="C220" s="130"/>
      <c r="D220" s="129"/>
      <c r="E220" s="131"/>
    </row>
    <row r="221" spans="1:5" x14ac:dyDescent="0.25">
      <c r="A221" s="94"/>
      <c r="B221" s="94"/>
      <c r="C221" s="95"/>
      <c r="D221" s="108" t="s">
        <v>232</v>
      </c>
      <c r="E221" s="94"/>
    </row>
    <row r="222" spans="1:5" x14ac:dyDescent="0.25">
      <c r="A222" s="129"/>
      <c r="B222" s="129"/>
      <c r="C222" s="129"/>
      <c r="D222" s="108" t="s">
        <v>83</v>
      </c>
      <c r="E222" s="129"/>
    </row>
    <row r="266" spans="1:5" x14ac:dyDescent="0.25">
      <c r="A266" s="93" t="s">
        <v>0</v>
      </c>
      <c r="B266" s="129"/>
      <c r="C266" s="129"/>
      <c r="D266" s="129"/>
      <c r="E266" s="129"/>
    </row>
    <row r="267" spans="1:5" x14ac:dyDescent="0.25">
      <c r="A267" s="93" t="s">
        <v>1</v>
      </c>
      <c r="B267" s="94"/>
      <c r="C267" s="95"/>
      <c r="D267" s="94"/>
      <c r="E267" s="94"/>
    </row>
    <row r="268" spans="1:5" x14ac:dyDescent="0.25">
      <c r="A268" s="93"/>
      <c r="B268" s="94"/>
      <c r="C268" s="95"/>
      <c r="D268" s="94"/>
      <c r="E268" s="94"/>
    </row>
    <row r="269" spans="1:5" x14ac:dyDescent="0.25">
      <c r="A269" s="96" t="s">
        <v>84</v>
      </c>
      <c r="B269" s="96"/>
      <c r="C269" s="96"/>
      <c r="D269" s="96"/>
      <c r="E269" s="96"/>
    </row>
    <row r="270" spans="1:5" x14ac:dyDescent="0.25">
      <c r="A270" s="238" t="s">
        <v>82</v>
      </c>
      <c r="B270" s="239"/>
      <c r="C270" s="239"/>
      <c r="D270" s="239"/>
      <c r="E270" s="239"/>
    </row>
    <row r="271" spans="1:5" x14ac:dyDescent="0.25">
      <c r="A271" s="95"/>
      <c r="B271" s="95"/>
      <c r="C271" s="95"/>
      <c r="D271" s="95"/>
      <c r="E271" s="95"/>
    </row>
    <row r="272" spans="1:5" ht="15.75" thickBot="1" x14ac:dyDescent="0.3">
      <c r="A272" s="94"/>
      <c r="B272" s="94"/>
      <c r="C272" s="95"/>
      <c r="D272" s="94"/>
      <c r="E272" s="109" t="s">
        <v>332</v>
      </c>
    </row>
    <row r="273" spans="1:5" x14ac:dyDescent="0.25">
      <c r="A273" s="97" t="s">
        <v>16</v>
      </c>
      <c r="B273" s="98" t="s">
        <v>79</v>
      </c>
      <c r="C273" s="98" t="s">
        <v>80</v>
      </c>
      <c r="D273" s="98" t="s">
        <v>77</v>
      </c>
      <c r="E273" s="99" t="s">
        <v>10</v>
      </c>
    </row>
    <row r="274" spans="1:5" x14ac:dyDescent="0.25">
      <c r="A274" s="100">
        <v>1</v>
      </c>
      <c r="B274" s="151" t="s">
        <v>334</v>
      </c>
      <c r="C274" s="152" t="s">
        <v>341</v>
      </c>
      <c r="D274" s="103"/>
      <c r="E274" s="104">
        <v>30000</v>
      </c>
    </row>
    <row r="275" spans="1:5" x14ac:dyDescent="0.25">
      <c r="A275" s="100">
        <f>A274+1</f>
        <v>2</v>
      </c>
      <c r="B275" s="151" t="s">
        <v>335</v>
      </c>
      <c r="C275" s="152" t="s">
        <v>342</v>
      </c>
      <c r="D275" s="103"/>
      <c r="E275" s="104">
        <v>30000</v>
      </c>
    </row>
    <row r="276" spans="1:5" x14ac:dyDescent="0.25">
      <c r="A276" s="100">
        <f t="shared" ref="A276:A302" si="3">A275+1</f>
        <v>3</v>
      </c>
      <c r="B276" s="151" t="s">
        <v>336</v>
      </c>
      <c r="C276" s="152" t="s">
        <v>343</v>
      </c>
      <c r="D276" s="103"/>
      <c r="E276" s="104">
        <v>5000</v>
      </c>
    </row>
    <row r="277" spans="1:5" x14ac:dyDescent="0.25">
      <c r="A277" s="100">
        <f t="shared" si="3"/>
        <v>4</v>
      </c>
      <c r="B277" s="151" t="s">
        <v>337</v>
      </c>
      <c r="C277" s="152" t="s">
        <v>344</v>
      </c>
      <c r="D277" s="103"/>
      <c r="E277" s="104">
        <v>12500</v>
      </c>
    </row>
    <row r="278" spans="1:5" x14ac:dyDescent="0.25">
      <c r="A278" s="100">
        <f t="shared" si="3"/>
        <v>5</v>
      </c>
      <c r="B278" s="151" t="s">
        <v>338</v>
      </c>
      <c r="C278" s="152" t="s">
        <v>345</v>
      </c>
      <c r="D278" s="103"/>
      <c r="E278" s="104">
        <v>5000</v>
      </c>
    </row>
    <row r="279" spans="1:5" x14ac:dyDescent="0.25">
      <c r="A279" s="100">
        <f t="shared" si="3"/>
        <v>6</v>
      </c>
      <c r="B279" s="151" t="s">
        <v>339</v>
      </c>
      <c r="C279" s="152" t="s">
        <v>346</v>
      </c>
      <c r="D279" s="103"/>
      <c r="E279" s="104">
        <v>5000</v>
      </c>
    </row>
    <row r="280" spans="1:5" x14ac:dyDescent="0.25">
      <c r="A280" s="100">
        <f t="shared" si="3"/>
        <v>7</v>
      </c>
      <c r="B280" s="151" t="s">
        <v>340</v>
      </c>
      <c r="C280" s="152" t="s">
        <v>347</v>
      </c>
      <c r="D280" s="103"/>
      <c r="E280" s="104">
        <v>5000</v>
      </c>
    </row>
    <row r="281" spans="1:5" x14ac:dyDescent="0.25">
      <c r="A281" s="100">
        <f t="shared" si="3"/>
        <v>8</v>
      </c>
      <c r="B281" s="151" t="s">
        <v>357</v>
      </c>
      <c r="C281" s="152" t="s">
        <v>348</v>
      </c>
      <c r="D281" s="103"/>
      <c r="E281" s="104">
        <v>5000</v>
      </c>
    </row>
    <row r="282" spans="1:5" x14ac:dyDescent="0.25">
      <c r="A282" s="100">
        <f t="shared" si="3"/>
        <v>9</v>
      </c>
      <c r="B282" s="151" t="s">
        <v>358</v>
      </c>
      <c r="C282" s="152" t="s">
        <v>349</v>
      </c>
      <c r="D282" s="103"/>
      <c r="E282" s="104">
        <v>22500</v>
      </c>
    </row>
    <row r="283" spans="1:5" x14ac:dyDescent="0.25">
      <c r="A283" s="100">
        <f t="shared" si="3"/>
        <v>10</v>
      </c>
      <c r="B283" s="151" t="s">
        <v>359</v>
      </c>
      <c r="C283" s="152" t="s">
        <v>350</v>
      </c>
      <c r="D283" s="103"/>
      <c r="E283" s="104">
        <v>50000</v>
      </c>
    </row>
    <row r="284" spans="1:5" x14ac:dyDescent="0.25">
      <c r="A284" s="100">
        <f t="shared" si="3"/>
        <v>11</v>
      </c>
      <c r="B284" s="151" t="s">
        <v>360</v>
      </c>
      <c r="C284" s="152" t="s">
        <v>351</v>
      </c>
      <c r="D284" s="103"/>
      <c r="E284" s="104">
        <v>5000</v>
      </c>
    </row>
    <row r="285" spans="1:5" x14ac:dyDescent="0.25">
      <c r="A285" s="100">
        <f t="shared" si="3"/>
        <v>12</v>
      </c>
      <c r="B285" s="151" t="s">
        <v>361</v>
      </c>
      <c r="C285" s="152" t="s">
        <v>352</v>
      </c>
      <c r="D285" s="103"/>
      <c r="E285" s="104">
        <v>5000</v>
      </c>
    </row>
    <row r="286" spans="1:5" x14ac:dyDescent="0.25">
      <c r="A286" s="100">
        <f t="shared" si="3"/>
        <v>13</v>
      </c>
      <c r="B286" s="151" t="s">
        <v>362</v>
      </c>
      <c r="C286" s="152" t="s">
        <v>353</v>
      </c>
      <c r="D286" s="103"/>
      <c r="E286" s="104">
        <v>5000</v>
      </c>
    </row>
    <row r="287" spans="1:5" x14ac:dyDescent="0.25">
      <c r="A287" s="100">
        <f t="shared" si="3"/>
        <v>14</v>
      </c>
      <c r="B287" s="151" t="s">
        <v>363</v>
      </c>
      <c r="C287" s="152" t="s">
        <v>354</v>
      </c>
      <c r="D287" s="103"/>
      <c r="E287" s="104">
        <v>5000</v>
      </c>
    </row>
    <row r="288" spans="1:5" x14ac:dyDescent="0.25">
      <c r="A288" s="100">
        <f t="shared" si="3"/>
        <v>15</v>
      </c>
      <c r="B288" s="151" t="s">
        <v>364</v>
      </c>
      <c r="C288" s="152" t="s">
        <v>355</v>
      </c>
      <c r="D288" s="103"/>
      <c r="E288" s="104">
        <v>12500</v>
      </c>
    </row>
    <row r="289" spans="1:5" x14ac:dyDescent="0.25">
      <c r="A289" s="100">
        <f t="shared" si="3"/>
        <v>16</v>
      </c>
      <c r="B289" s="151" t="s">
        <v>365</v>
      </c>
      <c r="C289" s="152" t="s">
        <v>356</v>
      </c>
      <c r="D289" s="103"/>
      <c r="E289" s="104">
        <v>5000</v>
      </c>
    </row>
    <row r="290" spans="1:5" x14ac:dyDescent="0.25">
      <c r="A290" s="100">
        <f t="shared" si="3"/>
        <v>17</v>
      </c>
      <c r="B290" s="151" t="s">
        <v>366</v>
      </c>
      <c r="C290" s="152" t="s">
        <v>375</v>
      </c>
      <c r="D290" s="103"/>
      <c r="E290" s="104">
        <v>12500</v>
      </c>
    </row>
    <row r="291" spans="1:5" x14ac:dyDescent="0.25">
      <c r="A291" s="100">
        <f t="shared" si="3"/>
        <v>18</v>
      </c>
      <c r="B291" s="151" t="s">
        <v>367</v>
      </c>
      <c r="C291" s="152" t="s">
        <v>376</v>
      </c>
      <c r="D291" s="103"/>
      <c r="E291" s="104">
        <v>32500</v>
      </c>
    </row>
    <row r="292" spans="1:5" x14ac:dyDescent="0.25">
      <c r="A292" s="100">
        <f t="shared" si="3"/>
        <v>19</v>
      </c>
      <c r="B292" s="151" t="s">
        <v>368</v>
      </c>
      <c r="C292" s="152" t="s">
        <v>377</v>
      </c>
      <c r="D292" s="103"/>
      <c r="E292" s="104">
        <v>5000</v>
      </c>
    </row>
    <row r="293" spans="1:5" x14ac:dyDescent="0.25">
      <c r="A293" s="100">
        <f t="shared" si="3"/>
        <v>20</v>
      </c>
      <c r="B293" s="151" t="s">
        <v>369</v>
      </c>
      <c r="C293" s="152" t="s">
        <v>378</v>
      </c>
      <c r="D293" s="103"/>
      <c r="E293" s="104">
        <v>22500</v>
      </c>
    </row>
    <row r="294" spans="1:5" x14ac:dyDescent="0.25">
      <c r="A294" s="100">
        <f t="shared" si="3"/>
        <v>21</v>
      </c>
      <c r="B294" s="151" t="s">
        <v>370</v>
      </c>
      <c r="C294" s="152" t="s">
        <v>379</v>
      </c>
      <c r="D294" s="103"/>
      <c r="E294" s="104">
        <v>22500</v>
      </c>
    </row>
    <row r="295" spans="1:5" x14ac:dyDescent="0.25">
      <c r="A295" s="100">
        <f t="shared" si="3"/>
        <v>22</v>
      </c>
      <c r="B295" s="151" t="s">
        <v>371</v>
      </c>
      <c r="C295" s="152" t="s">
        <v>380</v>
      </c>
      <c r="D295" s="103"/>
      <c r="E295" s="104">
        <v>22500</v>
      </c>
    </row>
    <row r="296" spans="1:5" x14ac:dyDescent="0.25">
      <c r="A296" s="100">
        <f t="shared" si="3"/>
        <v>23</v>
      </c>
      <c r="B296" s="151" t="s">
        <v>372</v>
      </c>
      <c r="C296" s="152" t="s">
        <v>381</v>
      </c>
      <c r="D296" s="103"/>
      <c r="E296" s="104">
        <v>5000</v>
      </c>
    </row>
    <row r="297" spans="1:5" x14ac:dyDescent="0.25">
      <c r="A297" s="100">
        <f t="shared" si="3"/>
        <v>24</v>
      </c>
      <c r="B297" s="151" t="s">
        <v>373</v>
      </c>
      <c r="C297" s="152" t="s">
        <v>382</v>
      </c>
      <c r="D297" s="103"/>
      <c r="E297" s="104">
        <v>5000</v>
      </c>
    </row>
    <row r="298" spans="1:5" x14ac:dyDescent="0.25">
      <c r="A298" s="100">
        <f t="shared" si="3"/>
        <v>25</v>
      </c>
      <c r="B298" s="151" t="s">
        <v>374</v>
      </c>
      <c r="C298" s="152" t="s">
        <v>383</v>
      </c>
      <c r="D298" s="103"/>
      <c r="E298" s="104">
        <v>12500</v>
      </c>
    </row>
    <row r="299" spans="1:5" x14ac:dyDescent="0.25">
      <c r="A299" s="100">
        <f t="shared" si="3"/>
        <v>26</v>
      </c>
      <c r="B299" s="151" t="s">
        <v>388</v>
      </c>
      <c r="C299" s="152" t="s">
        <v>384</v>
      </c>
      <c r="D299" s="103"/>
      <c r="E299" s="104">
        <v>7500</v>
      </c>
    </row>
    <row r="300" spans="1:5" x14ac:dyDescent="0.25">
      <c r="A300" s="100">
        <f t="shared" si="3"/>
        <v>27</v>
      </c>
      <c r="B300" s="151" t="s">
        <v>389</v>
      </c>
      <c r="C300" s="152" t="s">
        <v>385</v>
      </c>
      <c r="D300" s="103"/>
      <c r="E300" s="104">
        <v>5000</v>
      </c>
    </row>
    <row r="301" spans="1:5" x14ac:dyDescent="0.25">
      <c r="A301" s="100">
        <f t="shared" si="3"/>
        <v>28</v>
      </c>
      <c r="B301" s="151" t="s">
        <v>390</v>
      </c>
      <c r="C301" s="152" t="s">
        <v>386</v>
      </c>
      <c r="D301" s="103"/>
      <c r="E301" s="104">
        <v>12500</v>
      </c>
    </row>
    <row r="302" spans="1:5" x14ac:dyDescent="0.25">
      <c r="A302" s="100">
        <f t="shared" si="3"/>
        <v>29</v>
      </c>
      <c r="B302" s="151" t="s">
        <v>391</v>
      </c>
      <c r="C302" s="152" t="s">
        <v>387</v>
      </c>
      <c r="D302" s="103"/>
      <c r="E302" s="104">
        <v>12500</v>
      </c>
    </row>
    <row r="303" spans="1:5" x14ac:dyDescent="0.25">
      <c r="A303" s="100"/>
      <c r="B303" s="101"/>
      <c r="C303" s="102"/>
      <c r="D303" s="103"/>
      <c r="E303" s="104"/>
    </row>
    <row r="304" spans="1:5" ht="15.75" thickBot="1" x14ac:dyDescent="0.3">
      <c r="A304" s="105"/>
      <c r="B304" s="240" t="s">
        <v>10</v>
      </c>
      <c r="C304" s="241"/>
      <c r="D304" s="242"/>
      <c r="E304" s="106">
        <f>SUM(E274:E303)</f>
        <v>385000</v>
      </c>
    </row>
    <row r="305" spans="1:5" x14ac:dyDescent="0.25">
      <c r="A305" s="95"/>
      <c r="B305" s="130"/>
      <c r="C305" s="130"/>
      <c r="D305" s="129"/>
      <c r="E305" s="131"/>
    </row>
    <row r="306" spans="1:5" x14ac:dyDescent="0.25">
      <c r="A306" s="94"/>
      <c r="B306" s="94"/>
      <c r="C306" s="95"/>
      <c r="D306" s="108" t="s">
        <v>333</v>
      </c>
      <c r="E306" s="94"/>
    </row>
    <row r="307" spans="1:5" x14ac:dyDescent="0.25">
      <c r="A307" s="129"/>
      <c r="B307" s="129"/>
      <c r="C307" s="129"/>
      <c r="D307" s="108" t="s">
        <v>83</v>
      </c>
      <c r="E307" s="129"/>
    </row>
    <row r="319" spans="1:5" x14ac:dyDescent="0.25">
      <c r="A319" s="93" t="s">
        <v>0</v>
      </c>
      <c r="B319" s="129"/>
      <c r="C319" s="129"/>
      <c r="D319" s="129"/>
      <c r="E319" s="129"/>
    </row>
    <row r="320" spans="1:5" x14ac:dyDescent="0.25">
      <c r="A320" s="93" t="s">
        <v>1</v>
      </c>
      <c r="B320" s="94"/>
      <c r="C320" s="95"/>
      <c r="D320" s="94"/>
      <c r="E320" s="94"/>
    </row>
    <row r="321" spans="1:5" x14ac:dyDescent="0.25">
      <c r="A321" s="93"/>
      <c r="B321" s="94"/>
      <c r="C321" s="95"/>
      <c r="D321" s="94"/>
      <c r="E321" s="94"/>
    </row>
    <row r="322" spans="1:5" x14ac:dyDescent="0.25">
      <c r="A322" s="96" t="s">
        <v>84</v>
      </c>
      <c r="B322" s="96"/>
      <c r="C322" s="96"/>
      <c r="D322" s="96"/>
      <c r="E322" s="96"/>
    </row>
    <row r="323" spans="1:5" x14ac:dyDescent="0.25">
      <c r="A323" s="238" t="s">
        <v>82</v>
      </c>
      <c r="B323" s="239"/>
      <c r="C323" s="239"/>
      <c r="D323" s="239"/>
      <c r="E323" s="239"/>
    </row>
    <row r="324" spans="1:5" x14ac:dyDescent="0.25">
      <c r="A324" s="95"/>
      <c r="B324" s="95"/>
      <c r="C324" s="95"/>
      <c r="D324" s="95"/>
      <c r="E324" s="95"/>
    </row>
    <row r="325" spans="1:5" ht="15.75" thickBot="1" x14ac:dyDescent="0.3">
      <c r="A325" s="94"/>
      <c r="B325" s="94"/>
      <c r="C325" s="95"/>
      <c r="D325" s="94"/>
      <c r="E325" s="109" t="s">
        <v>392</v>
      </c>
    </row>
    <row r="326" spans="1:5" x14ac:dyDescent="0.25">
      <c r="A326" s="97" t="s">
        <v>16</v>
      </c>
      <c r="B326" s="98" t="s">
        <v>79</v>
      </c>
      <c r="C326" s="98" t="s">
        <v>80</v>
      </c>
      <c r="D326" s="98" t="s">
        <v>77</v>
      </c>
      <c r="E326" s="99" t="s">
        <v>10</v>
      </c>
    </row>
    <row r="327" spans="1:5" x14ac:dyDescent="0.25">
      <c r="A327" s="100">
        <v>1</v>
      </c>
      <c r="B327" s="151" t="s">
        <v>394</v>
      </c>
      <c r="C327" s="152" t="s">
        <v>396</v>
      </c>
      <c r="D327" s="103"/>
      <c r="E327" s="104">
        <v>5000</v>
      </c>
    </row>
    <row r="328" spans="1:5" x14ac:dyDescent="0.25">
      <c r="A328" s="100">
        <f>A327+1</f>
        <v>2</v>
      </c>
      <c r="B328" s="151" t="s">
        <v>395</v>
      </c>
      <c r="C328" s="152" t="s">
        <v>397</v>
      </c>
      <c r="D328" s="103"/>
      <c r="E328" s="104">
        <v>32500</v>
      </c>
    </row>
    <row r="329" spans="1:5" x14ac:dyDescent="0.25">
      <c r="A329" s="100">
        <f t="shared" ref="A329:A346" si="4">A328+1</f>
        <v>3</v>
      </c>
      <c r="B329" s="151" t="s">
        <v>401</v>
      </c>
      <c r="C329" s="152" t="s">
        <v>398</v>
      </c>
      <c r="D329" s="103"/>
      <c r="E329" s="104">
        <v>12500</v>
      </c>
    </row>
    <row r="330" spans="1:5" x14ac:dyDescent="0.25">
      <c r="A330" s="100">
        <f t="shared" si="4"/>
        <v>4</v>
      </c>
      <c r="B330" s="151" t="s">
        <v>402</v>
      </c>
      <c r="C330" s="152" t="s">
        <v>399</v>
      </c>
      <c r="D330" s="103"/>
      <c r="E330" s="104">
        <v>12500</v>
      </c>
    </row>
    <row r="331" spans="1:5" x14ac:dyDescent="0.25">
      <c r="A331" s="100">
        <f t="shared" si="4"/>
        <v>5</v>
      </c>
      <c r="B331" s="151" t="s">
        <v>403</v>
      </c>
      <c r="C331" s="152" t="s">
        <v>400</v>
      </c>
      <c r="D331" s="103"/>
      <c r="E331" s="104">
        <v>5000</v>
      </c>
    </row>
    <row r="332" spans="1:5" x14ac:dyDescent="0.25">
      <c r="A332" s="100">
        <f t="shared" si="4"/>
        <v>6</v>
      </c>
      <c r="B332" s="151" t="s">
        <v>404</v>
      </c>
      <c r="C332" s="152" t="s">
        <v>407</v>
      </c>
      <c r="D332" s="103"/>
      <c r="E332" s="104">
        <v>22500</v>
      </c>
    </row>
    <row r="333" spans="1:5" x14ac:dyDescent="0.25">
      <c r="A333" s="100">
        <f t="shared" si="4"/>
        <v>7</v>
      </c>
      <c r="B333" s="151" t="s">
        <v>405</v>
      </c>
      <c r="C333" s="152" t="s">
        <v>408</v>
      </c>
      <c r="D333" s="103"/>
      <c r="E333" s="104">
        <v>5000</v>
      </c>
    </row>
    <row r="334" spans="1:5" x14ac:dyDescent="0.25">
      <c r="A334" s="100">
        <f t="shared" si="4"/>
        <v>8</v>
      </c>
      <c r="B334" s="151" t="s">
        <v>406</v>
      </c>
      <c r="C334" s="152" t="s">
        <v>409</v>
      </c>
      <c r="D334" s="103"/>
      <c r="E334" s="104">
        <v>42500</v>
      </c>
    </row>
    <row r="335" spans="1:5" x14ac:dyDescent="0.25">
      <c r="A335" s="100">
        <f t="shared" si="4"/>
        <v>9</v>
      </c>
      <c r="B335" s="151" t="s">
        <v>416</v>
      </c>
      <c r="C335" s="152" t="s">
        <v>410</v>
      </c>
      <c r="D335" s="103"/>
      <c r="E335" s="104">
        <v>92500</v>
      </c>
    </row>
    <row r="336" spans="1:5" x14ac:dyDescent="0.25">
      <c r="A336" s="100">
        <f t="shared" si="4"/>
        <v>10</v>
      </c>
      <c r="B336" s="151" t="s">
        <v>417</v>
      </c>
      <c r="C336" s="152" t="s">
        <v>411</v>
      </c>
      <c r="D336" s="103"/>
      <c r="E336" s="104">
        <v>12500</v>
      </c>
    </row>
    <row r="337" spans="1:5" x14ac:dyDescent="0.25">
      <c r="A337" s="100">
        <f t="shared" si="4"/>
        <v>11</v>
      </c>
      <c r="B337" s="151" t="s">
        <v>418</v>
      </c>
      <c r="C337" s="152" t="s">
        <v>412</v>
      </c>
      <c r="D337" s="103"/>
      <c r="E337" s="104">
        <v>12500</v>
      </c>
    </row>
    <row r="338" spans="1:5" x14ac:dyDescent="0.25">
      <c r="A338" s="100">
        <f t="shared" si="4"/>
        <v>12</v>
      </c>
      <c r="B338" s="151" t="s">
        <v>419</v>
      </c>
      <c r="C338" s="152" t="s">
        <v>413</v>
      </c>
      <c r="D338" s="103"/>
      <c r="E338" s="104">
        <v>22500</v>
      </c>
    </row>
    <row r="339" spans="1:5" x14ac:dyDescent="0.25">
      <c r="A339" s="100">
        <f t="shared" si="4"/>
        <v>13</v>
      </c>
      <c r="B339" s="151" t="s">
        <v>420</v>
      </c>
      <c r="C339" s="152" t="s">
        <v>414</v>
      </c>
      <c r="D339" s="103"/>
      <c r="E339" s="104">
        <v>12500</v>
      </c>
    </row>
    <row r="340" spans="1:5" x14ac:dyDescent="0.25">
      <c r="A340" s="100">
        <f t="shared" si="4"/>
        <v>14</v>
      </c>
      <c r="B340" s="151" t="s">
        <v>421</v>
      </c>
      <c r="C340" s="152" t="s">
        <v>415</v>
      </c>
      <c r="D340" s="103"/>
      <c r="E340" s="104">
        <v>12500</v>
      </c>
    </row>
    <row r="341" spans="1:5" x14ac:dyDescent="0.25">
      <c r="A341" s="100">
        <f t="shared" si="4"/>
        <v>15</v>
      </c>
      <c r="B341" s="151" t="s">
        <v>422</v>
      </c>
      <c r="C341" s="152" t="s">
        <v>423</v>
      </c>
      <c r="D341" s="103"/>
      <c r="E341" s="104">
        <v>12500</v>
      </c>
    </row>
    <row r="342" spans="1:5" x14ac:dyDescent="0.25">
      <c r="A342" s="100">
        <f t="shared" si="4"/>
        <v>16</v>
      </c>
      <c r="B342" s="151" t="s">
        <v>428</v>
      </c>
      <c r="C342" s="152" t="s">
        <v>424</v>
      </c>
      <c r="D342" s="103"/>
      <c r="E342" s="104">
        <v>5000</v>
      </c>
    </row>
    <row r="343" spans="1:5" x14ac:dyDescent="0.25">
      <c r="A343" s="100">
        <f t="shared" si="4"/>
        <v>17</v>
      </c>
      <c r="B343" s="151" t="s">
        <v>429</v>
      </c>
      <c r="C343" s="152" t="s">
        <v>425</v>
      </c>
      <c r="D343" s="103"/>
      <c r="E343" s="104">
        <v>12500</v>
      </c>
    </row>
    <row r="344" spans="1:5" x14ac:dyDescent="0.25">
      <c r="A344" s="100">
        <f t="shared" si="4"/>
        <v>18</v>
      </c>
      <c r="B344" s="151" t="s">
        <v>388</v>
      </c>
      <c r="C344" s="152" t="s">
        <v>384</v>
      </c>
      <c r="D344" s="103"/>
      <c r="E344" s="104">
        <v>5000</v>
      </c>
    </row>
    <row r="345" spans="1:5" x14ac:dyDescent="0.25">
      <c r="A345" s="100">
        <f t="shared" si="4"/>
        <v>19</v>
      </c>
      <c r="B345" s="151" t="s">
        <v>430</v>
      </c>
      <c r="C345" s="152" t="s">
        <v>426</v>
      </c>
      <c r="D345" s="103"/>
      <c r="E345" s="104">
        <v>5000</v>
      </c>
    </row>
    <row r="346" spans="1:5" x14ac:dyDescent="0.25">
      <c r="A346" s="100">
        <f t="shared" si="4"/>
        <v>20</v>
      </c>
      <c r="B346" s="151" t="s">
        <v>431</v>
      </c>
      <c r="C346" s="152" t="s">
        <v>427</v>
      </c>
      <c r="D346" s="103"/>
      <c r="E346" s="104">
        <v>12500</v>
      </c>
    </row>
    <row r="347" spans="1:5" x14ac:dyDescent="0.25">
      <c r="A347" s="100"/>
      <c r="B347" s="101"/>
      <c r="C347" s="102"/>
      <c r="D347" s="103"/>
      <c r="E347" s="104"/>
    </row>
    <row r="348" spans="1:5" ht="15.75" thickBot="1" x14ac:dyDescent="0.3">
      <c r="A348" s="105"/>
      <c r="B348" s="240" t="s">
        <v>10</v>
      </c>
      <c r="C348" s="241"/>
      <c r="D348" s="242"/>
      <c r="E348" s="106">
        <f>SUM(E327:E347)</f>
        <v>355000</v>
      </c>
    </row>
    <row r="349" spans="1:5" x14ac:dyDescent="0.25">
      <c r="A349" s="95"/>
      <c r="B349" s="130"/>
      <c r="C349" s="130"/>
      <c r="D349" s="129"/>
      <c r="E349" s="131"/>
    </row>
    <row r="350" spans="1:5" x14ac:dyDescent="0.25">
      <c r="A350" s="94"/>
      <c r="B350" s="94"/>
      <c r="C350" s="95"/>
      <c r="D350" s="108" t="s">
        <v>393</v>
      </c>
      <c r="E350" s="94"/>
    </row>
    <row r="351" spans="1:5" x14ac:dyDescent="0.25">
      <c r="A351" s="129"/>
      <c r="B351" s="129"/>
      <c r="C351" s="129"/>
      <c r="D351" s="108" t="s">
        <v>83</v>
      </c>
      <c r="E351" s="129"/>
    </row>
    <row r="372" spans="1:5" x14ac:dyDescent="0.25">
      <c r="A372" s="93" t="s">
        <v>0</v>
      </c>
      <c r="B372" s="129"/>
      <c r="C372" s="129"/>
      <c r="D372" s="129"/>
      <c r="E372" s="129"/>
    </row>
    <row r="373" spans="1:5" x14ac:dyDescent="0.25">
      <c r="A373" s="93" t="s">
        <v>1</v>
      </c>
      <c r="B373" s="94"/>
      <c r="C373" s="95"/>
      <c r="D373" s="94"/>
      <c r="E373" s="94"/>
    </row>
    <row r="374" spans="1:5" x14ac:dyDescent="0.25">
      <c r="A374" s="93"/>
      <c r="B374" s="94"/>
      <c r="C374" s="95"/>
      <c r="D374" s="94"/>
      <c r="E374" s="94"/>
    </row>
    <row r="375" spans="1:5" x14ac:dyDescent="0.25">
      <c r="A375" s="96" t="s">
        <v>84</v>
      </c>
      <c r="B375" s="96"/>
      <c r="C375" s="96"/>
      <c r="D375" s="96"/>
      <c r="E375" s="96"/>
    </row>
    <row r="376" spans="1:5" x14ac:dyDescent="0.25">
      <c r="A376" s="238" t="s">
        <v>82</v>
      </c>
      <c r="B376" s="239"/>
      <c r="C376" s="239"/>
      <c r="D376" s="239"/>
      <c r="E376" s="239"/>
    </row>
    <row r="377" spans="1:5" x14ac:dyDescent="0.25">
      <c r="A377" s="95"/>
      <c r="B377" s="95"/>
      <c r="C377" s="95"/>
      <c r="D377" s="95"/>
      <c r="E377" s="95"/>
    </row>
    <row r="378" spans="1:5" ht="15.75" thickBot="1" x14ac:dyDescent="0.3">
      <c r="A378" s="94"/>
      <c r="B378" s="94"/>
      <c r="C378" s="95"/>
      <c r="D378" s="94"/>
      <c r="E378" s="109" t="s">
        <v>432</v>
      </c>
    </row>
    <row r="379" spans="1:5" x14ac:dyDescent="0.25">
      <c r="A379" s="97" t="s">
        <v>16</v>
      </c>
      <c r="B379" s="98" t="s">
        <v>79</v>
      </c>
      <c r="C379" s="98" t="s">
        <v>80</v>
      </c>
      <c r="D379" s="98" t="s">
        <v>77</v>
      </c>
      <c r="E379" s="99" t="s">
        <v>10</v>
      </c>
    </row>
    <row r="380" spans="1:5" x14ac:dyDescent="0.25">
      <c r="A380" s="100">
        <v>1</v>
      </c>
      <c r="B380" s="151" t="s">
        <v>434</v>
      </c>
      <c r="C380" s="152" t="s">
        <v>439</v>
      </c>
      <c r="D380" s="103"/>
      <c r="E380" s="104">
        <v>5000</v>
      </c>
    </row>
    <row r="381" spans="1:5" x14ac:dyDescent="0.25">
      <c r="A381" s="100">
        <f>A380+1</f>
        <v>2</v>
      </c>
      <c r="B381" s="151" t="s">
        <v>435</v>
      </c>
      <c r="C381" s="152" t="s">
        <v>440</v>
      </c>
      <c r="D381" s="103"/>
      <c r="E381" s="104">
        <v>17500</v>
      </c>
    </row>
    <row r="382" spans="1:5" x14ac:dyDescent="0.25">
      <c r="A382" s="100">
        <f t="shared" ref="A382:A419" si="5">A381+1</f>
        <v>3</v>
      </c>
      <c r="B382" s="151" t="s">
        <v>436</v>
      </c>
      <c r="C382" s="152" t="s">
        <v>441</v>
      </c>
      <c r="D382" s="103"/>
      <c r="E382" s="104">
        <v>5000</v>
      </c>
    </row>
    <row r="383" spans="1:5" x14ac:dyDescent="0.25">
      <c r="A383" s="100">
        <f t="shared" si="5"/>
        <v>4</v>
      </c>
      <c r="B383" s="151" t="s">
        <v>437</v>
      </c>
      <c r="C383" s="152" t="s">
        <v>442</v>
      </c>
      <c r="D383" s="103"/>
      <c r="E383" s="104">
        <v>5000</v>
      </c>
    </row>
    <row r="384" spans="1:5" x14ac:dyDescent="0.25">
      <c r="A384" s="100">
        <f t="shared" si="5"/>
        <v>5</v>
      </c>
      <c r="B384" s="151" t="s">
        <v>438</v>
      </c>
      <c r="C384" s="152" t="s">
        <v>443</v>
      </c>
      <c r="D384" s="103"/>
      <c r="E384" s="104">
        <v>50000</v>
      </c>
    </row>
    <row r="385" spans="1:5" x14ac:dyDescent="0.25">
      <c r="A385" s="100">
        <f t="shared" si="5"/>
        <v>6</v>
      </c>
      <c r="B385" s="151" t="s">
        <v>451</v>
      </c>
      <c r="C385" s="152" t="s">
        <v>444</v>
      </c>
      <c r="D385" s="103"/>
      <c r="E385" s="104">
        <v>5000</v>
      </c>
    </row>
    <row r="386" spans="1:5" x14ac:dyDescent="0.25">
      <c r="A386" s="100">
        <f t="shared" si="5"/>
        <v>7</v>
      </c>
      <c r="B386" s="151" t="s">
        <v>452</v>
      </c>
      <c r="C386" s="152" t="s">
        <v>445</v>
      </c>
      <c r="D386" s="103"/>
      <c r="E386" s="104">
        <v>5000</v>
      </c>
    </row>
    <row r="387" spans="1:5" x14ac:dyDescent="0.25">
      <c r="A387" s="100">
        <f t="shared" si="5"/>
        <v>8</v>
      </c>
      <c r="B387" s="151" t="s">
        <v>453</v>
      </c>
      <c r="C387" s="152" t="s">
        <v>446</v>
      </c>
      <c r="D387" s="103"/>
      <c r="E387" s="104">
        <v>12500</v>
      </c>
    </row>
    <row r="388" spans="1:5" x14ac:dyDescent="0.25">
      <c r="A388" s="100">
        <f t="shared" si="5"/>
        <v>9</v>
      </c>
      <c r="B388" s="151" t="s">
        <v>454</v>
      </c>
      <c r="C388" s="152" t="s">
        <v>447</v>
      </c>
      <c r="D388" s="103"/>
      <c r="E388" s="104">
        <v>5000</v>
      </c>
    </row>
    <row r="389" spans="1:5" x14ac:dyDescent="0.25">
      <c r="A389" s="100">
        <f t="shared" si="5"/>
        <v>10</v>
      </c>
      <c r="B389" s="151" t="s">
        <v>455</v>
      </c>
      <c r="C389" s="152" t="s">
        <v>448</v>
      </c>
      <c r="D389" s="103"/>
      <c r="E389" s="104">
        <v>5000</v>
      </c>
    </row>
    <row r="390" spans="1:5" x14ac:dyDescent="0.25">
      <c r="A390" s="100">
        <f t="shared" si="5"/>
        <v>11</v>
      </c>
      <c r="B390" s="151" t="s">
        <v>456</v>
      </c>
      <c r="C390" s="152" t="s">
        <v>449</v>
      </c>
      <c r="D390" s="103"/>
      <c r="E390" s="104">
        <v>22500</v>
      </c>
    </row>
    <row r="391" spans="1:5" x14ac:dyDescent="0.25">
      <c r="A391" s="100">
        <f t="shared" si="5"/>
        <v>12</v>
      </c>
      <c r="B391" s="151" t="s">
        <v>457</v>
      </c>
      <c r="C391" s="152" t="s">
        <v>450</v>
      </c>
      <c r="D391" s="103"/>
      <c r="E391" s="104">
        <v>5000</v>
      </c>
    </row>
    <row r="392" spans="1:5" x14ac:dyDescent="0.25">
      <c r="A392" s="100">
        <f t="shared" si="5"/>
        <v>13</v>
      </c>
      <c r="B392" s="151" t="s">
        <v>458</v>
      </c>
      <c r="C392" s="152" t="s">
        <v>467</v>
      </c>
      <c r="D392" s="103"/>
      <c r="E392" s="104">
        <v>5000</v>
      </c>
    </row>
    <row r="393" spans="1:5" x14ac:dyDescent="0.25">
      <c r="A393" s="100">
        <f t="shared" si="5"/>
        <v>14</v>
      </c>
      <c r="B393" s="151" t="s">
        <v>459</v>
      </c>
      <c r="C393" s="152" t="s">
        <v>468</v>
      </c>
      <c r="D393" s="103"/>
      <c r="E393" s="104">
        <v>22500</v>
      </c>
    </row>
    <row r="394" spans="1:5" x14ac:dyDescent="0.25">
      <c r="A394" s="100">
        <f t="shared" si="5"/>
        <v>15</v>
      </c>
      <c r="B394" s="151" t="s">
        <v>460</v>
      </c>
      <c r="C394" s="152" t="s">
        <v>469</v>
      </c>
      <c r="D394" s="103"/>
      <c r="E394" s="104">
        <v>12500</v>
      </c>
    </row>
    <row r="395" spans="1:5" x14ac:dyDescent="0.25">
      <c r="A395" s="100">
        <f t="shared" si="5"/>
        <v>16</v>
      </c>
      <c r="B395" s="151" t="s">
        <v>461</v>
      </c>
      <c r="C395" s="152" t="s">
        <v>470</v>
      </c>
      <c r="D395" s="103"/>
      <c r="E395" s="104">
        <v>12500</v>
      </c>
    </row>
    <row r="396" spans="1:5" x14ac:dyDescent="0.25">
      <c r="A396" s="100">
        <f t="shared" si="5"/>
        <v>17</v>
      </c>
      <c r="B396" s="151" t="s">
        <v>462</v>
      </c>
      <c r="C396" s="152" t="s">
        <v>471</v>
      </c>
      <c r="D396" s="103"/>
      <c r="E396" s="104">
        <v>5000</v>
      </c>
    </row>
    <row r="397" spans="1:5" x14ac:dyDescent="0.25">
      <c r="A397" s="100">
        <f t="shared" si="5"/>
        <v>18</v>
      </c>
      <c r="B397" s="151" t="s">
        <v>463</v>
      </c>
      <c r="C397" s="152" t="s">
        <v>472</v>
      </c>
      <c r="D397" s="103"/>
      <c r="E397" s="104">
        <v>5000</v>
      </c>
    </row>
    <row r="398" spans="1:5" x14ac:dyDescent="0.25">
      <c r="A398" s="100">
        <f t="shared" si="5"/>
        <v>19</v>
      </c>
      <c r="B398" s="151" t="s">
        <v>464</v>
      </c>
      <c r="C398" s="152" t="s">
        <v>473</v>
      </c>
      <c r="D398" s="103"/>
      <c r="E398" s="104">
        <v>12500</v>
      </c>
    </row>
    <row r="399" spans="1:5" x14ac:dyDescent="0.25">
      <c r="A399" s="100">
        <f t="shared" si="5"/>
        <v>20</v>
      </c>
      <c r="B399" s="151" t="s">
        <v>465</v>
      </c>
      <c r="C399" s="152" t="s">
        <v>474</v>
      </c>
      <c r="D399" s="103"/>
      <c r="E399" s="104">
        <v>12500</v>
      </c>
    </row>
    <row r="400" spans="1:5" x14ac:dyDescent="0.25">
      <c r="A400" s="100">
        <f t="shared" si="5"/>
        <v>21</v>
      </c>
      <c r="B400" s="151" t="s">
        <v>466</v>
      </c>
      <c r="C400" s="152" t="s">
        <v>475</v>
      </c>
      <c r="D400" s="103"/>
      <c r="E400" s="104">
        <v>20000</v>
      </c>
    </row>
    <row r="401" spans="1:5" x14ac:dyDescent="0.25">
      <c r="A401" s="100">
        <f t="shared" si="5"/>
        <v>22</v>
      </c>
      <c r="B401" s="151" t="s">
        <v>483</v>
      </c>
      <c r="C401" s="152" t="s">
        <v>476</v>
      </c>
      <c r="D401" s="103"/>
      <c r="E401" s="104">
        <v>5000</v>
      </c>
    </row>
    <row r="402" spans="1:5" x14ac:dyDescent="0.25">
      <c r="A402" s="100">
        <f t="shared" si="5"/>
        <v>23</v>
      </c>
      <c r="B402" s="151" t="s">
        <v>484</v>
      </c>
      <c r="C402" s="152" t="s">
        <v>477</v>
      </c>
      <c r="D402" s="103"/>
      <c r="E402" s="104">
        <v>5000</v>
      </c>
    </row>
    <row r="403" spans="1:5" x14ac:dyDescent="0.25">
      <c r="A403" s="100">
        <f t="shared" si="5"/>
        <v>24</v>
      </c>
      <c r="B403" s="151" t="s">
        <v>485</v>
      </c>
      <c r="C403" s="152" t="s">
        <v>478</v>
      </c>
      <c r="D403" s="103"/>
      <c r="E403" s="104">
        <v>12500</v>
      </c>
    </row>
    <row r="404" spans="1:5" x14ac:dyDescent="0.25">
      <c r="A404" s="100">
        <f t="shared" si="5"/>
        <v>25</v>
      </c>
      <c r="B404" s="151" t="s">
        <v>486</v>
      </c>
      <c r="C404" s="152" t="s">
        <v>479</v>
      </c>
      <c r="D404" s="103"/>
      <c r="E404" s="104">
        <v>17500</v>
      </c>
    </row>
    <row r="405" spans="1:5" x14ac:dyDescent="0.25">
      <c r="A405" s="100">
        <f t="shared" si="5"/>
        <v>26</v>
      </c>
      <c r="B405" s="151" t="s">
        <v>487</v>
      </c>
      <c r="C405" s="152" t="s">
        <v>480</v>
      </c>
      <c r="D405" s="103"/>
      <c r="E405" s="104">
        <v>97500</v>
      </c>
    </row>
    <row r="406" spans="1:5" x14ac:dyDescent="0.25">
      <c r="A406" s="100">
        <f t="shared" si="5"/>
        <v>27</v>
      </c>
      <c r="B406" s="151" t="s">
        <v>488</v>
      </c>
      <c r="C406" s="152" t="s">
        <v>481</v>
      </c>
      <c r="D406" s="103"/>
      <c r="E406" s="104">
        <v>5000</v>
      </c>
    </row>
    <row r="407" spans="1:5" x14ac:dyDescent="0.25">
      <c r="A407" s="100">
        <f t="shared" si="5"/>
        <v>28</v>
      </c>
      <c r="B407" s="151" t="s">
        <v>489</v>
      </c>
      <c r="C407" s="152" t="s">
        <v>482</v>
      </c>
      <c r="D407" s="103"/>
      <c r="E407" s="104">
        <v>42500</v>
      </c>
    </row>
    <row r="408" spans="1:5" x14ac:dyDescent="0.25">
      <c r="A408" s="100">
        <f t="shared" si="5"/>
        <v>29</v>
      </c>
      <c r="B408" s="151" t="s">
        <v>490</v>
      </c>
      <c r="C408" s="152" t="s">
        <v>498</v>
      </c>
      <c r="D408" s="103"/>
      <c r="E408" s="104">
        <v>42500</v>
      </c>
    </row>
    <row r="409" spans="1:5" x14ac:dyDescent="0.25">
      <c r="A409" s="100">
        <f t="shared" si="5"/>
        <v>30</v>
      </c>
      <c r="B409" s="151" t="s">
        <v>491</v>
      </c>
      <c r="C409" s="152" t="s">
        <v>499</v>
      </c>
      <c r="D409" s="103"/>
      <c r="E409" s="104">
        <v>5000</v>
      </c>
    </row>
    <row r="410" spans="1:5" x14ac:dyDescent="0.25">
      <c r="A410" s="100">
        <f t="shared" si="5"/>
        <v>31</v>
      </c>
      <c r="B410" s="151" t="s">
        <v>492</v>
      </c>
      <c r="C410" s="152" t="s">
        <v>500</v>
      </c>
      <c r="D410" s="103"/>
      <c r="E410" s="104">
        <v>50000</v>
      </c>
    </row>
    <row r="411" spans="1:5" x14ac:dyDescent="0.25">
      <c r="A411" s="100">
        <f t="shared" si="5"/>
        <v>32</v>
      </c>
      <c r="B411" s="151" t="s">
        <v>493</v>
      </c>
      <c r="C411" s="152" t="s">
        <v>501</v>
      </c>
      <c r="D411" s="103"/>
      <c r="E411" s="104">
        <v>30000</v>
      </c>
    </row>
    <row r="412" spans="1:5" x14ac:dyDescent="0.25">
      <c r="A412" s="100">
        <f t="shared" si="5"/>
        <v>33</v>
      </c>
      <c r="B412" s="151" t="s">
        <v>494</v>
      </c>
      <c r="C412" s="152" t="s">
        <v>502</v>
      </c>
      <c r="D412" s="103"/>
      <c r="E412" s="104">
        <v>22500</v>
      </c>
    </row>
    <row r="413" spans="1:5" x14ac:dyDescent="0.25">
      <c r="A413" s="100">
        <f t="shared" si="5"/>
        <v>34</v>
      </c>
      <c r="B413" s="151" t="s">
        <v>495</v>
      </c>
      <c r="C413" s="152" t="s">
        <v>503</v>
      </c>
      <c r="D413" s="103"/>
      <c r="E413" s="104">
        <v>12500</v>
      </c>
    </row>
    <row r="414" spans="1:5" x14ac:dyDescent="0.25">
      <c r="A414" s="100">
        <f t="shared" si="5"/>
        <v>35</v>
      </c>
      <c r="B414" s="151" t="s">
        <v>496</v>
      </c>
      <c r="C414" s="152" t="s">
        <v>504</v>
      </c>
      <c r="D414" s="103"/>
      <c r="E414" s="104">
        <v>12500</v>
      </c>
    </row>
    <row r="415" spans="1:5" x14ac:dyDescent="0.25">
      <c r="A415" s="100">
        <f t="shared" si="5"/>
        <v>36</v>
      </c>
      <c r="B415" s="151" t="s">
        <v>497</v>
      </c>
      <c r="C415" s="152" t="s">
        <v>505</v>
      </c>
      <c r="D415" s="103"/>
      <c r="E415" s="104">
        <v>42500</v>
      </c>
    </row>
    <row r="416" spans="1:5" x14ac:dyDescent="0.25">
      <c r="A416" s="100">
        <f t="shared" si="5"/>
        <v>37</v>
      </c>
      <c r="B416" s="151" t="s">
        <v>510</v>
      </c>
      <c r="C416" s="152" t="s">
        <v>506</v>
      </c>
      <c r="D416" s="103"/>
      <c r="E416" s="104">
        <v>12500</v>
      </c>
    </row>
    <row r="417" spans="1:5" x14ac:dyDescent="0.25">
      <c r="A417" s="100">
        <f t="shared" si="5"/>
        <v>38</v>
      </c>
      <c r="B417" s="151" t="s">
        <v>511</v>
      </c>
      <c r="C417" s="152" t="s">
        <v>507</v>
      </c>
      <c r="D417" s="103"/>
      <c r="E417" s="104">
        <v>5000</v>
      </c>
    </row>
    <row r="418" spans="1:5" x14ac:dyDescent="0.25">
      <c r="A418" s="100">
        <f t="shared" si="5"/>
        <v>39</v>
      </c>
      <c r="B418" s="151" t="s">
        <v>512</v>
      </c>
      <c r="C418" s="152" t="s">
        <v>508</v>
      </c>
      <c r="D418" s="103"/>
      <c r="E418" s="104">
        <v>5000</v>
      </c>
    </row>
    <row r="419" spans="1:5" x14ac:dyDescent="0.25">
      <c r="A419" s="100">
        <f t="shared" si="5"/>
        <v>40</v>
      </c>
      <c r="B419" s="151" t="s">
        <v>513</v>
      </c>
      <c r="C419" s="152" t="s">
        <v>509</v>
      </c>
      <c r="D419" s="103"/>
      <c r="E419" s="104">
        <v>12500</v>
      </c>
    </row>
    <row r="420" spans="1:5" x14ac:dyDescent="0.25">
      <c r="A420" s="100"/>
      <c r="B420" s="101"/>
      <c r="C420" s="102"/>
      <c r="D420" s="103"/>
      <c r="E420" s="104"/>
    </row>
    <row r="421" spans="1:5" ht="15.75" thickBot="1" x14ac:dyDescent="0.3">
      <c r="A421" s="105"/>
      <c r="B421" s="240" t="s">
        <v>10</v>
      </c>
      <c r="C421" s="241"/>
      <c r="D421" s="242"/>
      <c r="E421" s="106">
        <f>SUM(E380:E420)</f>
        <v>687500</v>
      </c>
    </row>
    <row r="422" spans="1:5" x14ac:dyDescent="0.25">
      <c r="A422" s="95"/>
      <c r="B422" s="130"/>
      <c r="C422" s="130"/>
      <c r="D422" s="129"/>
      <c r="E422" s="131"/>
    </row>
    <row r="423" spans="1:5" x14ac:dyDescent="0.25">
      <c r="A423" s="94"/>
      <c r="B423" s="94"/>
      <c r="C423" s="95"/>
      <c r="D423" s="108" t="s">
        <v>433</v>
      </c>
      <c r="E423" s="94"/>
    </row>
    <row r="424" spans="1:5" x14ac:dyDescent="0.25">
      <c r="A424" s="129"/>
      <c r="B424" s="129"/>
      <c r="C424" s="129"/>
      <c r="D424" s="108" t="s">
        <v>83</v>
      </c>
      <c r="E424" s="129"/>
    </row>
    <row r="425" spans="1:5" x14ac:dyDescent="0.25">
      <c r="A425" s="93" t="s">
        <v>0</v>
      </c>
      <c r="B425" s="129"/>
      <c r="C425" s="129"/>
      <c r="D425" s="129"/>
      <c r="E425" s="129"/>
    </row>
    <row r="426" spans="1:5" x14ac:dyDescent="0.25">
      <c r="A426" s="93" t="s">
        <v>1</v>
      </c>
      <c r="B426" s="94"/>
      <c r="C426" s="95"/>
      <c r="D426" s="94"/>
      <c r="E426" s="94"/>
    </row>
    <row r="427" spans="1:5" x14ac:dyDescent="0.25">
      <c r="A427" s="93"/>
      <c r="B427" s="94"/>
      <c r="C427" s="95"/>
      <c r="D427" s="94"/>
      <c r="E427" s="94"/>
    </row>
    <row r="428" spans="1:5" x14ac:dyDescent="0.25">
      <c r="A428" s="96" t="s">
        <v>84</v>
      </c>
      <c r="B428" s="96"/>
      <c r="C428" s="96"/>
      <c r="D428" s="96"/>
      <c r="E428" s="96"/>
    </row>
    <row r="429" spans="1:5" x14ac:dyDescent="0.25">
      <c r="A429" s="238" t="s">
        <v>82</v>
      </c>
      <c r="B429" s="239"/>
      <c r="C429" s="239"/>
      <c r="D429" s="239"/>
      <c r="E429" s="239"/>
    </row>
    <row r="430" spans="1:5" x14ac:dyDescent="0.25">
      <c r="A430" s="95"/>
      <c r="B430" s="95"/>
      <c r="C430" s="95"/>
      <c r="D430" s="95"/>
      <c r="E430" s="95"/>
    </row>
    <row r="431" spans="1:5" ht="15.75" thickBot="1" x14ac:dyDescent="0.3">
      <c r="A431" s="94"/>
      <c r="B431" s="94"/>
      <c r="C431" s="95"/>
      <c r="D431" s="94"/>
      <c r="E431" s="109" t="s">
        <v>514</v>
      </c>
    </row>
    <row r="432" spans="1:5" x14ac:dyDescent="0.25">
      <c r="A432" s="97" t="s">
        <v>16</v>
      </c>
      <c r="B432" s="98" t="s">
        <v>79</v>
      </c>
      <c r="C432" s="98" t="s">
        <v>80</v>
      </c>
      <c r="D432" s="98" t="s">
        <v>77</v>
      </c>
      <c r="E432" s="99" t="s">
        <v>10</v>
      </c>
    </row>
    <row r="433" spans="1:5" x14ac:dyDescent="0.25">
      <c r="A433" s="100">
        <v>1</v>
      </c>
      <c r="B433" s="151" t="s">
        <v>516</v>
      </c>
      <c r="C433" s="152" t="s">
        <v>522</v>
      </c>
      <c r="D433" s="103"/>
      <c r="E433" s="104">
        <v>5000</v>
      </c>
    </row>
    <row r="434" spans="1:5" x14ac:dyDescent="0.25">
      <c r="A434" s="100">
        <f>A433+1</f>
        <v>2</v>
      </c>
      <c r="B434" s="151" t="s">
        <v>517</v>
      </c>
      <c r="C434" s="152" t="s">
        <v>523</v>
      </c>
      <c r="D434" s="103"/>
      <c r="E434" s="104">
        <v>5000</v>
      </c>
    </row>
    <row r="435" spans="1:5" x14ac:dyDescent="0.25">
      <c r="A435" s="100">
        <f t="shared" ref="A435:A481" si="6">A434+1</f>
        <v>3</v>
      </c>
      <c r="B435" s="151" t="s">
        <v>518</v>
      </c>
      <c r="C435" s="152" t="s">
        <v>524</v>
      </c>
      <c r="D435" s="103"/>
      <c r="E435" s="104">
        <v>30000</v>
      </c>
    </row>
    <row r="436" spans="1:5" x14ac:dyDescent="0.25">
      <c r="A436" s="100">
        <f t="shared" si="6"/>
        <v>4</v>
      </c>
      <c r="B436" s="151" t="s">
        <v>519</v>
      </c>
      <c r="C436" s="152" t="s">
        <v>525</v>
      </c>
      <c r="D436" s="103"/>
      <c r="E436" s="104">
        <v>5000</v>
      </c>
    </row>
    <row r="437" spans="1:5" x14ac:dyDescent="0.25">
      <c r="A437" s="100">
        <f t="shared" si="6"/>
        <v>5</v>
      </c>
      <c r="B437" s="151" t="s">
        <v>520</v>
      </c>
      <c r="C437" s="152" t="s">
        <v>526</v>
      </c>
      <c r="D437" s="103"/>
      <c r="E437" s="104">
        <v>32500</v>
      </c>
    </row>
    <row r="438" spans="1:5" x14ac:dyDescent="0.25">
      <c r="A438" s="100">
        <f t="shared" si="6"/>
        <v>6</v>
      </c>
      <c r="B438" s="151" t="s">
        <v>521</v>
      </c>
      <c r="C438" s="152" t="s">
        <v>527</v>
      </c>
      <c r="D438" s="103"/>
      <c r="E438" s="104">
        <v>5000</v>
      </c>
    </row>
    <row r="439" spans="1:5" x14ac:dyDescent="0.25">
      <c r="A439" s="100">
        <f t="shared" si="6"/>
        <v>7</v>
      </c>
      <c r="B439" s="151" t="s">
        <v>535</v>
      </c>
      <c r="C439" s="152" t="s">
        <v>528</v>
      </c>
      <c r="D439" s="103"/>
      <c r="E439" s="104">
        <v>12500</v>
      </c>
    </row>
    <row r="440" spans="1:5" x14ac:dyDescent="0.25">
      <c r="A440" s="100">
        <f t="shared" si="6"/>
        <v>8</v>
      </c>
      <c r="B440" s="151" t="s">
        <v>536</v>
      </c>
      <c r="C440" s="152" t="s">
        <v>529</v>
      </c>
      <c r="D440" s="103"/>
      <c r="E440" s="104">
        <v>12500</v>
      </c>
    </row>
    <row r="441" spans="1:5" x14ac:dyDescent="0.25">
      <c r="A441" s="100">
        <f t="shared" si="6"/>
        <v>9</v>
      </c>
      <c r="B441" s="151" t="s">
        <v>537</v>
      </c>
      <c r="C441" s="152" t="s">
        <v>530</v>
      </c>
      <c r="D441" s="103"/>
      <c r="E441" s="104">
        <v>5000</v>
      </c>
    </row>
    <row r="442" spans="1:5" x14ac:dyDescent="0.25">
      <c r="A442" s="100">
        <f t="shared" si="6"/>
        <v>10</v>
      </c>
      <c r="B442" s="151" t="s">
        <v>538</v>
      </c>
      <c r="C442" s="152" t="s">
        <v>531</v>
      </c>
      <c r="D442" s="103"/>
      <c r="E442" s="104">
        <v>52500</v>
      </c>
    </row>
    <row r="443" spans="1:5" x14ac:dyDescent="0.25">
      <c r="A443" s="100">
        <f t="shared" si="6"/>
        <v>11</v>
      </c>
      <c r="B443" s="151" t="s">
        <v>539</v>
      </c>
      <c r="C443" s="152" t="s">
        <v>532</v>
      </c>
      <c r="D443" s="103"/>
      <c r="E443" s="104">
        <v>22500</v>
      </c>
    </row>
    <row r="444" spans="1:5" x14ac:dyDescent="0.25">
      <c r="A444" s="100">
        <f t="shared" si="6"/>
        <v>12</v>
      </c>
      <c r="B444" s="151" t="s">
        <v>540</v>
      </c>
      <c r="C444" s="152" t="s">
        <v>543</v>
      </c>
      <c r="D444" s="103"/>
      <c r="E444" s="104">
        <v>5000</v>
      </c>
    </row>
    <row r="445" spans="1:5" x14ac:dyDescent="0.25">
      <c r="A445" s="100">
        <f t="shared" si="6"/>
        <v>13</v>
      </c>
      <c r="B445" s="151" t="s">
        <v>541</v>
      </c>
      <c r="C445" s="152" t="s">
        <v>533</v>
      </c>
      <c r="D445" s="103"/>
      <c r="E445" s="104">
        <v>12500</v>
      </c>
    </row>
    <row r="446" spans="1:5" x14ac:dyDescent="0.25">
      <c r="A446" s="100">
        <f t="shared" si="6"/>
        <v>14</v>
      </c>
      <c r="B446" s="151" t="s">
        <v>542</v>
      </c>
      <c r="C446" s="152" t="s">
        <v>534</v>
      </c>
      <c r="D446" s="103"/>
      <c r="E446" s="104">
        <v>42500</v>
      </c>
    </row>
    <row r="447" spans="1:5" x14ac:dyDescent="0.25">
      <c r="A447" s="100">
        <f t="shared" si="6"/>
        <v>15</v>
      </c>
      <c r="B447" s="151" t="s">
        <v>544</v>
      </c>
      <c r="C447" s="152" t="s">
        <v>553</v>
      </c>
      <c r="D447" s="103"/>
      <c r="E447" s="104">
        <v>22500</v>
      </c>
    </row>
    <row r="448" spans="1:5" x14ac:dyDescent="0.25">
      <c r="A448" s="100">
        <f t="shared" si="6"/>
        <v>16</v>
      </c>
      <c r="B448" s="151" t="s">
        <v>545</v>
      </c>
      <c r="C448" s="152" t="s">
        <v>554</v>
      </c>
      <c r="D448" s="103"/>
      <c r="E448" s="104">
        <v>62500</v>
      </c>
    </row>
    <row r="449" spans="1:5" x14ac:dyDescent="0.25">
      <c r="A449" s="100">
        <f t="shared" si="6"/>
        <v>17</v>
      </c>
      <c r="B449" s="151" t="s">
        <v>546</v>
      </c>
      <c r="C449" s="152" t="s">
        <v>555</v>
      </c>
      <c r="D449" s="103"/>
      <c r="E449" s="104">
        <v>5000</v>
      </c>
    </row>
    <row r="450" spans="1:5" x14ac:dyDescent="0.25">
      <c r="A450" s="100">
        <f t="shared" si="6"/>
        <v>18</v>
      </c>
      <c r="B450" s="151" t="s">
        <v>547</v>
      </c>
      <c r="C450" s="152" t="s">
        <v>556</v>
      </c>
      <c r="D450" s="103"/>
      <c r="E450" s="104">
        <v>12500</v>
      </c>
    </row>
    <row r="451" spans="1:5" x14ac:dyDescent="0.25">
      <c r="A451" s="100">
        <f t="shared" si="6"/>
        <v>19</v>
      </c>
      <c r="B451" s="151" t="s">
        <v>548</v>
      </c>
      <c r="C451" s="152" t="s">
        <v>557</v>
      </c>
      <c r="D451" s="103"/>
      <c r="E451" s="104">
        <v>5000</v>
      </c>
    </row>
    <row r="452" spans="1:5" x14ac:dyDescent="0.25">
      <c r="A452" s="100">
        <f t="shared" si="6"/>
        <v>20</v>
      </c>
      <c r="B452" s="151" t="s">
        <v>549</v>
      </c>
      <c r="C452" s="152" t="s">
        <v>558</v>
      </c>
      <c r="D452" s="103"/>
      <c r="E452" s="104">
        <v>12500</v>
      </c>
    </row>
    <row r="453" spans="1:5" x14ac:dyDescent="0.25">
      <c r="A453" s="100">
        <f t="shared" si="6"/>
        <v>21</v>
      </c>
      <c r="B453" s="151" t="s">
        <v>550</v>
      </c>
      <c r="C453" s="152" t="s">
        <v>559</v>
      </c>
      <c r="D453" s="103"/>
      <c r="E453" s="104">
        <v>12500</v>
      </c>
    </row>
    <row r="454" spans="1:5" x14ac:dyDescent="0.25">
      <c r="A454" s="100">
        <f t="shared" si="6"/>
        <v>22</v>
      </c>
      <c r="B454" s="151" t="s">
        <v>551</v>
      </c>
      <c r="C454" s="152" t="s">
        <v>560</v>
      </c>
      <c r="D454" s="103"/>
      <c r="E454" s="104">
        <v>5000</v>
      </c>
    </row>
    <row r="455" spans="1:5" x14ac:dyDescent="0.25">
      <c r="A455" s="100">
        <f t="shared" si="6"/>
        <v>23</v>
      </c>
      <c r="B455" s="151" t="s">
        <v>563</v>
      </c>
      <c r="C455" s="152" t="s">
        <v>561</v>
      </c>
      <c r="D455" s="103"/>
      <c r="E455" s="104">
        <v>20000</v>
      </c>
    </row>
    <row r="456" spans="1:5" x14ac:dyDescent="0.25">
      <c r="A456" s="100">
        <f t="shared" si="6"/>
        <v>24</v>
      </c>
      <c r="B456" s="151" t="s">
        <v>552</v>
      </c>
      <c r="C456" s="152" t="s">
        <v>562</v>
      </c>
      <c r="D456" s="103"/>
      <c r="E456" s="104">
        <v>5000</v>
      </c>
    </row>
    <row r="457" spans="1:5" x14ac:dyDescent="0.25">
      <c r="A457" s="100">
        <f t="shared" si="6"/>
        <v>25</v>
      </c>
      <c r="B457" s="151" t="s">
        <v>564</v>
      </c>
      <c r="C457" s="152" t="s">
        <v>573</v>
      </c>
      <c r="D457" s="103"/>
      <c r="E457" s="104">
        <v>5000</v>
      </c>
    </row>
    <row r="458" spans="1:5" x14ac:dyDescent="0.25">
      <c r="A458" s="100">
        <f t="shared" si="6"/>
        <v>26</v>
      </c>
      <c r="B458" s="151" t="s">
        <v>565</v>
      </c>
      <c r="C458" s="152" t="s">
        <v>574</v>
      </c>
      <c r="D458" s="103"/>
      <c r="E458" s="104">
        <v>40000</v>
      </c>
    </row>
    <row r="459" spans="1:5" x14ac:dyDescent="0.25">
      <c r="A459" s="100">
        <f t="shared" si="6"/>
        <v>27</v>
      </c>
      <c r="B459" s="151" t="s">
        <v>566</v>
      </c>
      <c r="C459" s="152" t="s">
        <v>575</v>
      </c>
      <c r="D459" s="103"/>
      <c r="E459" s="104">
        <v>22500</v>
      </c>
    </row>
    <row r="460" spans="1:5" x14ac:dyDescent="0.25">
      <c r="A460" s="100">
        <f t="shared" si="6"/>
        <v>28</v>
      </c>
      <c r="B460" s="151" t="s">
        <v>567</v>
      </c>
      <c r="C460" s="152" t="s">
        <v>576</v>
      </c>
      <c r="D460" s="103"/>
      <c r="E460" s="104">
        <v>5000</v>
      </c>
    </row>
    <row r="461" spans="1:5" x14ac:dyDescent="0.25">
      <c r="A461" s="100">
        <f t="shared" si="6"/>
        <v>29</v>
      </c>
      <c r="B461" s="151" t="s">
        <v>568</v>
      </c>
      <c r="C461" s="152" t="s">
        <v>577</v>
      </c>
      <c r="D461" s="103"/>
      <c r="E461" s="104">
        <v>5000</v>
      </c>
    </row>
    <row r="462" spans="1:5" x14ac:dyDescent="0.25">
      <c r="A462" s="100">
        <f t="shared" si="6"/>
        <v>30</v>
      </c>
      <c r="B462" s="151" t="s">
        <v>569</v>
      </c>
      <c r="C462" s="152" t="s">
        <v>578</v>
      </c>
      <c r="D462" s="103"/>
      <c r="E462" s="104">
        <v>32500</v>
      </c>
    </row>
    <row r="463" spans="1:5" x14ac:dyDescent="0.25">
      <c r="A463" s="100">
        <f t="shared" si="6"/>
        <v>31</v>
      </c>
      <c r="B463" s="151" t="s">
        <v>570</v>
      </c>
      <c r="C463" s="152" t="s">
        <v>581</v>
      </c>
      <c r="D463" s="103"/>
      <c r="E463" s="104">
        <v>27500</v>
      </c>
    </row>
    <row r="464" spans="1:5" x14ac:dyDescent="0.25">
      <c r="A464" s="100">
        <f t="shared" si="6"/>
        <v>32</v>
      </c>
      <c r="B464" s="151" t="s">
        <v>571</v>
      </c>
      <c r="C464" s="152" t="s">
        <v>579</v>
      </c>
      <c r="D464" s="103"/>
      <c r="E464" s="104">
        <v>12500</v>
      </c>
    </row>
    <row r="465" spans="1:5" x14ac:dyDescent="0.25">
      <c r="A465" s="100">
        <f t="shared" si="6"/>
        <v>33</v>
      </c>
      <c r="B465" s="151" t="s">
        <v>572</v>
      </c>
      <c r="C465" s="152" t="s">
        <v>580</v>
      </c>
      <c r="D465" s="103"/>
      <c r="E465" s="104">
        <v>52500</v>
      </c>
    </row>
    <row r="466" spans="1:5" x14ac:dyDescent="0.25">
      <c r="A466" s="100">
        <f t="shared" si="6"/>
        <v>34</v>
      </c>
      <c r="B466" s="151" t="s">
        <v>591</v>
      </c>
      <c r="C466" s="152" t="s">
        <v>583</v>
      </c>
      <c r="D466" s="103"/>
      <c r="E466" s="104">
        <v>5000</v>
      </c>
    </row>
    <row r="467" spans="1:5" x14ac:dyDescent="0.25">
      <c r="A467" s="100">
        <f t="shared" si="6"/>
        <v>35</v>
      </c>
      <c r="B467" s="151" t="s">
        <v>592</v>
      </c>
      <c r="C467" s="152" t="s">
        <v>582</v>
      </c>
      <c r="D467" s="103"/>
      <c r="E467" s="104">
        <v>12500</v>
      </c>
    </row>
    <row r="468" spans="1:5" x14ac:dyDescent="0.25">
      <c r="A468" s="100">
        <f t="shared" si="6"/>
        <v>36</v>
      </c>
      <c r="B468" s="151" t="s">
        <v>593</v>
      </c>
      <c r="C468" s="152" t="s">
        <v>584</v>
      </c>
      <c r="D468" s="103"/>
      <c r="E468" s="104">
        <v>22500</v>
      </c>
    </row>
    <row r="469" spans="1:5" x14ac:dyDescent="0.25">
      <c r="A469" s="100">
        <f t="shared" si="6"/>
        <v>37</v>
      </c>
      <c r="B469" s="151" t="s">
        <v>594</v>
      </c>
      <c r="C469" s="152" t="s">
        <v>585</v>
      </c>
      <c r="D469" s="103"/>
      <c r="E469" s="104">
        <v>20000</v>
      </c>
    </row>
    <row r="470" spans="1:5" x14ac:dyDescent="0.25">
      <c r="A470" s="100">
        <f t="shared" si="6"/>
        <v>38</v>
      </c>
      <c r="B470" s="151" t="s">
        <v>595</v>
      </c>
      <c r="C470" s="152" t="s">
        <v>586</v>
      </c>
      <c r="D470" s="103"/>
      <c r="E470" s="104">
        <v>5000</v>
      </c>
    </row>
    <row r="471" spans="1:5" x14ac:dyDescent="0.25">
      <c r="A471" s="100">
        <f t="shared" si="6"/>
        <v>39</v>
      </c>
      <c r="B471" s="151" t="s">
        <v>596</v>
      </c>
      <c r="C471" s="152" t="s">
        <v>587</v>
      </c>
      <c r="D471" s="103"/>
      <c r="E471" s="104">
        <v>5000</v>
      </c>
    </row>
    <row r="472" spans="1:5" x14ac:dyDescent="0.25">
      <c r="A472" s="100">
        <f t="shared" si="6"/>
        <v>40</v>
      </c>
      <c r="B472" s="151" t="s">
        <v>597</v>
      </c>
      <c r="C472" s="152" t="s">
        <v>588</v>
      </c>
      <c r="D472" s="103"/>
      <c r="E472" s="104">
        <v>5000</v>
      </c>
    </row>
    <row r="473" spans="1:5" x14ac:dyDescent="0.25">
      <c r="A473" s="100">
        <f t="shared" si="6"/>
        <v>41</v>
      </c>
      <c r="B473" s="151" t="s">
        <v>598</v>
      </c>
      <c r="C473" s="152" t="s">
        <v>589</v>
      </c>
      <c r="D473" s="103"/>
      <c r="E473" s="104">
        <v>5000</v>
      </c>
    </row>
    <row r="474" spans="1:5" x14ac:dyDescent="0.25">
      <c r="A474" s="100">
        <f t="shared" si="6"/>
        <v>42</v>
      </c>
      <c r="B474" s="151" t="s">
        <v>599</v>
      </c>
      <c r="C474" s="152" t="s">
        <v>590</v>
      </c>
      <c r="D474" s="103"/>
      <c r="E474" s="104">
        <v>5000</v>
      </c>
    </row>
    <row r="475" spans="1:5" x14ac:dyDescent="0.25">
      <c r="A475" s="100">
        <f t="shared" si="6"/>
        <v>43</v>
      </c>
      <c r="B475" s="151" t="s">
        <v>600</v>
      </c>
      <c r="C475" s="152" t="s">
        <v>607</v>
      </c>
      <c r="D475" s="103"/>
      <c r="E475" s="104">
        <v>5000</v>
      </c>
    </row>
    <row r="476" spans="1:5" x14ac:dyDescent="0.25">
      <c r="A476" s="100">
        <f t="shared" si="6"/>
        <v>44</v>
      </c>
      <c r="B476" s="151" t="s">
        <v>601</v>
      </c>
      <c r="C476" s="152" t="s">
        <v>608</v>
      </c>
      <c r="D476" s="103"/>
      <c r="E476" s="104">
        <v>5000</v>
      </c>
    </row>
    <row r="477" spans="1:5" x14ac:dyDescent="0.25">
      <c r="A477" s="100">
        <f t="shared" si="6"/>
        <v>45</v>
      </c>
      <c r="B477" s="151" t="s">
        <v>602</v>
      </c>
      <c r="C477" s="152" t="s">
        <v>609</v>
      </c>
      <c r="D477" s="103"/>
      <c r="E477" s="104">
        <v>5000</v>
      </c>
    </row>
    <row r="478" spans="1:5" x14ac:dyDescent="0.25">
      <c r="A478" s="100">
        <f t="shared" si="6"/>
        <v>46</v>
      </c>
      <c r="B478" s="151" t="s">
        <v>603</v>
      </c>
      <c r="C478" s="152" t="s">
        <v>610</v>
      </c>
      <c r="D478" s="103"/>
      <c r="E478" s="104">
        <v>12500</v>
      </c>
    </row>
    <row r="479" spans="1:5" x14ac:dyDescent="0.25">
      <c r="A479" s="100">
        <f t="shared" si="6"/>
        <v>47</v>
      </c>
      <c r="B479" s="151" t="s">
        <v>604</v>
      </c>
      <c r="C479" s="152" t="s">
        <v>611</v>
      </c>
      <c r="D479" s="103"/>
      <c r="E479" s="104">
        <v>12500</v>
      </c>
    </row>
    <row r="480" spans="1:5" x14ac:dyDescent="0.25">
      <c r="A480" s="100">
        <f t="shared" si="6"/>
        <v>48</v>
      </c>
      <c r="B480" s="151" t="s">
        <v>605</v>
      </c>
      <c r="C480" s="152" t="s">
        <v>612</v>
      </c>
      <c r="D480" s="103"/>
      <c r="E480" s="104">
        <v>5000</v>
      </c>
    </row>
    <row r="481" spans="1:5" x14ac:dyDescent="0.25">
      <c r="A481" s="100">
        <f t="shared" si="6"/>
        <v>49</v>
      </c>
      <c r="B481" s="151" t="s">
        <v>606</v>
      </c>
      <c r="C481" s="152" t="s">
        <v>613</v>
      </c>
      <c r="D481" s="103"/>
      <c r="E481" s="104">
        <v>5000</v>
      </c>
    </row>
    <row r="482" spans="1:5" x14ac:dyDescent="0.25">
      <c r="A482" s="100"/>
      <c r="B482" s="101"/>
      <c r="C482" s="102"/>
      <c r="D482" s="103"/>
      <c r="E482" s="104"/>
    </row>
    <row r="483" spans="1:5" ht="15.75" thickBot="1" x14ac:dyDescent="0.3">
      <c r="A483" s="105"/>
      <c r="B483" s="240" t="s">
        <v>10</v>
      </c>
      <c r="C483" s="241"/>
      <c r="D483" s="242"/>
      <c r="E483" s="106">
        <f>SUM(E433:E482)</f>
        <v>747500</v>
      </c>
    </row>
    <row r="484" spans="1:5" x14ac:dyDescent="0.25">
      <c r="A484" s="95"/>
      <c r="B484" s="130"/>
      <c r="C484" s="130"/>
      <c r="D484" s="129"/>
      <c r="E484" s="131"/>
    </row>
    <row r="485" spans="1:5" x14ac:dyDescent="0.25">
      <c r="A485" s="94"/>
      <c r="B485" s="94"/>
      <c r="C485" s="95"/>
      <c r="D485" s="108" t="s">
        <v>515</v>
      </c>
      <c r="E485" s="94"/>
    </row>
    <row r="486" spans="1:5" x14ac:dyDescent="0.25">
      <c r="A486" s="129"/>
      <c r="B486" s="129"/>
      <c r="C486" s="129"/>
      <c r="D486" s="108" t="s">
        <v>83</v>
      </c>
      <c r="E486" s="129"/>
    </row>
    <row r="531" spans="1:5" x14ac:dyDescent="0.25">
      <c r="A531" s="93" t="s">
        <v>0</v>
      </c>
      <c r="B531" s="129"/>
      <c r="C531" s="129"/>
      <c r="D531" s="129"/>
      <c r="E531" s="129"/>
    </row>
    <row r="532" spans="1:5" x14ac:dyDescent="0.25">
      <c r="A532" s="93" t="s">
        <v>1</v>
      </c>
      <c r="B532" s="94"/>
      <c r="C532" s="95"/>
      <c r="D532" s="94"/>
      <c r="E532" s="94"/>
    </row>
    <row r="533" spans="1:5" x14ac:dyDescent="0.25">
      <c r="A533" s="93"/>
      <c r="B533" s="94"/>
      <c r="C533" s="95"/>
      <c r="D533" s="94"/>
      <c r="E533" s="94"/>
    </row>
    <row r="534" spans="1:5" x14ac:dyDescent="0.25">
      <c r="A534" s="96" t="s">
        <v>84</v>
      </c>
      <c r="B534" s="96"/>
      <c r="C534" s="96"/>
      <c r="D534" s="96"/>
      <c r="E534" s="96"/>
    </row>
    <row r="535" spans="1:5" x14ac:dyDescent="0.25">
      <c r="A535" s="238" t="s">
        <v>82</v>
      </c>
      <c r="B535" s="239"/>
      <c r="C535" s="239"/>
      <c r="D535" s="239"/>
      <c r="E535" s="239"/>
    </row>
    <row r="536" spans="1:5" x14ac:dyDescent="0.25">
      <c r="A536" s="95"/>
      <c r="B536" s="95"/>
      <c r="C536" s="95"/>
      <c r="D536" s="95"/>
      <c r="E536" s="95"/>
    </row>
    <row r="537" spans="1:5" ht="15.75" thickBot="1" x14ac:dyDescent="0.3">
      <c r="A537" s="94"/>
      <c r="B537" s="94"/>
      <c r="C537" s="95"/>
      <c r="D537" s="94"/>
      <c r="E537" s="109" t="s">
        <v>614</v>
      </c>
    </row>
    <row r="538" spans="1:5" x14ac:dyDescent="0.25">
      <c r="A538" s="97" t="s">
        <v>16</v>
      </c>
      <c r="B538" s="98" t="s">
        <v>79</v>
      </c>
      <c r="C538" s="98" t="s">
        <v>80</v>
      </c>
      <c r="D538" s="98" t="s">
        <v>77</v>
      </c>
      <c r="E538" s="99" t="s">
        <v>10</v>
      </c>
    </row>
    <row r="539" spans="1:5" x14ac:dyDescent="0.25">
      <c r="A539" s="100">
        <v>1</v>
      </c>
      <c r="B539" s="151" t="s">
        <v>616</v>
      </c>
      <c r="C539" s="152" t="s">
        <v>624</v>
      </c>
      <c r="D539" s="103"/>
      <c r="E539" s="104">
        <v>52500</v>
      </c>
    </row>
    <row r="540" spans="1:5" x14ac:dyDescent="0.25">
      <c r="A540" s="100">
        <f>A539+1</f>
        <v>2</v>
      </c>
      <c r="B540" s="151" t="s">
        <v>617</v>
      </c>
      <c r="C540" s="152" t="s">
        <v>625</v>
      </c>
      <c r="D540" s="103"/>
      <c r="E540" s="104">
        <v>12500</v>
      </c>
    </row>
    <row r="541" spans="1:5" x14ac:dyDescent="0.25">
      <c r="A541" s="100">
        <f t="shared" ref="A541:A581" si="7">A540+1</f>
        <v>3</v>
      </c>
      <c r="B541" s="151" t="s">
        <v>618</v>
      </c>
      <c r="C541" s="152" t="s">
        <v>626</v>
      </c>
      <c r="D541" s="103"/>
      <c r="E541" s="104">
        <v>5000</v>
      </c>
    </row>
    <row r="542" spans="1:5" x14ac:dyDescent="0.25">
      <c r="A542" s="100">
        <f t="shared" si="7"/>
        <v>4</v>
      </c>
      <c r="B542" s="151" t="s">
        <v>619</v>
      </c>
      <c r="C542" s="152" t="s">
        <v>627</v>
      </c>
      <c r="D542" s="103"/>
      <c r="E542" s="104">
        <v>12500</v>
      </c>
    </row>
    <row r="543" spans="1:5" x14ac:dyDescent="0.25">
      <c r="A543" s="100">
        <f t="shared" si="7"/>
        <v>5</v>
      </c>
      <c r="B543" s="151" t="s">
        <v>620</v>
      </c>
      <c r="C543" s="152" t="s">
        <v>628</v>
      </c>
      <c r="D543" s="103"/>
      <c r="E543" s="104">
        <v>12500</v>
      </c>
    </row>
    <row r="544" spans="1:5" x14ac:dyDescent="0.25">
      <c r="A544" s="100">
        <f t="shared" si="7"/>
        <v>6</v>
      </c>
      <c r="B544" s="151" t="s">
        <v>621</v>
      </c>
      <c r="C544" s="152" t="s">
        <v>629</v>
      </c>
      <c r="D544" s="103"/>
      <c r="E544" s="104">
        <v>5000</v>
      </c>
    </row>
    <row r="545" spans="1:5" x14ac:dyDescent="0.25">
      <c r="A545" s="100">
        <f t="shared" si="7"/>
        <v>7</v>
      </c>
      <c r="B545" s="151" t="s">
        <v>622</v>
      </c>
      <c r="C545" s="152" t="s">
        <v>630</v>
      </c>
      <c r="D545" s="103"/>
      <c r="E545" s="104">
        <v>12500</v>
      </c>
    </row>
    <row r="546" spans="1:5" x14ac:dyDescent="0.25">
      <c r="A546" s="100">
        <f t="shared" si="7"/>
        <v>8</v>
      </c>
      <c r="B546" s="151" t="s">
        <v>623</v>
      </c>
      <c r="C546" s="152" t="s">
        <v>631</v>
      </c>
      <c r="D546" s="103"/>
      <c r="E546" s="104">
        <v>5000</v>
      </c>
    </row>
    <row r="547" spans="1:5" x14ac:dyDescent="0.25">
      <c r="A547" s="100">
        <f t="shared" si="7"/>
        <v>9</v>
      </c>
      <c r="B547" s="151" t="s">
        <v>639</v>
      </c>
      <c r="C547" s="152" t="s">
        <v>632</v>
      </c>
      <c r="D547" s="103"/>
      <c r="E547" s="104">
        <v>62500</v>
      </c>
    </row>
    <row r="548" spans="1:5" x14ac:dyDescent="0.25">
      <c r="A548" s="100">
        <f t="shared" si="7"/>
        <v>10</v>
      </c>
      <c r="B548" s="151" t="s">
        <v>640</v>
      </c>
      <c r="C548" s="152" t="s">
        <v>633</v>
      </c>
      <c r="D548" s="103"/>
      <c r="E548" s="104">
        <v>5000</v>
      </c>
    </row>
    <row r="549" spans="1:5" x14ac:dyDescent="0.25">
      <c r="A549" s="100">
        <f t="shared" si="7"/>
        <v>11</v>
      </c>
      <c r="B549" s="151" t="s">
        <v>641</v>
      </c>
      <c r="C549" s="152" t="s">
        <v>634</v>
      </c>
      <c r="D549" s="103"/>
      <c r="E549" s="104">
        <v>37500</v>
      </c>
    </row>
    <row r="550" spans="1:5" x14ac:dyDescent="0.25">
      <c r="A550" s="100">
        <f t="shared" si="7"/>
        <v>12</v>
      </c>
      <c r="B550" s="151" t="s">
        <v>642</v>
      </c>
      <c r="C550" s="152" t="s">
        <v>635</v>
      </c>
      <c r="D550" s="103"/>
      <c r="E550" s="104">
        <v>5000</v>
      </c>
    </row>
    <row r="551" spans="1:5" x14ac:dyDescent="0.25">
      <c r="A551" s="100">
        <f t="shared" si="7"/>
        <v>13</v>
      </c>
      <c r="B551" s="151" t="s">
        <v>643</v>
      </c>
      <c r="C551" s="152" t="s">
        <v>636</v>
      </c>
      <c r="D551" s="103"/>
      <c r="E551" s="104">
        <v>62500</v>
      </c>
    </row>
    <row r="552" spans="1:5" x14ac:dyDescent="0.25">
      <c r="A552" s="100">
        <f t="shared" si="7"/>
        <v>14</v>
      </c>
      <c r="B552" s="151" t="s">
        <v>644</v>
      </c>
      <c r="C552" s="152" t="s">
        <v>637</v>
      </c>
      <c r="D552" s="103"/>
      <c r="E552" s="104">
        <v>62500</v>
      </c>
    </row>
    <row r="553" spans="1:5" x14ac:dyDescent="0.25">
      <c r="A553" s="100">
        <f t="shared" si="7"/>
        <v>15</v>
      </c>
      <c r="B553" s="151" t="s">
        <v>645</v>
      </c>
      <c r="C553" s="152" t="s">
        <v>638</v>
      </c>
      <c r="D553" s="103"/>
      <c r="E553" s="104">
        <v>12500</v>
      </c>
    </row>
    <row r="554" spans="1:5" x14ac:dyDescent="0.25">
      <c r="A554" s="100">
        <f t="shared" si="7"/>
        <v>16</v>
      </c>
      <c r="B554" s="151" t="s">
        <v>646</v>
      </c>
      <c r="C554" s="152" t="s">
        <v>655</v>
      </c>
      <c r="D554" s="103"/>
      <c r="E554" s="104">
        <v>5000</v>
      </c>
    </row>
    <row r="555" spans="1:5" x14ac:dyDescent="0.25">
      <c r="A555" s="100">
        <f t="shared" si="7"/>
        <v>17</v>
      </c>
      <c r="B555" s="151" t="s">
        <v>644</v>
      </c>
      <c r="C555" s="152" t="s">
        <v>656</v>
      </c>
      <c r="D555" s="103"/>
      <c r="E555" s="104">
        <v>62500</v>
      </c>
    </row>
    <row r="556" spans="1:5" x14ac:dyDescent="0.25">
      <c r="A556" s="100">
        <f t="shared" si="7"/>
        <v>18</v>
      </c>
      <c r="B556" s="151" t="s">
        <v>647</v>
      </c>
      <c r="C556" s="152" t="s">
        <v>657</v>
      </c>
      <c r="D556" s="103"/>
      <c r="E556" s="104">
        <v>5000</v>
      </c>
    </row>
    <row r="557" spans="1:5" x14ac:dyDescent="0.25">
      <c r="A557" s="100">
        <f t="shared" si="7"/>
        <v>19</v>
      </c>
      <c r="B557" s="151" t="s">
        <v>648</v>
      </c>
      <c r="C557" s="152" t="s">
        <v>658</v>
      </c>
      <c r="D557" s="103"/>
      <c r="E557" s="104">
        <v>5000</v>
      </c>
    </row>
    <row r="558" spans="1:5" x14ac:dyDescent="0.25">
      <c r="A558" s="100">
        <f t="shared" si="7"/>
        <v>20</v>
      </c>
      <c r="B558" s="151" t="s">
        <v>649</v>
      </c>
      <c r="C558" s="152" t="s">
        <v>659</v>
      </c>
      <c r="D558" s="103"/>
      <c r="E558" s="104">
        <v>52500</v>
      </c>
    </row>
    <row r="559" spans="1:5" x14ac:dyDescent="0.25">
      <c r="A559" s="100">
        <f t="shared" si="7"/>
        <v>21</v>
      </c>
      <c r="B559" s="151" t="s">
        <v>650</v>
      </c>
      <c r="C559" s="152" t="s">
        <v>660</v>
      </c>
      <c r="D559" s="103"/>
      <c r="E559" s="104">
        <v>5000</v>
      </c>
    </row>
    <row r="560" spans="1:5" x14ac:dyDescent="0.25">
      <c r="A560" s="100">
        <f t="shared" si="7"/>
        <v>22</v>
      </c>
      <c r="B560" s="151" t="s">
        <v>651</v>
      </c>
      <c r="C560" s="152" t="s">
        <v>661</v>
      </c>
      <c r="D560" s="103"/>
      <c r="E560" s="104">
        <v>5000</v>
      </c>
    </row>
    <row r="561" spans="1:5" x14ac:dyDescent="0.25">
      <c r="A561" s="100">
        <f t="shared" si="7"/>
        <v>23</v>
      </c>
      <c r="B561" s="151" t="s">
        <v>652</v>
      </c>
      <c r="C561" s="152" t="s">
        <v>662</v>
      </c>
      <c r="D561" s="103"/>
      <c r="E561" s="104">
        <v>5000</v>
      </c>
    </row>
    <row r="562" spans="1:5" x14ac:dyDescent="0.25">
      <c r="A562" s="100">
        <f t="shared" si="7"/>
        <v>24</v>
      </c>
      <c r="B562" s="151" t="s">
        <v>653</v>
      </c>
      <c r="C562" s="152" t="s">
        <v>663</v>
      </c>
      <c r="D562" s="103"/>
      <c r="E562" s="104">
        <v>20000</v>
      </c>
    </row>
    <row r="563" spans="1:5" x14ac:dyDescent="0.25">
      <c r="A563" s="100">
        <f t="shared" si="7"/>
        <v>25</v>
      </c>
      <c r="B563" s="151" t="s">
        <v>654</v>
      </c>
      <c r="C563" s="152" t="s">
        <v>664</v>
      </c>
      <c r="D563" s="103"/>
      <c r="E563" s="104">
        <v>12500</v>
      </c>
    </row>
    <row r="564" spans="1:5" x14ac:dyDescent="0.25">
      <c r="A564" s="100">
        <f t="shared" si="7"/>
        <v>26</v>
      </c>
      <c r="B564" s="151" t="s">
        <v>676</v>
      </c>
      <c r="C564" s="152" t="s">
        <v>665</v>
      </c>
      <c r="D564" s="103"/>
      <c r="E564" s="104">
        <v>12500</v>
      </c>
    </row>
    <row r="565" spans="1:5" x14ac:dyDescent="0.25">
      <c r="A565" s="100">
        <f t="shared" si="7"/>
        <v>27</v>
      </c>
      <c r="B565" s="151" t="s">
        <v>677</v>
      </c>
      <c r="C565" s="152" t="s">
        <v>666</v>
      </c>
      <c r="D565" s="103"/>
      <c r="E565" s="104">
        <v>12500</v>
      </c>
    </row>
    <row r="566" spans="1:5" x14ac:dyDescent="0.25">
      <c r="A566" s="100">
        <f t="shared" si="7"/>
        <v>28</v>
      </c>
      <c r="B566" s="151" t="s">
        <v>678</v>
      </c>
      <c r="C566" s="152" t="s">
        <v>667</v>
      </c>
      <c r="D566" s="103"/>
      <c r="E566" s="104">
        <v>52500</v>
      </c>
    </row>
    <row r="567" spans="1:5" x14ac:dyDescent="0.25">
      <c r="A567" s="100">
        <f t="shared" si="7"/>
        <v>29</v>
      </c>
      <c r="B567" s="151" t="s">
        <v>641</v>
      </c>
      <c r="C567" s="152" t="s">
        <v>668</v>
      </c>
      <c r="D567" s="103"/>
      <c r="E567" s="104">
        <v>12500</v>
      </c>
    </row>
    <row r="568" spans="1:5" x14ac:dyDescent="0.25">
      <c r="A568" s="100">
        <f t="shared" si="7"/>
        <v>30</v>
      </c>
      <c r="B568" s="151" t="s">
        <v>679</v>
      </c>
      <c r="C568" s="152" t="s">
        <v>669</v>
      </c>
      <c r="D568" s="103"/>
      <c r="E568" s="104">
        <v>50000</v>
      </c>
    </row>
    <row r="569" spans="1:5" x14ac:dyDescent="0.25">
      <c r="A569" s="100">
        <f t="shared" si="7"/>
        <v>31</v>
      </c>
      <c r="B569" s="151" t="s">
        <v>680</v>
      </c>
      <c r="C569" s="152" t="s">
        <v>670</v>
      </c>
      <c r="D569" s="103"/>
      <c r="E569" s="104">
        <v>12500</v>
      </c>
    </row>
    <row r="570" spans="1:5" x14ac:dyDescent="0.25">
      <c r="A570" s="100">
        <f t="shared" si="7"/>
        <v>32</v>
      </c>
      <c r="B570" s="151" t="s">
        <v>683</v>
      </c>
      <c r="C570" s="152" t="s">
        <v>671</v>
      </c>
      <c r="D570" s="103"/>
      <c r="E570" s="104">
        <v>5000</v>
      </c>
    </row>
    <row r="571" spans="1:5" x14ac:dyDescent="0.25">
      <c r="A571" s="100">
        <f t="shared" si="7"/>
        <v>33</v>
      </c>
      <c r="B571" s="151" t="s">
        <v>681</v>
      </c>
      <c r="C571" s="152" t="s">
        <v>672</v>
      </c>
      <c r="D571" s="103"/>
      <c r="E571" s="104">
        <v>5000</v>
      </c>
    </row>
    <row r="572" spans="1:5" x14ac:dyDescent="0.25">
      <c r="A572" s="100">
        <f t="shared" si="7"/>
        <v>34</v>
      </c>
      <c r="B572" s="151" t="s">
        <v>682</v>
      </c>
      <c r="C572" s="152" t="s">
        <v>673</v>
      </c>
      <c r="D572" s="103"/>
      <c r="E572" s="104">
        <v>5000</v>
      </c>
    </row>
    <row r="573" spans="1:5" x14ac:dyDescent="0.25">
      <c r="A573" s="100">
        <f t="shared" si="7"/>
        <v>35</v>
      </c>
      <c r="B573" s="151" t="s">
        <v>685</v>
      </c>
      <c r="C573" s="152" t="s">
        <v>674</v>
      </c>
      <c r="D573" s="103"/>
      <c r="E573" s="104">
        <v>5000</v>
      </c>
    </row>
    <row r="574" spans="1:5" x14ac:dyDescent="0.25">
      <c r="A574" s="100">
        <f t="shared" si="7"/>
        <v>36</v>
      </c>
      <c r="B574" s="151" t="s">
        <v>684</v>
      </c>
      <c r="C574" s="152" t="s">
        <v>675</v>
      </c>
      <c r="D574" s="103"/>
      <c r="E574" s="104">
        <v>5000</v>
      </c>
    </row>
    <row r="575" spans="1:5" x14ac:dyDescent="0.25">
      <c r="A575" s="100">
        <f t="shared" si="7"/>
        <v>37</v>
      </c>
      <c r="B575" s="151" t="s">
        <v>686</v>
      </c>
      <c r="C575" s="152" t="s">
        <v>693</v>
      </c>
      <c r="D575" s="103"/>
      <c r="E575" s="104">
        <v>5000</v>
      </c>
    </row>
    <row r="576" spans="1:5" x14ac:dyDescent="0.25">
      <c r="A576" s="100">
        <f t="shared" si="7"/>
        <v>38</v>
      </c>
      <c r="B576" s="151" t="s">
        <v>687</v>
      </c>
      <c r="C576" s="152" t="s">
        <v>694</v>
      </c>
      <c r="D576" s="103"/>
      <c r="E576" s="104">
        <v>12500</v>
      </c>
    </row>
    <row r="577" spans="1:5" x14ac:dyDescent="0.25">
      <c r="A577" s="100">
        <f t="shared" si="7"/>
        <v>39</v>
      </c>
      <c r="B577" s="151" t="s">
        <v>688</v>
      </c>
      <c r="C577" s="152" t="s">
        <v>695</v>
      </c>
      <c r="D577" s="103"/>
      <c r="E577" s="104">
        <v>12500</v>
      </c>
    </row>
    <row r="578" spans="1:5" x14ac:dyDescent="0.25">
      <c r="A578" s="100">
        <f t="shared" si="7"/>
        <v>40</v>
      </c>
      <c r="B578" s="151" t="s">
        <v>689</v>
      </c>
      <c r="C578" s="152" t="s">
        <v>696</v>
      </c>
      <c r="D578" s="103"/>
      <c r="E578" s="104">
        <v>22500</v>
      </c>
    </row>
    <row r="579" spans="1:5" x14ac:dyDescent="0.25">
      <c r="A579" s="100">
        <f t="shared" si="7"/>
        <v>41</v>
      </c>
      <c r="B579" s="151" t="s">
        <v>690</v>
      </c>
      <c r="C579" s="152" t="s">
        <v>697</v>
      </c>
      <c r="D579" s="103"/>
      <c r="E579" s="104">
        <v>5000</v>
      </c>
    </row>
    <row r="580" spans="1:5" x14ac:dyDescent="0.25">
      <c r="A580" s="100">
        <f t="shared" si="7"/>
        <v>42</v>
      </c>
      <c r="B580" s="151" t="s">
        <v>692</v>
      </c>
      <c r="C580" s="152" t="s">
        <v>698</v>
      </c>
      <c r="D580" s="103"/>
      <c r="E580" s="104">
        <v>5000</v>
      </c>
    </row>
    <row r="581" spans="1:5" x14ac:dyDescent="0.25">
      <c r="A581" s="100">
        <f t="shared" si="7"/>
        <v>43</v>
      </c>
      <c r="B581" s="151" t="s">
        <v>691</v>
      </c>
      <c r="C581" s="152" t="s">
        <v>699</v>
      </c>
      <c r="D581" s="103"/>
      <c r="E581" s="104">
        <v>5000</v>
      </c>
    </row>
    <row r="582" spans="1:5" ht="15.75" thickBot="1" x14ac:dyDescent="0.3">
      <c r="A582" s="105"/>
      <c r="B582" s="240" t="s">
        <v>10</v>
      </c>
      <c r="C582" s="241"/>
      <c r="D582" s="242"/>
      <c r="E582" s="106">
        <f>SUM(E539:E581)</f>
        <v>787500</v>
      </c>
    </row>
    <row r="583" spans="1:5" x14ac:dyDescent="0.25">
      <c r="A583" s="95"/>
      <c r="B583" s="130"/>
      <c r="C583" s="130"/>
      <c r="D583" s="108" t="s">
        <v>615</v>
      </c>
      <c r="E583" s="131"/>
    </row>
    <row r="584" spans="1:5" x14ac:dyDescent="0.25">
      <c r="A584" s="93" t="s">
        <v>0</v>
      </c>
      <c r="B584" s="129"/>
      <c r="C584" s="129"/>
      <c r="D584" s="129"/>
      <c r="E584" s="129"/>
    </row>
    <row r="585" spans="1:5" x14ac:dyDescent="0.25">
      <c r="A585" s="93" t="s">
        <v>1</v>
      </c>
      <c r="B585" s="94"/>
      <c r="C585" s="95"/>
      <c r="D585" s="94"/>
      <c r="E585" s="94"/>
    </row>
    <row r="586" spans="1:5" x14ac:dyDescent="0.25">
      <c r="A586" s="93"/>
      <c r="B586" s="94"/>
      <c r="C586" s="95"/>
      <c r="D586" s="94"/>
      <c r="E586" s="94"/>
    </row>
    <row r="587" spans="1:5" x14ac:dyDescent="0.25">
      <c r="A587" s="96" t="s">
        <v>84</v>
      </c>
      <c r="B587" s="96"/>
      <c r="C587" s="96"/>
      <c r="D587" s="96"/>
      <c r="E587" s="96"/>
    </row>
    <row r="588" spans="1:5" x14ac:dyDescent="0.25">
      <c r="A588" s="238" t="s">
        <v>82</v>
      </c>
      <c r="B588" s="239"/>
      <c r="C588" s="239"/>
      <c r="D588" s="239"/>
      <c r="E588" s="239"/>
    </row>
    <row r="589" spans="1:5" x14ac:dyDescent="0.25">
      <c r="A589" s="95"/>
      <c r="B589" s="95"/>
      <c r="C589" s="95"/>
      <c r="D589" s="95"/>
      <c r="E589" s="95"/>
    </row>
    <row r="590" spans="1:5" ht="15.75" thickBot="1" x14ac:dyDescent="0.3">
      <c r="A590" s="94"/>
      <c r="B590" s="94"/>
      <c r="C590" s="95"/>
      <c r="D590" s="94"/>
      <c r="E590" s="109" t="s">
        <v>700</v>
      </c>
    </row>
    <row r="591" spans="1:5" x14ac:dyDescent="0.25">
      <c r="A591" s="97" t="s">
        <v>16</v>
      </c>
      <c r="B591" s="98" t="s">
        <v>79</v>
      </c>
      <c r="C591" s="98" t="s">
        <v>80</v>
      </c>
      <c r="D591" s="98" t="s">
        <v>77</v>
      </c>
      <c r="E591" s="99" t="s">
        <v>10</v>
      </c>
    </row>
    <row r="592" spans="1:5" x14ac:dyDescent="0.25">
      <c r="A592" s="100">
        <v>1</v>
      </c>
      <c r="B592" s="151" t="s">
        <v>702</v>
      </c>
      <c r="C592" s="152" t="s">
        <v>705</v>
      </c>
      <c r="D592" s="103"/>
      <c r="E592" s="104">
        <v>30000</v>
      </c>
    </row>
    <row r="593" spans="1:5" x14ac:dyDescent="0.25">
      <c r="A593" s="100">
        <f>A592+1</f>
        <v>2</v>
      </c>
      <c r="B593" s="151" t="s">
        <v>703</v>
      </c>
      <c r="C593" s="152" t="s">
        <v>706</v>
      </c>
      <c r="D593" s="103"/>
      <c r="E593" s="104">
        <v>12500</v>
      </c>
    </row>
    <row r="594" spans="1:5" x14ac:dyDescent="0.25">
      <c r="A594" s="100">
        <f t="shared" ref="A594:A610" si="8">A593+1</f>
        <v>3</v>
      </c>
      <c r="B594" s="151" t="s">
        <v>704</v>
      </c>
      <c r="C594" s="152" t="s">
        <v>707</v>
      </c>
      <c r="D594" s="103"/>
      <c r="E594" s="104">
        <v>52500</v>
      </c>
    </row>
    <row r="595" spans="1:5" x14ac:dyDescent="0.25">
      <c r="A595" s="100">
        <f t="shared" si="8"/>
        <v>4</v>
      </c>
      <c r="B595" s="151" t="s">
        <v>714</v>
      </c>
      <c r="C595" s="152" t="s">
        <v>708</v>
      </c>
      <c r="D595" s="103"/>
      <c r="E595" s="104">
        <v>52500</v>
      </c>
    </row>
    <row r="596" spans="1:5" x14ac:dyDescent="0.25">
      <c r="A596" s="100">
        <f t="shared" si="8"/>
        <v>5</v>
      </c>
      <c r="B596" s="151" t="s">
        <v>715</v>
      </c>
      <c r="C596" s="152" t="s">
        <v>709</v>
      </c>
      <c r="D596" s="103"/>
      <c r="E596" s="104">
        <v>5000</v>
      </c>
    </row>
    <row r="597" spans="1:5" x14ac:dyDescent="0.25">
      <c r="A597" s="100">
        <f t="shared" si="8"/>
        <v>6</v>
      </c>
      <c r="B597" s="151" t="s">
        <v>716</v>
      </c>
      <c r="C597" s="152" t="s">
        <v>710</v>
      </c>
      <c r="D597" s="103"/>
      <c r="E597" s="104">
        <v>32500</v>
      </c>
    </row>
    <row r="598" spans="1:5" x14ac:dyDescent="0.25">
      <c r="A598" s="100">
        <f t="shared" si="8"/>
        <v>7</v>
      </c>
      <c r="B598" s="151" t="s">
        <v>717</v>
      </c>
      <c r="C598" s="152" t="s">
        <v>711</v>
      </c>
      <c r="D598" s="103"/>
      <c r="E598" s="104">
        <v>52500</v>
      </c>
    </row>
    <row r="599" spans="1:5" x14ac:dyDescent="0.25">
      <c r="A599" s="100">
        <f t="shared" si="8"/>
        <v>8</v>
      </c>
      <c r="B599" s="151" t="s">
        <v>718</v>
      </c>
      <c r="C599" s="152" t="s">
        <v>712</v>
      </c>
      <c r="D599" s="103"/>
      <c r="E599" s="104">
        <v>12500</v>
      </c>
    </row>
    <row r="600" spans="1:5" x14ac:dyDescent="0.25">
      <c r="A600" s="100">
        <f t="shared" si="8"/>
        <v>9</v>
      </c>
      <c r="B600" s="151" t="s">
        <v>719</v>
      </c>
      <c r="C600" s="152" t="s">
        <v>713</v>
      </c>
      <c r="D600" s="103"/>
      <c r="E600" s="104">
        <v>5000</v>
      </c>
    </row>
    <row r="601" spans="1:5" x14ac:dyDescent="0.25">
      <c r="A601" s="100">
        <f t="shared" si="8"/>
        <v>10</v>
      </c>
      <c r="B601" s="151" t="s">
        <v>720</v>
      </c>
      <c r="C601" s="152" t="s">
        <v>725</v>
      </c>
      <c r="D601" s="103"/>
      <c r="E601" s="104">
        <v>22500</v>
      </c>
    </row>
    <row r="602" spans="1:5" x14ac:dyDescent="0.25">
      <c r="A602" s="100">
        <f t="shared" si="8"/>
        <v>11</v>
      </c>
      <c r="B602" s="151" t="s">
        <v>721</v>
      </c>
      <c r="C602" s="152" t="s">
        <v>726</v>
      </c>
      <c r="D602" s="103"/>
      <c r="E602" s="104">
        <v>102500</v>
      </c>
    </row>
    <row r="603" spans="1:5" x14ac:dyDescent="0.25">
      <c r="A603" s="100">
        <f t="shared" si="8"/>
        <v>12</v>
      </c>
      <c r="B603" s="151" t="s">
        <v>722</v>
      </c>
      <c r="C603" s="152" t="s">
        <v>727</v>
      </c>
      <c r="D603" s="103"/>
      <c r="E603" s="104">
        <v>12500</v>
      </c>
    </row>
    <row r="604" spans="1:5" x14ac:dyDescent="0.25">
      <c r="A604" s="100">
        <f t="shared" si="8"/>
        <v>13</v>
      </c>
      <c r="B604" s="151" t="s">
        <v>723</v>
      </c>
      <c r="C604" s="152" t="s">
        <v>728</v>
      </c>
      <c r="D604" s="103"/>
      <c r="E604" s="104">
        <v>52500</v>
      </c>
    </row>
    <row r="605" spans="1:5" x14ac:dyDescent="0.25">
      <c r="A605" s="100">
        <f t="shared" si="8"/>
        <v>14</v>
      </c>
      <c r="B605" s="151" t="s">
        <v>724</v>
      </c>
      <c r="C605" s="152" t="s">
        <v>729</v>
      </c>
      <c r="D605" s="103"/>
      <c r="E605" s="104">
        <v>5000</v>
      </c>
    </row>
    <row r="606" spans="1:5" x14ac:dyDescent="0.25">
      <c r="A606" s="100">
        <f t="shared" si="8"/>
        <v>15</v>
      </c>
      <c r="B606" s="151" t="s">
        <v>735</v>
      </c>
      <c r="C606" s="152" t="s">
        <v>730</v>
      </c>
      <c r="D606" s="103"/>
      <c r="E606" s="104">
        <v>5000</v>
      </c>
    </row>
    <row r="607" spans="1:5" x14ac:dyDescent="0.25">
      <c r="A607" s="100">
        <f t="shared" si="8"/>
        <v>16</v>
      </c>
      <c r="B607" s="151" t="s">
        <v>736</v>
      </c>
      <c r="C607" s="152" t="s">
        <v>731</v>
      </c>
      <c r="D607" s="103"/>
      <c r="E607" s="104">
        <v>12500</v>
      </c>
    </row>
    <row r="608" spans="1:5" x14ac:dyDescent="0.25">
      <c r="A608" s="100">
        <f t="shared" si="8"/>
        <v>17</v>
      </c>
      <c r="B608" s="151" t="s">
        <v>737</v>
      </c>
      <c r="C608" s="152" t="s">
        <v>732</v>
      </c>
      <c r="D608" s="103"/>
      <c r="E608" s="104">
        <v>5000</v>
      </c>
    </row>
    <row r="609" spans="1:5" x14ac:dyDescent="0.25">
      <c r="A609" s="100">
        <f t="shared" si="8"/>
        <v>18</v>
      </c>
      <c r="B609" s="151" t="s">
        <v>738</v>
      </c>
      <c r="C609" s="152" t="s">
        <v>733</v>
      </c>
      <c r="D609" s="103"/>
      <c r="E609" s="104">
        <v>5000</v>
      </c>
    </row>
    <row r="610" spans="1:5" x14ac:dyDescent="0.25">
      <c r="A610" s="100">
        <f t="shared" si="8"/>
        <v>19</v>
      </c>
      <c r="B610" s="151" t="s">
        <v>739</v>
      </c>
      <c r="C610" s="152" t="s">
        <v>734</v>
      </c>
      <c r="D610" s="103"/>
      <c r="E610" s="104">
        <v>5000</v>
      </c>
    </row>
    <row r="611" spans="1:5" x14ac:dyDescent="0.25">
      <c r="A611" s="100"/>
      <c r="B611" s="151"/>
      <c r="C611" s="152"/>
      <c r="D611" s="103"/>
      <c r="E611" s="104"/>
    </row>
    <row r="612" spans="1:5" ht="15.75" thickBot="1" x14ac:dyDescent="0.3">
      <c r="A612" s="105"/>
      <c r="B612" s="240" t="s">
        <v>10</v>
      </c>
      <c r="C612" s="241"/>
      <c r="D612" s="242"/>
      <c r="E612" s="106">
        <f>SUM(E592:E611)</f>
        <v>482500</v>
      </c>
    </row>
    <row r="613" spans="1:5" x14ac:dyDescent="0.25">
      <c r="A613" s="95"/>
      <c r="B613" s="130"/>
      <c r="C613" s="130"/>
      <c r="E613" s="131"/>
    </row>
    <row r="614" spans="1:5" x14ac:dyDescent="0.25">
      <c r="A614" s="94"/>
      <c r="B614" s="94"/>
      <c r="C614" s="95"/>
      <c r="D614" s="108" t="s">
        <v>701</v>
      </c>
      <c r="E614" s="94"/>
    </row>
    <row r="615" spans="1:5" x14ac:dyDescent="0.25">
      <c r="D615" s="108" t="s">
        <v>83</v>
      </c>
    </row>
    <row r="637" spans="1:5" x14ac:dyDescent="0.25">
      <c r="A637" s="93" t="s">
        <v>0</v>
      </c>
      <c r="B637" s="129"/>
      <c r="C637" s="129"/>
      <c r="D637" s="129"/>
      <c r="E637" s="129"/>
    </row>
    <row r="638" spans="1:5" x14ac:dyDescent="0.25">
      <c r="A638" s="93" t="s">
        <v>1</v>
      </c>
      <c r="B638" s="94"/>
      <c r="C638" s="95"/>
      <c r="D638" s="94"/>
      <c r="E638" s="94"/>
    </row>
    <row r="639" spans="1:5" x14ac:dyDescent="0.25">
      <c r="A639" s="93"/>
      <c r="B639" s="94"/>
      <c r="C639" s="95"/>
      <c r="D639" s="94"/>
      <c r="E639" s="94"/>
    </row>
    <row r="640" spans="1:5" x14ac:dyDescent="0.25">
      <c r="A640" s="96" t="s">
        <v>84</v>
      </c>
      <c r="B640" s="96"/>
      <c r="C640" s="96"/>
      <c r="D640" s="96"/>
      <c r="E640" s="96"/>
    </row>
    <row r="641" spans="1:5" x14ac:dyDescent="0.25">
      <c r="A641" s="238" t="s">
        <v>82</v>
      </c>
      <c r="B641" s="239"/>
      <c r="C641" s="239"/>
      <c r="D641" s="239"/>
      <c r="E641" s="239"/>
    </row>
    <row r="642" spans="1:5" x14ac:dyDescent="0.25">
      <c r="A642" s="95"/>
      <c r="B642" s="95"/>
      <c r="C642" s="95"/>
      <c r="D642" s="95"/>
      <c r="E642" s="95"/>
    </row>
    <row r="643" spans="1:5" ht="15.75" thickBot="1" x14ac:dyDescent="0.3">
      <c r="A643" s="94"/>
      <c r="B643" s="94"/>
      <c r="C643" s="95"/>
      <c r="D643" s="94"/>
      <c r="E643" s="109" t="s">
        <v>740</v>
      </c>
    </row>
    <row r="644" spans="1:5" x14ac:dyDescent="0.25">
      <c r="A644" s="97" t="s">
        <v>16</v>
      </c>
      <c r="B644" s="98" t="s">
        <v>79</v>
      </c>
      <c r="C644" s="98" t="s">
        <v>80</v>
      </c>
      <c r="D644" s="98" t="s">
        <v>77</v>
      </c>
      <c r="E644" s="99" t="s">
        <v>10</v>
      </c>
    </row>
    <row r="645" spans="1:5" x14ac:dyDescent="0.25">
      <c r="A645" s="100">
        <v>1</v>
      </c>
      <c r="B645" s="151" t="s">
        <v>742</v>
      </c>
      <c r="C645" s="152" t="s">
        <v>748</v>
      </c>
      <c r="D645" s="103"/>
      <c r="E645" s="104">
        <v>12500</v>
      </c>
    </row>
    <row r="646" spans="1:5" x14ac:dyDescent="0.25">
      <c r="A646" s="100">
        <f>A645+1</f>
        <v>2</v>
      </c>
      <c r="B646" s="151" t="s">
        <v>743</v>
      </c>
      <c r="C646" s="152" t="s">
        <v>749</v>
      </c>
      <c r="D646" s="103"/>
      <c r="E646" s="104">
        <v>5000</v>
      </c>
    </row>
    <row r="647" spans="1:5" x14ac:dyDescent="0.25">
      <c r="A647" s="100">
        <f t="shared" ref="A647:A662" si="9">A646+1</f>
        <v>3</v>
      </c>
      <c r="B647" s="151" t="s">
        <v>744</v>
      </c>
      <c r="C647" s="152" t="s">
        <v>750</v>
      </c>
      <c r="D647" s="103"/>
      <c r="E647" s="104">
        <v>5000</v>
      </c>
    </row>
    <row r="648" spans="1:5" x14ac:dyDescent="0.25">
      <c r="A648" s="100">
        <f t="shared" si="9"/>
        <v>4</v>
      </c>
      <c r="B648" s="151" t="s">
        <v>745</v>
      </c>
      <c r="C648" s="152" t="s">
        <v>751</v>
      </c>
      <c r="D648" s="103"/>
      <c r="E648" s="104">
        <v>5000</v>
      </c>
    </row>
    <row r="649" spans="1:5" x14ac:dyDescent="0.25">
      <c r="A649" s="100">
        <f t="shared" si="9"/>
        <v>5</v>
      </c>
      <c r="B649" s="151" t="s">
        <v>746</v>
      </c>
      <c r="C649" s="152" t="s">
        <v>752</v>
      </c>
      <c r="D649" s="103"/>
      <c r="E649" s="104">
        <v>42500</v>
      </c>
    </row>
    <row r="650" spans="1:5" x14ac:dyDescent="0.25">
      <c r="A650" s="100">
        <f t="shared" si="9"/>
        <v>6</v>
      </c>
      <c r="B650" s="151" t="s">
        <v>747</v>
      </c>
      <c r="C650" s="152" t="s">
        <v>753</v>
      </c>
      <c r="D650" s="103"/>
      <c r="E650" s="104">
        <v>30000</v>
      </c>
    </row>
    <row r="651" spans="1:5" x14ac:dyDescent="0.25">
      <c r="A651" s="100">
        <f t="shared" si="9"/>
        <v>7</v>
      </c>
      <c r="B651" s="151" t="s">
        <v>764</v>
      </c>
      <c r="C651" s="152" t="s">
        <v>754</v>
      </c>
      <c r="D651" s="103"/>
      <c r="E651" s="104">
        <v>5000</v>
      </c>
    </row>
    <row r="652" spans="1:5" x14ac:dyDescent="0.25">
      <c r="A652" s="100">
        <f t="shared" si="9"/>
        <v>8</v>
      </c>
      <c r="B652" s="151" t="s">
        <v>765</v>
      </c>
      <c r="C652" s="152" t="s">
        <v>755</v>
      </c>
      <c r="D652" s="103"/>
      <c r="E652" s="104">
        <v>5000</v>
      </c>
    </row>
    <row r="653" spans="1:5" x14ac:dyDescent="0.25">
      <c r="A653" s="100">
        <f t="shared" si="9"/>
        <v>9</v>
      </c>
      <c r="B653" s="151" t="s">
        <v>766</v>
      </c>
      <c r="C653" s="152" t="s">
        <v>756</v>
      </c>
      <c r="D653" s="103"/>
      <c r="E653" s="104">
        <v>5000</v>
      </c>
    </row>
    <row r="654" spans="1:5" x14ac:dyDescent="0.25">
      <c r="A654" s="100">
        <f t="shared" si="9"/>
        <v>10</v>
      </c>
      <c r="B654" s="151" t="s">
        <v>767</v>
      </c>
      <c r="C654" s="152" t="s">
        <v>757</v>
      </c>
      <c r="D654" s="103"/>
      <c r="E654" s="104">
        <v>10000</v>
      </c>
    </row>
    <row r="655" spans="1:5" x14ac:dyDescent="0.25">
      <c r="A655" s="100">
        <f t="shared" si="9"/>
        <v>11</v>
      </c>
      <c r="B655" s="151" t="s">
        <v>768</v>
      </c>
      <c r="C655" s="152" t="s">
        <v>758</v>
      </c>
      <c r="D655" s="103"/>
      <c r="E655" s="104">
        <v>12500</v>
      </c>
    </row>
    <row r="656" spans="1:5" x14ac:dyDescent="0.25">
      <c r="A656" s="100">
        <f t="shared" si="9"/>
        <v>12</v>
      </c>
      <c r="B656" s="151" t="s">
        <v>769</v>
      </c>
      <c r="C656" s="152" t="s">
        <v>759</v>
      </c>
      <c r="D656" s="103"/>
      <c r="E656" s="104">
        <v>5000</v>
      </c>
    </row>
    <row r="657" spans="1:5" x14ac:dyDescent="0.25">
      <c r="A657" s="100">
        <f t="shared" si="9"/>
        <v>13</v>
      </c>
      <c r="B657" s="151" t="s">
        <v>770</v>
      </c>
      <c r="C657" s="152" t="s">
        <v>760</v>
      </c>
      <c r="D657" s="103"/>
      <c r="E657" s="104">
        <v>12500</v>
      </c>
    </row>
    <row r="658" spans="1:5" x14ac:dyDescent="0.25">
      <c r="A658" s="100">
        <f t="shared" si="9"/>
        <v>14</v>
      </c>
      <c r="B658" s="151" t="s">
        <v>771</v>
      </c>
      <c r="C658" s="152" t="s">
        <v>761</v>
      </c>
      <c r="D658" s="103"/>
      <c r="E658" s="104">
        <v>30000</v>
      </c>
    </row>
    <row r="659" spans="1:5" x14ac:dyDescent="0.25">
      <c r="A659" s="100">
        <f t="shared" si="9"/>
        <v>15</v>
      </c>
      <c r="B659" s="151" t="s">
        <v>772</v>
      </c>
      <c r="C659" s="152" t="s">
        <v>775</v>
      </c>
      <c r="D659" s="103"/>
      <c r="E659" s="104">
        <v>5000</v>
      </c>
    </row>
    <row r="660" spans="1:5" x14ac:dyDescent="0.25">
      <c r="A660" s="100">
        <f t="shared" si="9"/>
        <v>16</v>
      </c>
      <c r="B660" s="151" t="s">
        <v>773</v>
      </c>
      <c r="C660" s="152" t="s">
        <v>762</v>
      </c>
      <c r="D660" s="103"/>
      <c r="E660" s="104">
        <v>22500</v>
      </c>
    </row>
    <row r="661" spans="1:5" x14ac:dyDescent="0.25">
      <c r="A661" s="100">
        <f t="shared" si="9"/>
        <v>17</v>
      </c>
      <c r="B661" s="151" t="s">
        <v>774</v>
      </c>
      <c r="C661" s="152" t="s">
        <v>763</v>
      </c>
      <c r="D661" s="103"/>
      <c r="E661" s="104">
        <v>5000</v>
      </c>
    </row>
    <row r="662" spans="1:5" x14ac:dyDescent="0.25">
      <c r="A662" s="100">
        <f t="shared" si="9"/>
        <v>18</v>
      </c>
      <c r="B662" s="151" t="s">
        <v>776</v>
      </c>
      <c r="C662" s="152" t="s">
        <v>777</v>
      </c>
      <c r="D662" s="103"/>
      <c r="E662" s="104">
        <v>12500</v>
      </c>
    </row>
    <row r="663" spans="1:5" x14ac:dyDescent="0.25">
      <c r="A663" s="100"/>
      <c r="B663" s="151"/>
      <c r="C663" s="152"/>
      <c r="D663" s="103"/>
      <c r="E663" s="104"/>
    </row>
    <row r="664" spans="1:5" ht="15.75" thickBot="1" x14ac:dyDescent="0.3">
      <c r="A664" s="105"/>
      <c r="B664" s="240" t="s">
        <v>10</v>
      </c>
      <c r="C664" s="241"/>
      <c r="D664" s="242"/>
      <c r="E664" s="106">
        <f>SUM(E645:E663)</f>
        <v>230000</v>
      </c>
    </row>
    <row r="665" spans="1:5" x14ac:dyDescent="0.25">
      <c r="A665" s="95"/>
      <c r="B665" s="130"/>
      <c r="C665" s="130"/>
      <c r="E665" s="131"/>
    </row>
    <row r="666" spans="1:5" x14ac:dyDescent="0.25">
      <c r="A666" s="94"/>
      <c r="B666" s="94"/>
      <c r="C666" s="95"/>
      <c r="D666" s="108" t="s">
        <v>741</v>
      </c>
      <c r="E666" s="94"/>
    </row>
    <row r="667" spans="1:5" x14ac:dyDescent="0.25">
      <c r="D667" s="108" t="s">
        <v>83</v>
      </c>
    </row>
    <row r="690" spans="1:5" x14ac:dyDescent="0.25">
      <c r="A690" s="93" t="s">
        <v>0</v>
      </c>
      <c r="B690" s="129"/>
      <c r="C690" s="129"/>
      <c r="D690" s="129"/>
      <c r="E690" s="129"/>
    </row>
    <row r="691" spans="1:5" x14ac:dyDescent="0.25">
      <c r="A691" s="93" t="s">
        <v>1</v>
      </c>
      <c r="B691" s="94"/>
      <c r="C691" s="95"/>
      <c r="D691" s="94"/>
      <c r="E691" s="94"/>
    </row>
    <row r="692" spans="1:5" x14ac:dyDescent="0.25">
      <c r="A692" s="93"/>
      <c r="B692" s="94"/>
      <c r="C692" s="95"/>
      <c r="D692" s="94"/>
      <c r="E692" s="94"/>
    </row>
    <row r="693" spans="1:5" x14ac:dyDescent="0.25">
      <c r="A693" s="96" t="s">
        <v>84</v>
      </c>
      <c r="B693" s="96"/>
      <c r="C693" s="96"/>
      <c r="D693" s="96"/>
      <c r="E693" s="96"/>
    </row>
    <row r="694" spans="1:5" x14ac:dyDescent="0.25">
      <c r="A694" s="238" t="s">
        <v>82</v>
      </c>
      <c r="B694" s="239"/>
      <c r="C694" s="239"/>
      <c r="D694" s="239"/>
      <c r="E694" s="239"/>
    </row>
    <row r="695" spans="1:5" x14ac:dyDescent="0.25">
      <c r="A695" s="95"/>
      <c r="B695" s="95"/>
      <c r="C695" s="95"/>
      <c r="D695" s="95"/>
      <c r="E695" s="95"/>
    </row>
    <row r="696" spans="1:5" ht="15.75" thickBot="1" x14ac:dyDescent="0.3">
      <c r="A696" s="94"/>
      <c r="B696" s="94"/>
      <c r="C696" s="95"/>
      <c r="D696" s="94"/>
      <c r="E696" s="109" t="s">
        <v>778</v>
      </c>
    </row>
    <row r="697" spans="1:5" x14ac:dyDescent="0.25">
      <c r="A697" s="97" t="s">
        <v>16</v>
      </c>
      <c r="B697" s="98" t="s">
        <v>79</v>
      </c>
      <c r="C697" s="98" t="s">
        <v>80</v>
      </c>
      <c r="D697" s="98" t="s">
        <v>77</v>
      </c>
      <c r="E697" s="99" t="s">
        <v>10</v>
      </c>
    </row>
    <row r="698" spans="1:5" x14ac:dyDescent="0.25">
      <c r="A698" s="100">
        <v>1</v>
      </c>
      <c r="B698" s="151" t="s">
        <v>780</v>
      </c>
      <c r="C698" s="152" t="s">
        <v>785</v>
      </c>
      <c r="D698" s="103"/>
      <c r="E698" s="104">
        <v>22500</v>
      </c>
    </row>
    <row r="699" spans="1:5" x14ac:dyDescent="0.25">
      <c r="A699" s="100">
        <f>A698+1</f>
        <v>2</v>
      </c>
      <c r="B699" s="151" t="s">
        <v>781</v>
      </c>
      <c r="C699" s="152" t="s">
        <v>786</v>
      </c>
      <c r="D699" s="103"/>
      <c r="E699" s="104">
        <v>7500</v>
      </c>
    </row>
    <row r="700" spans="1:5" x14ac:dyDescent="0.25">
      <c r="A700" s="100">
        <f t="shared" ref="A700:A722" si="10">A699+1</f>
        <v>3</v>
      </c>
      <c r="B700" s="151" t="s">
        <v>782</v>
      </c>
      <c r="C700" s="152" t="s">
        <v>787</v>
      </c>
      <c r="D700" s="103"/>
      <c r="E700" s="104">
        <v>37500</v>
      </c>
    </row>
    <row r="701" spans="1:5" x14ac:dyDescent="0.25">
      <c r="A701" s="100">
        <f t="shared" si="10"/>
        <v>4</v>
      </c>
      <c r="B701" s="151" t="s">
        <v>783</v>
      </c>
      <c r="C701" s="152" t="s">
        <v>788</v>
      </c>
      <c r="D701" s="103"/>
      <c r="E701" s="104">
        <v>12500</v>
      </c>
    </row>
    <row r="702" spans="1:5" x14ac:dyDescent="0.25">
      <c r="A702" s="100">
        <f t="shared" si="10"/>
        <v>5</v>
      </c>
      <c r="B702" s="151" t="s">
        <v>784</v>
      </c>
      <c r="C702" s="152" t="s">
        <v>789</v>
      </c>
      <c r="D702" s="103"/>
      <c r="E702" s="104">
        <v>42500</v>
      </c>
    </row>
    <row r="703" spans="1:5" x14ac:dyDescent="0.25">
      <c r="A703" s="100">
        <f t="shared" si="10"/>
        <v>6</v>
      </c>
      <c r="B703" s="151" t="s">
        <v>797</v>
      </c>
      <c r="C703" s="152" t="s">
        <v>790</v>
      </c>
      <c r="D703" s="103"/>
      <c r="E703" s="104">
        <v>5000</v>
      </c>
    </row>
    <row r="704" spans="1:5" x14ac:dyDescent="0.25">
      <c r="A704" s="100">
        <f t="shared" si="10"/>
        <v>7</v>
      </c>
      <c r="B704" s="151" t="s">
        <v>798</v>
      </c>
      <c r="C704" s="152" t="s">
        <v>791</v>
      </c>
      <c r="D704" s="103"/>
      <c r="E704" s="104">
        <v>12500</v>
      </c>
    </row>
    <row r="705" spans="1:5" x14ac:dyDescent="0.25">
      <c r="A705" s="100">
        <f t="shared" si="10"/>
        <v>8</v>
      </c>
      <c r="B705" s="151" t="s">
        <v>799</v>
      </c>
      <c r="C705" s="152" t="s">
        <v>792</v>
      </c>
      <c r="D705" s="103"/>
      <c r="E705" s="104">
        <v>32500</v>
      </c>
    </row>
    <row r="706" spans="1:5" x14ac:dyDescent="0.25">
      <c r="A706" s="100">
        <f t="shared" si="10"/>
        <v>9</v>
      </c>
      <c r="B706" s="151" t="s">
        <v>800</v>
      </c>
      <c r="C706" s="152" t="s">
        <v>793</v>
      </c>
      <c r="D706" s="103"/>
      <c r="E706" s="104">
        <v>142500</v>
      </c>
    </row>
    <row r="707" spans="1:5" x14ac:dyDescent="0.25">
      <c r="A707" s="100">
        <f t="shared" si="10"/>
        <v>10</v>
      </c>
      <c r="B707" s="151" t="s">
        <v>802</v>
      </c>
      <c r="C707" s="152" t="s">
        <v>794</v>
      </c>
      <c r="D707" s="103"/>
      <c r="E707" s="104">
        <v>22500</v>
      </c>
    </row>
    <row r="708" spans="1:5" x14ac:dyDescent="0.25">
      <c r="A708" s="100">
        <f t="shared" si="10"/>
        <v>11</v>
      </c>
      <c r="B708" s="151" t="s">
        <v>801</v>
      </c>
      <c r="C708" s="152" t="s">
        <v>795</v>
      </c>
      <c r="D708" s="103"/>
      <c r="E708" s="104">
        <v>22500</v>
      </c>
    </row>
    <row r="709" spans="1:5" x14ac:dyDescent="0.25">
      <c r="A709" s="100">
        <f t="shared" si="10"/>
        <v>12</v>
      </c>
      <c r="B709" s="151" t="s">
        <v>736</v>
      </c>
      <c r="C709" s="152" t="s">
        <v>796</v>
      </c>
      <c r="D709" s="103"/>
      <c r="E709" s="104">
        <v>5000</v>
      </c>
    </row>
    <row r="710" spans="1:5" x14ac:dyDescent="0.25">
      <c r="A710" s="100">
        <f t="shared" si="10"/>
        <v>13</v>
      </c>
      <c r="B710" s="151" t="s">
        <v>803</v>
      </c>
      <c r="C710" s="152" t="s">
        <v>814</v>
      </c>
      <c r="D710" s="103"/>
      <c r="E710" s="104">
        <v>52500</v>
      </c>
    </row>
    <row r="711" spans="1:5" x14ac:dyDescent="0.25">
      <c r="A711" s="100">
        <f t="shared" si="10"/>
        <v>14</v>
      </c>
      <c r="B711" s="151" t="s">
        <v>804</v>
      </c>
      <c r="C711" s="152" t="s">
        <v>815</v>
      </c>
      <c r="D711" s="103"/>
      <c r="E711" s="104">
        <v>5000</v>
      </c>
    </row>
    <row r="712" spans="1:5" x14ac:dyDescent="0.25">
      <c r="A712" s="100">
        <f t="shared" si="10"/>
        <v>15</v>
      </c>
      <c r="B712" s="151" t="s">
        <v>805</v>
      </c>
      <c r="C712" s="152" t="s">
        <v>816</v>
      </c>
      <c r="D712" s="103"/>
      <c r="E712" s="104">
        <v>22500</v>
      </c>
    </row>
    <row r="713" spans="1:5" x14ac:dyDescent="0.25">
      <c r="A713" s="100">
        <f t="shared" si="10"/>
        <v>16</v>
      </c>
      <c r="B713" s="151" t="s">
        <v>367</v>
      </c>
      <c r="C713" s="152" t="s">
        <v>817</v>
      </c>
      <c r="D713" s="103"/>
      <c r="E713" s="104">
        <v>32500</v>
      </c>
    </row>
    <row r="714" spans="1:5" x14ac:dyDescent="0.25">
      <c r="A714" s="100">
        <f t="shared" si="10"/>
        <v>17</v>
      </c>
      <c r="B714" s="151" t="s">
        <v>806</v>
      </c>
      <c r="C714" s="152" t="s">
        <v>818</v>
      </c>
      <c r="D714" s="103"/>
      <c r="E714" s="104">
        <v>47500</v>
      </c>
    </row>
    <row r="715" spans="1:5" x14ac:dyDescent="0.25">
      <c r="A715" s="100">
        <f t="shared" si="10"/>
        <v>18</v>
      </c>
      <c r="B715" s="151" t="s">
        <v>807</v>
      </c>
      <c r="C715" s="152" t="s">
        <v>819</v>
      </c>
      <c r="D715" s="103"/>
      <c r="E715" s="104">
        <v>17500</v>
      </c>
    </row>
    <row r="716" spans="1:5" x14ac:dyDescent="0.25">
      <c r="A716" s="100">
        <f t="shared" si="10"/>
        <v>19</v>
      </c>
      <c r="B716" s="151" t="s">
        <v>808</v>
      </c>
      <c r="C716" s="152" t="s">
        <v>820</v>
      </c>
      <c r="D716" s="103"/>
      <c r="E716" s="104">
        <v>5000</v>
      </c>
    </row>
    <row r="717" spans="1:5" x14ac:dyDescent="0.25">
      <c r="A717" s="100">
        <f t="shared" si="10"/>
        <v>20</v>
      </c>
      <c r="B717" s="151" t="s">
        <v>809</v>
      </c>
      <c r="C717" s="152" t="s">
        <v>821</v>
      </c>
      <c r="D717" s="103"/>
      <c r="E717" s="104">
        <v>5000</v>
      </c>
    </row>
    <row r="718" spans="1:5" x14ac:dyDescent="0.25">
      <c r="A718" s="100">
        <f t="shared" si="10"/>
        <v>21</v>
      </c>
      <c r="B718" s="151" t="s">
        <v>810</v>
      </c>
      <c r="C718" s="152" t="s">
        <v>822</v>
      </c>
      <c r="D718" s="103"/>
      <c r="E718" s="104">
        <v>5000</v>
      </c>
    </row>
    <row r="719" spans="1:5" x14ac:dyDescent="0.25">
      <c r="A719" s="100">
        <f t="shared" si="10"/>
        <v>22</v>
      </c>
      <c r="B719" s="151" t="s">
        <v>811</v>
      </c>
      <c r="C719" s="152" t="s">
        <v>823</v>
      </c>
      <c r="D719" s="103"/>
      <c r="E719" s="104">
        <v>5000</v>
      </c>
    </row>
    <row r="720" spans="1:5" x14ac:dyDescent="0.25">
      <c r="A720" s="100">
        <f t="shared" si="10"/>
        <v>23</v>
      </c>
      <c r="B720" s="151" t="s">
        <v>812</v>
      </c>
      <c r="C720" s="152" t="s">
        <v>824</v>
      </c>
      <c r="D720" s="103"/>
      <c r="E720" s="104">
        <v>5000</v>
      </c>
    </row>
    <row r="721" spans="1:5" x14ac:dyDescent="0.25">
      <c r="A721" s="100">
        <f t="shared" si="10"/>
        <v>24</v>
      </c>
      <c r="B721" s="151" t="s">
        <v>813</v>
      </c>
      <c r="C721" s="152" t="s">
        <v>825</v>
      </c>
      <c r="D721" s="103"/>
      <c r="E721" s="104">
        <v>12500</v>
      </c>
    </row>
    <row r="722" spans="1:5" x14ac:dyDescent="0.25">
      <c r="A722" s="100">
        <f t="shared" si="10"/>
        <v>25</v>
      </c>
      <c r="B722" s="151" t="s">
        <v>827</v>
      </c>
      <c r="C722" s="152" t="s">
        <v>826</v>
      </c>
      <c r="D722" s="103"/>
      <c r="E722" s="104">
        <v>5000</v>
      </c>
    </row>
    <row r="723" spans="1:5" x14ac:dyDescent="0.25">
      <c r="A723" s="100"/>
      <c r="B723" s="151"/>
      <c r="C723" s="152"/>
      <c r="D723" s="103"/>
      <c r="E723" s="104"/>
    </row>
    <row r="724" spans="1:5" ht="15.75" thickBot="1" x14ac:dyDescent="0.3">
      <c r="A724" s="105"/>
      <c r="B724" s="240" t="s">
        <v>10</v>
      </c>
      <c r="C724" s="241"/>
      <c r="D724" s="242"/>
      <c r="E724" s="106">
        <f>SUM(E698:E723)</f>
        <v>585000</v>
      </c>
    </row>
    <row r="725" spans="1:5" x14ac:dyDescent="0.25">
      <c r="A725" s="95"/>
      <c r="B725" s="130"/>
      <c r="C725" s="130"/>
      <c r="E725" s="131"/>
    </row>
    <row r="726" spans="1:5" x14ac:dyDescent="0.25">
      <c r="A726" s="94"/>
      <c r="B726" s="94"/>
      <c r="C726" s="95"/>
      <c r="D726" s="108" t="s">
        <v>779</v>
      </c>
      <c r="E726" s="94"/>
    </row>
    <row r="727" spans="1:5" x14ac:dyDescent="0.25">
      <c r="D727" s="108" t="s">
        <v>83</v>
      </c>
    </row>
    <row r="730" spans="1:5" x14ac:dyDescent="0.25">
      <c r="E730" s="84"/>
    </row>
    <row r="743" spans="1:5" x14ac:dyDescent="0.25">
      <c r="A743" s="93" t="s">
        <v>0</v>
      </c>
      <c r="B743" s="129"/>
      <c r="C743" s="129"/>
      <c r="D743" s="129"/>
      <c r="E743" s="129"/>
    </row>
    <row r="744" spans="1:5" x14ac:dyDescent="0.25">
      <c r="A744" s="93" t="s">
        <v>1</v>
      </c>
      <c r="B744" s="94"/>
      <c r="C744" s="95"/>
      <c r="D744" s="94"/>
      <c r="E744" s="94"/>
    </row>
    <row r="745" spans="1:5" x14ac:dyDescent="0.25">
      <c r="A745" s="93"/>
      <c r="B745" s="94"/>
      <c r="C745" s="95"/>
      <c r="D745" s="94"/>
      <c r="E745" s="94"/>
    </row>
    <row r="746" spans="1:5" x14ac:dyDescent="0.25">
      <c r="A746" s="96" t="s">
        <v>84</v>
      </c>
      <c r="B746" s="96"/>
      <c r="C746" s="96"/>
      <c r="D746" s="96"/>
      <c r="E746" s="96"/>
    </row>
    <row r="747" spans="1:5" x14ac:dyDescent="0.25">
      <c r="A747" s="238" t="s">
        <v>82</v>
      </c>
      <c r="B747" s="239"/>
      <c r="C747" s="239"/>
      <c r="D747" s="239"/>
      <c r="E747" s="239"/>
    </row>
    <row r="748" spans="1:5" x14ac:dyDescent="0.25">
      <c r="A748" s="95"/>
      <c r="B748" s="95"/>
      <c r="C748" s="95"/>
      <c r="D748" s="95"/>
      <c r="E748" s="95"/>
    </row>
    <row r="749" spans="1:5" ht="15.75" thickBot="1" x14ac:dyDescent="0.3">
      <c r="A749" s="94"/>
      <c r="B749" s="94"/>
      <c r="C749" s="95"/>
      <c r="D749" s="94"/>
      <c r="E749" s="109" t="s">
        <v>828</v>
      </c>
    </row>
    <row r="750" spans="1:5" x14ac:dyDescent="0.25">
      <c r="A750" s="97" t="s">
        <v>16</v>
      </c>
      <c r="B750" s="98" t="s">
        <v>79</v>
      </c>
      <c r="C750" s="98" t="s">
        <v>80</v>
      </c>
      <c r="D750" s="98" t="s">
        <v>77</v>
      </c>
      <c r="E750" s="99" t="s">
        <v>10</v>
      </c>
    </row>
    <row r="751" spans="1:5" x14ac:dyDescent="0.25">
      <c r="A751" s="100">
        <v>1</v>
      </c>
      <c r="B751" s="151" t="s">
        <v>830</v>
      </c>
      <c r="C751" s="152" t="s">
        <v>834</v>
      </c>
      <c r="D751" s="103"/>
      <c r="E751" s="104">
        <v>17500</v>
      </c>
    </row>
    <row r="752" spans="1:5" x14ac:dyDescent="0.25">
      <c r="A752" s="100">
        <f>A751+1</f>
        <v>2</v>
      </c>
      <c r="B752" s="151" t="s">
        <v>831</v>
      </c>
      <c r="C752" s="152" t="s">
        <v>835</v>
      </c>
      <c r="D752" s="103"/>
      <c r="E752" s="104">
        <v>12500</v>
      </c>
    </row>
    <row r="753" spans="1:5" x14ac:dyDescent="0.25">
      <c r="A753" s="100">
        <f t="shared" ref="A753:A789" si="11">A752+1</f>
        <v>3</v>
      </c>
      <c r="B753" s="151" t="s">
        <v>832</v>
      </c>
      <c r="C753" s="152" t="s">
        <v>836</v>
      </c>
      <c r="D753" s="103"/>
      <c r="E753" s="104">
        <v>12500</v>
      </c>
    </row>
    <row r="754" spans="1:5" x14ac:dyDescent="0.25">
      <c r="A754" s="100">
        <f t="shared" si="11"/>
        <v>4</v>
      </c>
      <c r="B754" s="151" t="s">
        <v>833</v>
      </c>
      <c r="C754" s="152" t="s">
        <v>837</v>
      </c>
      <c r="D754" s="103"/>
      <c r="E754" s="104">
        <v>5000</v>
      </c>
    </row>
    <row r="755" spans="1:5" x14ac:dyDescent="0.25">
      <c r="A755" s="100">
        <f t="shared" si="11"/>
        <v>5</v>
      </c>
      <c r="B755" s="151" t="s">
        <v>848</v>
      </c>
      <c r="C755" s="152" t="s">
        <v>838</v>
      </c>
      <c r="D755" s="103"/>
      <c r="E755" s="104">
        <v>5000</v>
      </c>
    </row>
    <row r="756" spans="1:5" x14ac:dyDescent="0.25">
      <c r="A756" s="100">
        <f t="shared" si="11"/>
        <v>6</v>
      </c>
      <c r="B756" s="151" t="s">
        <v>849</v>
      </c>
      <c r="C756" s="152" t="s">
        <v>839</v>
      </c>
      <c r="D756" s="103"/>
      <c r="E756" s="104">
        <v>22500</v>
      </c>
    </row>
    <row r="757" spans="1:5" x14ac:dyDescent="0.25">
      <c r="A757" s="100">
        <f t="shared" si="11"/>
        <v>7</v>
      </c>
      <c r="B757" s="151" t="s">
        <v>850</v>
      </c>
      <c r="C757" s="152" t="s">
        <v>840</v>
      </c>
      <c r="D757" s="103"/>
      <c r="E757" s="104">
        <v>12500</v>
      </c>
    </row>
    <row r="758" spans="1:5" x14ac:dyDescent="0.25">
      <c r="A758" s="100">
        <f t="shared" si="11"/>
        <v>8</v>
      </c>
      <c r="B758" s="151" t="s">
        <v>851</v>
      </c>
      <c r="C758" s="152" t="s">
        <v>841</v>
      </c>
      <c r="D758" s="103"/>
      <c r="E758" s="104">
        <v>12500</v>
      </c>
    </row>
    <row r="759" spans="1:5" x14ac:dyDescent="0.25">
      <c r="A759" s="100">
        <f t="shared" si="11"/>
        <v>9</v>
      </c>
      <c r="B759" s="151" t="s">
        <v>852</v>
      </c>
      <c r="C759" s="152" t="s">
        <v>842</v>
      </c>
      <c r="D759" s="103"/>
      <c r="E759" s="104">
        <v>12500</v>
      </c>
    </row>
    <row r="760" spans="1:5" x14ac:dyDescent="0.25">
      <c r="A760" s="100">
        <f t="shared" si="11"/>
        <v>10</v>
      </c>
      <c r="B760" s="151" t="s">
        <v>853</v>
      </c>
      <c r="C760" s="152" t="s">
        <v>843</v>
      </c>
      <c r="D760" s="103"/>
      <c r="E760" s="104">
        <v>5000</v>
      </c>
    </row>
    <row r="761" spans="1:5" x14ac:dyDescent="0.25">
      <c r="A761" s="100">
        <f t="shared" si="11"/>
        <v>11</v>
      </c>
      <c r="B761" s="151" t="s">
        <v>854</v>
      </c>
      <c r="C761" s="152" t="s">
        <v>844</v>
      </c>
      <c r="D761" s="103"/>
      <c r="E761" s="104">
        <v>5000</v>
      </c>
    </row>
    <row r="762" spans="1:5" x14ac:dyDescent="0.25">
      <c r="A762" s="100">
        <f t="shared" si="11"/>
        <v>12</v>
      </c>
      <c r="B762" s="151" t="s">
        <v>855</v>
      </c>
      <c r="C762" s="152" t="s">
        <v>845</v>
      </c>
      <c r="D762" s="103"/>
      <c r="E762" s="104">
        <v>5000</v>
      </c>
    </row>
    <row r="763" spans="1:5" x14ac:dyDescent="0.25">
      <c r="A763" s="100">
        <f t="shared" si="11"/>
        <v>13</v>
      </c>
      <c r="B763" s="151" t="s">
        <v>856</v>
      </c>
      <c r="C763" s="152" t="s">
        <v>846</v>
      </c>
      <c r="D763" s="103"/>
      <c r="E763" s="104">
        <v>5000</v>
      </c>
    </row>
    <row r="764" spans="1:5" x14ac:dyDescent="0.25">
      <c r="A764" s="100">
        <f t="shared" si="11"/>
        <v>14</v>
      </c>
      <c r="B764" s="151" t="s">
        <v>857</v>
      </c>
      <c r="C764" s="152" t="s">
        <v>847</v>
      </c>
      <c r="D764" s="103"/>
      <c r="E764" s="104">
        <v>27500</v>
      </c>
    </row>
    <row r="765" spans="1:5" x14ac:dyDescent="0.25">
      <c r="A765" s="100">
        <f t="shared" si="11"/>
        <v>15</v>
      </c>
      <c r="B765" s="151" t="s">
        <v>858</v>
      </c>
      <c r="C765" s="152" t="s">
        <v>867</v>
      </c>
      <c r="D765" s="103"/>
      <c r="E765" s="104">
        <v>5000</v>
      </c>
    </row>
    <row r="766" spans="1:5" x14ac:dyDescent="0.25">
      <c r="A766" s="100">
        <f t="shared" si="11"/>
        <v>16</v>
      </c>
      <c r="B766" s="151" t="s">
        <v>859</v>
      </c>
      <c r="C766" s="152" t="s">
        <v>868</v>
      </c>
      <c r="D766" s="103"/>
      <c r="E766" s="104">
        <v>12500</v>
      </c>
    </row>
    <row r="767" spans="1:5" x14ac:dyDescent="0.25">
      <c r="A767" s="100">
        <f t="shared" si="11"/>
        <v>17</v>
      </c>
      <c r="B767" s="151" t="s">
        <v>860</v>
      </c>
      <c r="C767" s="152" t="s">
        <v>869</v>
      </c>
      <c r="D767" s="103"/>
      <c r="E767" s="104">
        <v>5000</v>
      </c>
    </row>
    <row r="768" spans="1:5" x14ac:dyDescent="0.25">
      <c r="A768" s="100">
        <f t="shared" si="11"/>
        <v>18</v>
      </c>
      <c r="B768" s="151" t="s">
        <v>861</v>
      </c>
      <c r="C768" s="152" t="s">
        <v>870</v>
      </c>
      <c r="D768" s="103"/>
      <c r="E768" s="104">
        <v>42500</v>
      </c>
    </row>
    <row r="769" spans="1:5" x14ac:dyDescent="0.25">
      <c r="A769" s="100">
        <f t="shared" si="11"/>
        <v>19</v>
      </c>
      <c r="B769" s="151" t="s">
        <v>871</v>
      </c>
      <c r="C769" s="152" t="s">
        <v>872</v>
      </c>
      <c r="D769" s="103"/>
      <c r="E769" s="104">
        <v>10000</v>
      </c>
    </row>
    <row r="770" spans="1:5" x14ac:dyDescent="0.25">
      <c r="A770" s="100">
        <f t="shared" si="11"/>
        <v>20</v>
      </c>
      <c r="B770" s="151" t="s">
        <v>862</v>
      </c>
      <c r="C770" s="152" t="s">
        <v>873</v>
      </c>
      <c r="D770" s="103"/>
      <c r="E770" s="104">
        <v>5000</v>
      </c>
    </row>
    <row r="771" spans="1:5" x14ac:dyDescent="0.25">
      <c r="A771" s="100">
        <f t="shared" si="11"/>
        <v>21</v>
      </c>
      <c r="B771" s="151" t="s">
        <v>863</v>
      </c>
      <c r="C771" s="152" t="s">
        <v>874</v>
      </c>
      <c r="D771" s="103"/>
      <c r="E771" s="104">
        <v>42500</v>
      </c>
    </row>
    <row r="772" spans="1:5" x14ac:dyDescent="0.25">
      <c r="A772" s="100">
        <f t="shared" si="11"/>
        <v>22</v>
      </c>
      <c r="B772" s="151" t="s">
        <v>864</v>
      </c>
      <c r="C772" s="152" t="s">
        <v>875</v>
      </c>
      <c r="D772" s="103"/>
      <c r="E772" s="104">
        <v>5000</v>
      </c>
    </row>
    <row r="773" spans="1:5" x14ac:dyDescent="0.25">
      <c r="A773" s="100">
        <f t="shared" si="11"/>
        <v>23</v>
      </c>
      <c r="B773" s="151" t="s">
        <v>865</v>
      </c>
      <c r="C773" s="152" t="s">
        <v>876</v>
      </c>
      <c r="D773" s="103"/>
      <c r="E773" s="104">
        <v>5000</v>
      </c>
    </row>
    <row r="774" spans="1:5" x14ac:dyDescent="0.25">
      <c r="A774" s="100">
        <f t="shared" si="11"/>
        <v>24</v>
      </c>
      <c r="B774" s="151" t="s">
        <v>866</v>
      </c>
      <c r="C774" s="152" t="s">
        <v>877</v>
      </c>
      <c r="D774" s="103"/>
      <c r="E774" s="104">
        <v>5000</v>
      </c>
    </row>
    <row r="775" spans="1:5" x14ac:dyDescent="0.25">
      <c r="A775" s="100">
        <f t="shared" si="11"/>
        <v>25</v>
      </c>
      <c r="B775" s="151" t="s">
        <v>878</v>
      </c>
      <c r="C775" s="152" t="s">
        <v>887</v>
      </c>
      <c r="D775" s="103"/>
      <c r="E775" s="104">
        <v>5000</v>
      </c>
    </row>
    <row r="776" spans="1:5" x14ac:dyDescent="0.25">
      <c r="A776" s="100">
        <f t="shared" si="11"/>
        <v>26</v>
      </c>
      <c r="B776" s="151" t="s">
        <v>879</v>
      </c>
      <c r="C776" s="152" t="s">
        <v>888</v>
      </c>
      <c r="D776" s="103"/>
      <c r="E776" s="104">
        <v>5000</v>
      </c>
    </row>
    <row r="777" spans="1:5" x14ac:dyDescent="0.25">
      <c r="A777" s="100">
        <f t="shared" si="11"/>
        <v>27</v>
      </c>
      <c r="B777" s="151" t="s">
        <v>880</v>
      </c>
      <c r="C777" s="152" t="s">
        <v>889</v>
      </c>
      <c r="D777" s="103"/>
      <c r="E777" s="104">
        <v>5000</v>
      </c>
    </row>
    <row r="778" spans="1:5" x14ac:dyDescent="0.25">
      <c r="A778" s="100">
        <f t="shared" si="11"/>
        <v>28</v>
      </c>
      <c r="B778" s="151" t="s">
        <v>881</v>
      </c>
      <c r="C778" s="152" t="s">
        <v>890</v>
      </c>
      <c r="D778" s="103"/>
      <c r="E778" s="104">
        <v>5000</v>
      </c>
    </row>
    <row r="779" spans="1:5" x14ac:dyDescent="0.25">
      <c r="A779" s="100">
        <f t="shared" si="11"/>
        <v>29</v>
      </c>
      <c r="B779" s="151" t="s">
        <v>882</v>
      </c>
      <c r="C779" s="152" t="s">
        <v>891</v>
      </c>
      <c r="D779" s="103"/>
      <c r="E779" s="104">
        <v>40000</v>
      </c>
    </row>
    <row r="780" spans="1:5" x14ac:dyDescent="0.25">
      <c r="A780" s="100">
        <f t="shared" si="11"/>
        <v>30</v>
      </c>
      <c r="B780" s="151" t="s">
        <v>883</v>
      </c>
      <c r="C780" s="152" t="s">
        <v>892</v>
      </c>
      <c r="D780" s="103"/>
      <c r="E780" s="104">
        <v>12500</v>
      </c>
    </row>
    <row r="781" spans="1:5" x14ac:dyDescent="0.25">
      <c r="A781" s="100">
        <f t="shared" si="11"/>
        <v>31</v>
      </c>
      <c r="B781" s="151" t="s">
        <v>884</v>
      </c>
      <c r="C781" s="152" t="s">
        <v>893</v>
      </c>
      <c r="D781" s="103"/>
      <c r="E781" s="104">
        <v>5000</v>
      </c>
    </row>
    <row r="782" spans="1:5" x14ac:dyDescent="0.25">
      <c r="A782" s="100">
        <f t="shared" si="11"/>
        <v>32</v>
      </c>
      <c r="B782" s="151" t="s">
        <v>885</v>
      </c>
      <c r="C782" s="152" t="s">
        <v>894</v>
      </c>
      <c r="D782" s="103"/>
      <c r="E782" s="104">
        <v>12500</v>
      </c>
    </row>
    <row r="783" spans="1:5" x14ac:dyDescent="0.25">
      <c r="A783" s="100">
        <f t="shared" si="11"/>
        <v>33</v>
      </c>
      <c r="B783" s="151" t="s">
        <v>886</v>
      </c>
      <c r="C783" s="152" t="s">
        <v>895</v>
      </c>
      <c r="D783" s="103"/>
      <c r="E783" s="104">
        <v>22500</v>
      </c>
    </row>
    <row r="784" spans="1:5" x14ac:dyDescent="0.25">
      <c r="A784" s="100">
        <f t="shared" si="11"/>
        <v>34</v>
      </c>
      <c r="B784" s="151" t="s">
        <v>902</v>
      </c>
      <c r="C784" s="152" t="s">
        <v>896</v>
      </c>
      <c r="D784" s="103"/>
      <c r="E784" s="104">
        <v>5000</v>
      </c>
    </row>
    <row r="785" spans="1:5" x14ac:dyDescent="0.25">
      <c r="A785" s="100">
        <f t="shared" si="11"/>
        <v>35</v>
      </c>
      <c r="B785" s="151" t="s">
        <v>903</v>
      </c>
      <c r="C785" s="152" t="s">
        <v>897</v>
      </c>
      <c r="D785" s="103"/>
      <c r="E785" s="104">
        <v>5000</v>
      </c>
    </row>
    <row r="786" spans="1:5" x14ac:dyDescent="0.25">
      <c r="A786" s="100">
        <f t="shared" si="11"/>
        <v>36</v>
      </c>
      <c r="B786" s="151" t="s">
        <v>904</v>
      </c>
      <c r="C786" s="152" t="s">
        <v>898</v>
      </c>
      <c r="D786" s="103"/>
      <c r="E786" s="104">
        <v>5000</v>
      </c>
    </row>
    <row r="787" spans="1:5" x14ac:dyDescent="0.25">
      <c r="A787" s="100">
        <f t="shared" si="11"/>
        <v>37</v>
      </c>
      <c r="B787" s="151" t="s">
        <v>905</v>
      </c>
      <c r="C787" s="152" t="s">
        <v>899</v>
      </c>
      <c r="D787" s="103"/>
      <c r="E787" s="104">
        <v>12500</v>
      </c>
    </row>
    <row r="788" spans="1:5" x14ac:dyDescent="0.25">
      <c r="A788" s="100">
        <f t="shared" si="11"/>
        <v>38</v>
      </c>
      <c r="B788" s="151" t="s">
        <v>906</v>
      </c>
      <c r="C788" s="152" t="s">
        <v>900</v>
      </c>
      <c r="D788" s="103"/>
      <c r="E788" s="104">
        <v>5000</v>
      </c>
    </row>
    <row r="789" spans="1:5" x14ac:dyDescent="0.25">
      <c r="A789" s="100">
        <f t="shared" si="11"/>
        <v>39</v>
      </c>
      <c r="B789" s="151" t="s">
        <v>907</v>
      </c>
      <c r="C789" s="152" t="s">
        <v>901</v>
      </c>
      <c r="D789" s="103"/>
      <c r="E789" s="104">
        <v>12500</v>
      </c>
    </row>
    <row r="790" spans="1:5" x14ac:dyDescent="0.25">
      <c r="A790" s="100"/>
      <c r="B790" s="151"/>
      <c r="C790" s="152"/>
      <c r="D790" s="103"/>
      <c r="E790" s="104"/>
    </row>
    <row r="791" spans="1:5" ht="15.75" thickBot="1" x14ac:dyDescent="0.3">
      <c r="A791" s="105"/>
      <c r="B791" s="240" t="s">
        <v>10</v>
      </c>
      <c r="C791" s="241"/>
      <c r="D791" s="242"/>
      <c r="E791" s="106">
        <f>SUM(E751:E790)</f>
        <v>455000</v>
      </c>
    </row>
    <row r="792" spans="1:5" x14ac:dyDescent="0.25">
      <c r="A792" s="95"/>
      <c r="B792" s="130"/>
      <c r="C792" s="130"/>
      <c r="E792" s="131"/>
    </row>
    <row r="793" spans="1:5" x14ac:dyDescent="0.25">
      <c r="A793" s="94"/>
      <c r="B793" s="94"/>
      <c r="C793" s="95"/>
      <c r="D793" s="108" t="s">
        <v>829</v>
      </c>
      <c r="E793" s="94"/>
    </row>
    <row r="794" spans="1:5" x14ac:dyDescent="0.25">
      <c r="D794" s="108" t="s">
        <v>83</v>
      </c>
    </row>
    <row r="796" spans="1:5" x14ac:dyDescent="0.25">
      <c r="A796" s="93" t="s">
        <v>0</v>
      </c>
      <c r="B796" s="129"/>
      <c r="C796" s="129"/>
      <c r="D796" s="129"/>
      <c r="E796" s="129"/>
    </row>
    <row r="797" spans="1:5" x14ac:dyDescent="0.25">
      <c r="A797" s="93" t="s">
        <v>1</v>
      </c>
      <c r="B797" s="94"/>
      <c r="C797" s="95"/>
      <c r="D797" s="94"/>
      <c r="E797" s="94"/>
    </row>
    <row r="798" spans="1:5" x14ac:dyDescent="0.25">
      <c r="A798" s="93"/>
      <c r="B798" s="94"/>
      <c r="C798" s="95"/>
      <c r="D798" s="94"/>
      <c r="E798" s="94"/>
    </row>
    <row r="799" spans="1:5" x14ac:dyDescent="0.25">
      <c r="A799" s="96" t="s">
        <v>84</v>
      </c>
      <c r="B799" s="96"/>
      <c r="C799" s="96"/>
      <c r="D799" s="96"/>
      <c r="E799" s="96"/>
    </row>
    <row r="800" spans="1:5" x14ac:dyDescent="0.25">
      <c r="A800" s="238" t="s">
        <v>82</v>
      </c>
      <c r="B800" s="239"/>
      <c r="C800" s="239"/>
      <c r="D800" s="239"/>
      <c r="E800" s="239"/>
    </row>
    <row r="801" spans="1:5" x14ac:dyDescent="0.25">
      <c r="A801" s="95"/>
      <c r="B801" s="95"/>
      <c r="C801" s="95"/>
      <c r="D801" s="95"/>
      <c r="E801" s="95"/>
    </row>
    <row r="802" spans="1:5" ht="15.75" thickBot="1" x14ac:dyDescent="0.3">
      <c r="A802" s="94"/>
      <c r="B802" s="94"/>
      <c r="C802" s="95"/>
      <c r="D802" s="94"/>
      <c r="E802" s="109" t="s">
        <v>908</v>
      </c>
    </row>
    <row r="803" spans="1:5" x14ac:dyDescent="0.25">
      <c r="A803" s="97" t="s">
        <v>16</v>
      </c>
      <c r="B803" s="98" t="s">
        <v>79</v>
      </c>
      <c r="C803" s="98" t="s">
        <v>80</v>
      </c>
      <c r="D803" s="98" t="s">
        <v>77</v>
      </c>
      <c r="E803" s="99" t="s">
        <v>10</v>
      </c>
    </row>
    <row r="804" spans="1:5" x14ac:dyDescent="0.25">
      <c r="A804" s="100">
        <v>1</v>
      </c>
      <c r="B804" s="151" t="s">
        <v>910</v>
      </c>
      <c r="C804" s="152" t="s">
        <v>914</v>
      </c>
      <c r="D804" s="103"/>
      <c r="E804" s="104">
        <v>22500</v>
      </c>
    </row>
    <row r="805" spans="1:5" x14ac:dyDescent="0.25">
      <c r="A805" s="100">
        <f>A804+1</f>
        <v>2</v>
      </c>
      <c r="B805" s="151" t="s">
        <v>911</v>
      </c>
      <c r="C805" s="152" t="s">
        <v>915</v>
      </c>
      <c r="D805" s="103"/>
      <c r="E805" s="104">
        <v>5000</v>
      </c>
    </row>
    <row r="806" spans="1:5" x14ac:dyDescent="0.25">
      <c r="A806" s="100">
        <f t="shared" ref="A806:A828" si="12">A805+1</f>
        <v>3</v>
      </c>
      <c r="B806" s="151" t="s">
        <v>912</v>
      </c>
      <c r="C806" s="152" t="s">
        <v>916</v>
      </c>
      <c r="D806" s="103"/>
      <c r="E806" s="104">
        <v>5000</v>
      </c>
    </row>
    <row r="807" spans="1:5" x14ac:dyDescent="0.25">
      <c r="A807" s="100">
        <f t="shared" si="12"/>
        <v>4</v>
      </c>
      <c r="B807" s="151" t="s">
        <v>913</v>
      </c>
      <c r="C807" s="152" t="s">
        <v>917</v>
      </c>
      <c r="D807" s="103"/>
      <c r="E807" s="104">
        <v>5000</v>
      </c>
    </row>
    <row r="808" spans="1:5" x14ac:dyDescent="0.25">
      <c r="A808" s="100">
        <f t="shared" si="12"/>
        <v>5</v>
      </c>
      <c r="B808" s="151" t="s">
        <v>923</v>
      </c>
      <c r="C808" s="152" t="s">
        <v>918</v>
      </c>
      <c r="D808" s="103"/>
      <c r="E808" s="104">
        <v>5000</v>
      </c>
    </row>
    <row r="809" spans="1:5" x14ac:dyDescent="0.25">
      <c r="A809" s="100">
        <f t="shared" si="12"/>
        <v>6</v>
      </c>
      <c r="B809" s="151" t="s">
        <v>924</v>
      </c>
      <c r="C809" s="152" t="s">
        <v>919</v>
      </c>
      <c r="D809" s="103"/>
      <c r="E809" s="104">
        <v>12500</v>
      </c>
    </row>
    <row r="810" spans="1:5" x14ac:dyDescent="0.25">
      <c r="A810" s="100">
        <f t="shared" si="12"/>
        <v>7</v>
      </c>
      <c r="B810" s="151" t="s">
        <v>925</v>
      </c>
      <c r="C810" s="152" t="s">
        <v>920</v>
      </c>
      <c r="D810" s="103"/>
      <c r="E810" s="104">
        <v>5000</v>
      </c>
    </row>
    <row r="811" spans="1:5" x14ac:dyDescent="0.25">
      <c r="A811" s="100">
        <f t="shared" si="12"/>
        <v>8</v>
      </c>
      <c r="B811" s="151" t="s">
        <v>926</v>
      </c>
      <c r="C811" s="152" t="s">
        <v>921</v>
      </c>
      <c r="D811" s="103"/>
      <c r="E811" s="104">
        <v>42500</v>
      </c>
    </row>
    <row r="812" spans="1:5" x14ac:dyDescent="0.25">
      <c r="A812" s="100">
        <f t="shared" si="12"/>
        <v>9</v>
      </c>
      <c r="B812" s="151" t="s">
        <v>927</v>
      </c>
      <c r="C812" s="152" t="s">
        <v>922</v>
      </c>
      <c r="D812" s="103"/>
      <c r="E812" s="104">
        <v>12500</v>
      </c>
    </row>
    <row r="813" spans="1:5" x14ac:dyDescent="0.25">
      <c r="A813" s="100">
        <f t="shared" si="12"/>
        <v>10</v>
      </c>
      <c r="B813" s="151" t="s">
        <v>928</v>
      </c>
      <c r="C813" s="152" t="s">
        <v>934</v>
      </c>
      <c r="D813" s="103"/>
      <c r="E813" s="104">
        <v>5000</v>
      </c>
    </row>
    <row r="814" spans="1:5" x14ac:dyDescent="0.25">
      <c r="A814" s="100">
        <f t="shared" si="12"/>
        <v>11</v>
      </c>
      <c r="B814" s="151" t="s">
        <v>929</v>
      </c>
      <c r="C814" s="152" t="s">
        <v>935</v>
      </c>
      <c r="D814" s="103"/>
      <c r="E814" s="104">
        <v>5000</v>
      </c>
    </row>
    <row r="815" spans="1:5" x14ac:dyDescent="0.25">
      <c r="A815" s="100">
        <f t="shared" si="12"/>
        <v>12</v>
      </c>
      <c r="B815" s="151" t="s">
        <v>930</v>
      </c>
      <c r="C815" s="152" t="s">
        <v>936</v>
      </c>
      <c r="D815" s="103"/>
      <c r="E815" s="104">
        <v>5000</v>
      </c>
    </row>
    <row r="816" spans="1:5" x14ac:dyDescent="0.25">
      <c r="A816" s="100">
        <f t="shared" si="12"/>
        <v>13</v>
      </c>
      <c r="B816" s="151" t="s">
        <v>931</v>
      </c>
      <c r="C816" s="152" t="s">
        <v>937</v>
      </c>
      <c r="D816" s="103"/>
      <c r="E816" s="104">
        <v>42500</v>
      </c>
    </row>
    <row r="817" spans="1:5" x14ac:dyDescent="0.25">
      <c r="A817" s="100">
        <f t="shared" si="12"/>
        <v>14</v>
      </c>
      <c r="B817" s="151" t="s">
        <v>932</v>
      </c>
      <c r="C817" s="152" t="s">
        <v>938</v>
      </c>
      <c r="D817" s="103"/>
      <c r="E817" s="104">
        <v>22500</v>
      </c>
    </row>
    <row r="818" spans="1:5" x14ac:dyDescent="0.25">
      <c r="A818" s="100">
        <f t="shared" si="12"/>
        <v>15</v>
      </c>
      <c r="B818" s="151" t="s">
        <v>933</v>
      </c>
      <c r="C818" s="152" t="s">
        <v>939</v>
      </c>
      <c r="D818" s="103"/>
      <c r="E818" s="104">
        <v>22500</v>
      </c>
    </row>
    <row r="819" spans="1:5" x14ac:dyDescent="0.25">
      <c r="A819" s="100">
        <f t="shared" si="12"/>
        <v>16</v>
      </c>
      <c r="B819" s="151" t="s">
        <v>947</v>
      </c>
      <c r="C819" s="152" t="s">
        <v>940</v>
      </c>
      <c r="D819" s="103"/>
      <c r="E819" s="104">
        <v>5000</v>
      </c>
    </row>
    <row r="820" spans="1:5" x14ac:dyDescent="0.25">
      <c r="A820" s="100">
        <f t="shared" si="12"/>
        <v>17</v>
      </c>
      <c r="B820" s="151" t="s">
        <v>948</v>
      </c>
      <c r="C820" s="152" t="s">
        <v>941</v>
      </c>
      <c r="D820" s="103"/>
      <c r="E820" s="104">
        <v>5000</v>
      </c>
    </row>
    <row r="821" spans="1:5" x14ac:dyDescent="0.25">
      <c r="A821" s="100">
        <f t="shared" si="12"/>
        <v>18</v>
      </c>
      <c r="B821" s="151" t="s">
        <v>950</v>
      </c>
      <c r="C821" s="152" t="s">
        <v>942</v>
      </c>
      <c r="D821" s="103"/>
      <c r="E821" s="104">
        <v>5000</v>
      </c>
    </row>
    <row r="822" spans="1:5" x14ac:dyDescent="0.25">
      <c r="A822" s="100">
        <f t="shared" si="12"/>
        <v>19</v>
      </c>
      <c r="B822" s="151" t="s">
        <v>949</v>
      </c>
      <c r="C822" s="152" t="s">
        <v>943</v>
      </c>
      <c r="D822" s="103"/>
      <c r="E822" s="104">
        <v>5000</v>
      </c>
    </row>
    <row r="823" spans="1:5" x14ac:dyDescent="0.25">
      <c r="A823" s="100">
        <f t="shared" si="12"/>
        <v>20</v>
      </c>
      <c r="B823" s="151" t="s">
        <v>951</v>
      </c>
      <c r="C823" s="152" t="s">
        <v>944</v>
      </c>
      <c r="D823" s="103"/>
      <c r="E823" s="104">
        <v>5000</v>
      </c>
    </row>
    <row r="824" spans="1:5" x14ac:dyDescent="0.25">
      <c r="A824" s="100">
        <f t="shared" si="12"/>
        <v>21</v>
      </c>
      <c r="B824" s="151" t="s">
        <v>952</v>
      </c>
      <c r="C824" s="152" t="s">
        <v>945</v>
      </c>
      <c r="D824" s="103"/>
      <c r="E824" s="104">
        <v>5000</v>
      </c>
    </row>
    <row r="825" spans="1:5" x14ac:dyDescent="0.25">
      <c r="A825" s="100">
        <f t="shared" si="12"/>
        <v>22</v>
      </c>
      <c r="B825" s="151" t="s">
        <v>953</v>
      </c>
      <c r="C825" s="152" t="s">
        <v>946</v>
      </c>
      <c r="D825" s="103"/>
      <c r="E825" s="104">
        <v>5000</v>
      </c>
    </row>
    <row r="826" spans="1:5" x14ac:dyDescent="0.25">
      <c r="A826" s="100">
        <f t="shared" si="12"/>
        <v>23</v>
      </c>
      <c r="B826" s="151" t="s">
        <v>954</v>
      </c>
      <c r="C826" s="152" t="s">
        <v>957</v>
      </c>
      <c r="D826" s="103"/>
      <c r="E826" s="104">
        <v>5000</v>
      </c>
    </row>
    <row r="827" spans="1:5" x14ac:dyDescent="0.25">
      <c r="A827" s="100">
        <f t="shared" si="12"/>
        <v>24</v>
      </c>
      <c r="B827" s="151" t="s">
        <v>955</v>
      </c>
      <c r="C827" s="152" t="s">
        <v>958</v>
      </c>
      <c r="D827" s="103"/>
      <c r="E827" s="104">
        <v>5000</v>
      </c>
    </row>
    <row r="828" spans="1:5" x14ac:dyDescent="0.25">
      <c r="A828" s="100">
        <f t="shared" si="12"/>
        <v>25</v>
      </c>
      <c r="B828" s="151" t="s">
        <v>956</v>
      </c>
      <c r="C828" s="152" t="s">
        <v>959</v>
      </c>
      <c r="D828" s="103"/>
      <c r="E828" s="104">
        <v>12500</v>
      </c>
    </row>
    <row r="829" spans="1:5" x14ac:dyDescent="0.25">
      <c r="A829" s="100"/>
      <c r="B829" s="151"/>
      <c r="C829" s="152"/>
      <c r="D829" s="103"/>
      <c r="E829" s="104"/>
    </row>
    <row r="830" spans="1:5" ht="15.75" thickBot="1" x14ac:dyDescent="0.3">
      <c r="A830" s="105"/>
      <c r="B830" s="240" t="s">
        <v>10</v>
      </c>
      <c r="C830" s="241"/>
      <c r="D830" s="242"/>
      <c r="E830" s="106">
        <f>SUM(E804:E829)</f>
        <v>275000</v>
      </c>
    </row>
    <row r="831" spans="1:5" x14ac:dyDescent="0.25">
      <c r="A831" s="95"/>
      <c r="B831" s="130"/>
      <c r="C831" s="130"/>
      <c r="E831" s="131"/>
    </row>
    <row r="832" spans="1:5" x14ac:dyDescent="0.25">
      <c r="A832" s="94"/>
      <c r="B832" s="94"/>
      <c r="C832" s="95"/>
      <c r="D832" s="108" t="s">
        <v>909</v>
      </c>
      <c r="E832" s="94"/>
    </row>
    <row r="833" spans="4:4" x14ac:dyDescent="0.25">
      <c r="D833" s="108" t="s">
        <v>83</v>
      </c>
    </row>
    <row r="849" spans="1:5" x14ac:dyDescent="0.25">
      <c r="A849" s="93" t="s">
        <v>0</v>
      </c>
      <c r="B849" s="129"/>
      <c r="C849" s="129"/>
      <c r="D849" s="129"/>
      <c r="E849" s="129"/>
    </row>
    <row r="850" spans="1:5" x14ac:dyDescent="0.25">
      <c r="A850" s="93" t="s">
        <v>1</v>
      </c>
      <c r="B850" s="94"/>
      <c r="C850" s="95"/>
      <c r="D850" s="94"/>
      <c r="E850" s="94"/>
    </row>
    <row r="851" spans="1:5" x14ac:dyDescent="0.25">
      <c r="A851" s="93"/>
      <c r="B851" s="94"/>
      <c r="C851" s="95"/>
      <c r="D851" s="94"/>
      <c r="E851" s="94"/>
    </row>
    <row r="852" spans="1:5" x14ac:dyDescent="0.25">
      <c r="A852" s="96" t="s">
        <v>84</v>
      </c>
      <c r="B852" s="96"/>
      <c r="C852" s="96"/>
      <c r="D852" s="96"/>
      <c r="E852" s="96"/>
    </row>
    <row r="853" spans="1:5" x14ac:dyDescent="0.25">
      <c r="A853" s="238" t="s">
        <v>82</v>
      </c>
      <c r="B853" s="239"/>
      <c r="C853" s="239"/>
      <c r="D853" s="239"/>
      <c r="E853" s="239"/>
    </row>
    <row r="854" spans="1:5" x14ac:dyDescent="0.25">
      <c r="A854" s="95"/>
      <c r="B854" s="95"/>
      <c r="C854" s="95"/>
      <c r="D854" s="95"/>
      <c r="E854" s="95"/>
    </row>
    <row r="855" spans="1:5" ht="15.75" thickBot="1" x14ac:dyDescent="0.3">
      <c r="A855" s="94"/>
      <c r="B855" s="94"/>
      <c r="C855" s="95"/>
      <c r="D855" s="94"/>
      <c r="E855" s="109" t="s">
        <v>960</v>
      </c>
    </row>
    <row r="856" spans="1:5" x14ac:dyDescent="0.25">
      <c r="A856" s="97" t="s">
        <v>16</v>
      </c>
      <c r="B856" s="98" t="s">
        <v>79</v>
      </c>
      <c r="C856" s="98" t="s">
        <v>80</v>
      </c>
      <c r="D856" s="98" t="s">
        <v>77</v>
      </c>
      <c r="E856" s="99" t="s">
        <v>10</v>
      </c>
    </row>
    <row r="857" spans="1:5" x14ac:dyDescent="0.25">
      <c r="A857" s="100">
        <v>1</v>
      </c>
      <c r="B857" s="151" t="s">
        <v>962</v>
      </c>
      <c r="C857" s="152" t="s">
        <v>966</v>
      </c>
      <c r="D857" s="103"/>
      <c r="E857" s="104">
        <v>5000</v>
      </c>
    </row>
    <row r="858" spans="1:5" x14ac:dyDescent="0.25">
      <c r="A858" s="100">
        <f>A857+1</f>
        <v>2</v>
      </c>
      <c r="B858" s="151" t="s">
        <v>963</v>
      </c>
      <c r="C858" s="152" t="s">
        <v>967</v>
      </c>
      <c r="D858" s="103"/>
      <c r="E858" s="104">
        <v>22500</v>
      </c>
    </row>
    <row r="859" spans="1:5" x14ac:dyDescent="0.25">
      <c r="A859" s="100">
        <f t="shared" ref="A859:A875" si="13">A858+1</f>
        <v>3</v>
      </c>
      <c r="B859" s="151" t="s">
        <v>964</v>
      </c>
      <c r="C859" s="152" t="s">
        <v>968</v>
      </c>
      <c r="D859" s="103"/>
      <c r="E859" s="104">
        <v>7500</v>
      </c>
    </row>
    <row r="860" spans="1:5" x14ac:dyDescent="0.25">
      <c r="A860" s="100">
        <f t="shared" si="13"/>
        <v>4</v>
      </c>
      <c r="B860" s="151" t="s">
        <v>965</v>
      </c>
      <c r="C860" s="152" t="s">
        <v>969</v>
      </c>
      <c r="D860" s="103"/>
      <c r="E860" s="104">
        <v>12500</v>
      </c>
    </row>
    <row r="861" spans="1:5" x14ac:dyDescent="0.25">
      <c r="A861" s="100">
        <f t="shared" si="13"/>
        <v>5</v>
      </c>
      <c r="B861" s="151" t="s">
        <v>976</v>
      </c>
      <c r="C861" s="152" t="s">
        <v>970</v>
      </c>
      <c r="D861" s="103"/>
      <c r="E861" s="104">
        <v>12500</v>
      </c>
    </row>
    <row r="862" spans="1:5" x14ac:dyDescent="0.25">
      <c r="A862" s="100">
        <f t="shared" si="13"/>
        <v>6</v>
      </c>
      <c r="B862" s="151" t="s">
        <v>977</v>
      </c>
      <c r="C862" s="152" t="s">
        <v>971</v>
      </c>
      <c r="D862" s="103"/>
      <c r="E862" s="104">
        <v>42500</v>
      </c>
    </row>
    <row r="863" spans="1:5" x14ac:dyDescent="0.25">
      <c r="A863" s="100">
        <f t="shared" si="13"/>
        <v>7</v>
      </c>
      <c r="B863" s="151" t="s">
        <v>978</v>
      </c>
      <c r="C863" s="152" t="s">
        <v>972</v>
      </c>
      <c r="D863" s="103"/>
      <c r="E863" s="104">
        <v>42500</v>
      </c>
    </row>
    <row r="864" spans="1:5" x14ac:dyDescent="0.25">
      <c r="A864" s="100">
        <f t="shared" si="13"/>
        <v>8</v>
      </c>
      <c r="B864" s="151" t="s">
        <v>979</v>
      </c>
      <c r="C864" s="152" t="s">
        <v>973</v>
      </c>
      <c r="D864" s="103"/>
      <c r="E864" s="104">
        <v>5000</v>
      </c>
    </row>
    <row r="865" spans="1:5" x14ac:dyDescent="0.25">
      <c r="A865" s="100">
        <f t="shared" si="13"/>
        <v>9</v>
      </c>
      <c r="B865" s="151" t="s">
        <v>827</v>
      </c>
      <c r="C865" s="152" t="s">
        <v>974</v>
      </c>
      <c r="D865" s="103"/>
      <c r="E865" s="104">
        <v>62500</v>
      </c>
    </row>
    <row r="866" spans="1:5" x14ac:dyDescent="0.25">
      <c r="A866" s="100">
        <f t="shared" si="13"/>
        <v>10</v>
      </c>
      <c r="B866" s="151" t="s">
        <v>980</v>
      </c>
      <c r="C866" s="152" t="s">
        <v>975</v>
      </c>
      <c r="D866" s="103"/>
      <c r="E866" s="104">
        <v>12500</v>
      </c>
    </row>
    <row r="867" spans="1:5" x14ac:dyDescent="0.25">
      <c r="A867" s="100">
        <f t="shared" si="13"/>
        <v>11</v>
      </c>
      <c r="B867" s="151" t="s">
        <v>981</v>
      </c>
      <c r="C867" s="152" t="s">
        <v>984</v>
      </c>
      <c r="D867" s="103"/>
      <c r="E867" s="104">
        <v>22500</v>
      </c>
    </row>
    <row r="868" spans="1:5" x14ac:dyDescent="0.25">
      <c r="A868" s="100">
        <f t="shared" si="13"/>
        <v>12</v>
      </c>
      <c r="B868" s="151" t="s">
        <v>982</v>
      </c>
      <c r="C868" s="152" t="s">
        <v>985</v>
      </c>
      <c r="D868" s="103"/>
      <c r="E868" s="104">
        <v>5000</v>
      </c>
    </row>
    <row r="869" spans="1:5" x14ac:dyDescent="0.25">
      <c r="A869" s="100">
        <f t="shared" si="13"/>
        <v>13</v>
      </c>
      <c r="B869" s="151" t="s">
        <v>983</v>
      </c>
      <c r="C869" s="152" t="s">
        <v>986</v>
      </c>
      <c r="D869" s="103"/>
      <c r="E869" s="104">
        <v>12500</v>
      </c>
    </row>
    <row r="870" spans="1:5" x14ac:dyDescent="0.25">
      <c r="A870" s="100">
        <f t="shared" si="13"/>
        <v>14</v>
      </c>
      <c r="B870" s="151" t="s">
        <v>992</v>
      </c>
      <c r="C870" s="152" t="s">
        <v>987</v>
      </c>
      <c r="D870" s="103"/>
      <c r="E870" s="104">
        <v>22500</v>
      </c>
    </row>
    <row r="871" spans="1:5" x14ac:dyDescent="0.25">
      <c r="A871" s="100">
        <f t="shared" si="13"/>
        <v>15</v>
      </c>
      <c r="B871" s="151" t="s">
        <v>993</v>
      </c>
      <c r="C871" s="152" t="s">
        <v>988</v>
      </c>
      <c r="D871" s="103"/>
      <c r="E871" s="104">
        <v>12500</v>
      </c>
    </row>
    <row r="872" spans="1:5" x14ac:dyDescent="0.25">
      <c r="A872" s="100">
        <f t="shared" si="13"/>
        <v>16</v>
      </c>
      <c r="B872" s="151" t="s">
        <v>994</v>
      </c>
      <c r="C872" s="152" t="s">
        <v>989</v>
      </c>
      <c r="D872" s="103"/>
      <c r="E872" s="104">
        <v>12500</v>
      </c>
    </row>
    <row r="873" spans="1:5" x14ac:dyDescent="0.25">
      <c r="A873" s="100">
        <f t="shared" si="13"/>
        <v>17</v>
      </c>
      <c r="B873" s="151" t="s">
        <v>995</v>
      </c>
      <c r="C873" s="152" t="s">
        <v>990</v>
      </c>
      <c r="D873" s="103"/>
      <c r="E873" s="104">
        <v>12500</v>
      </c>
    </row>
    <row r="874" spans="1:5" x14ac:dyDescent="0.25">
      <c r="A874" s="100">
        <f t="shared" si="13"/>
        <v>18</v>
      </c>
      <c r="B874" s="151" t="s">
        <v>996</v>
      </c>
      <c r="C874" s="152" t="s">
        <v>991</v>
      </c>
      <c r="D874" s="103"/>
      <c r="E874" s="104">
        <v>5000</v>
      </c>
    </row>
    <row r="875" spans="1:5" x14ac:dyDescent="0.25">
      <c r="A875" s="100">
        <f t="shared" si="13"/>
        <v>19</v>
      </c>
      <c r="B875" s="151" t="s">
        <v>997</v>
      </c>
      <c r="C875" s="152" t="s">
        <v>998</v>
      </c>
      <c r="D875" s="103"/>
      <c r="E875" s="104">
        <v>12500</v>
      </c>
    </row>
    <row r="876" spans="1:5" x14ac:dyDescent="0.25">
      <c r="A876" s="100"/>
      <c r="B876" s="151"/>
      <c r="C876" s="152"/>
      <c r="D876" s="103"/>
      <c r="E876" s="104"/>
    </row>
    <row r="877" spans="1:5" ht="15.75" thickBot="1" x14ac:dyDescent="0.3">
      <c r="A877" s="105"/>
      <c r="B877" s="240" t="s">
        <v>10</v>
      </c>
      <c r="C877" s="241"/>
      <c r="D877" s="242"/>
      <c r="E877" s="106">
        <f>SUM(E857:E876)</f>
        <v>342500</v>
      </c>
    </row>
    <row r="878" spans="1:5" x14ac:dyDescent="0.25">
      <c r="A878" s="95"/>
      <c r="B878" s="130"/>
      <c r="C878" s="130"/>
      <c r="E878" s="131"/>
    </row>
    <row r="879" spans="1:5" x14ac:dyDescent="0.25">
      <c r="A879" s="94"/>
      <c r="B879" s="94"/>
      <c r="C879" s="95"/>
      <c r="D879" s="108" t="s">
        <v>961</v>
      </c>
      <c r="E879" s="94"/>
    </row>
    <row r="880" spans="1:5" x14ac:dyDescent="0.25">
      <c r="D880" s="108" t="s">
        <v>83</v>
      </c>
    </row>
    <row r="902" spans="1:5" x14ac:dyDescent="0.25">
      <c r="A902" s="93" t="s">
        <v>0</v>
      </c>
      <c r="B902" s="129"/>
      <c r="C902" s="129"/>
      <c r="D902" s="129"/>
      <c r="E902" s="129"/>
    </row>
    <row r="903" spans="1:5" x14ac:dyDescent="0.25">
      <c r="A903" s="93" t="s">
        <v>1</v>
      </c>
      <c r="B903" s="94"/>
      <c r="C903" s="95"/>
      <c r="D903" s="94"/>
      <c r="E903" s="94"/>
    </row>
    <row r="904" spans="1:5" x14ac:dyDescent="0.25">
      <c r="A904" s="93"/>
      <c r="B904" s="94"/>
      <c r="C904" s="95"/>
      <c r="D904" s="94"/>
      <c r="E904" s="94"/>
    </row>
    <row r="905" spans="1:5" x14ac:dyDescent="0.25">
      <c r="A905" s="96" t="s">
        <v>84</v>
      </c>
      <c r="B905" s="96"/>
      <c r="C905" s="96"/>
      <c r="D905" s="96"/>
      <c r="E905" s="96"/>
    </row>
    <row r="906" spans="1:5" x14ac:dyDescent="0.25">
      <c r="A906" s="238" t="s">
        <v>82</v>
      </c>
      <c r="B906" s="239"/>
      <c r="C906" s="239"/>
      <c r="D906" s="239"/>
      <c r="E906" s="239"/>
    </row>
    <row r="907" spans="1:5" x14ac:dyDescent="0.25">
      <c r="A907" s="95"/>
      <c r="B907" s="95"/>
      <c r="C907" s="95"/>
      <c r="D907" s="95"/>
      <c r="E907" s="95"/>
    </row>
    <row r="908" spans="1:5" ht="15.75" thickBot="1" x14ac:dyDescent="0.3">
      <c r="A908" s="94"/>
      <c r="B908" s="94"/>
      <c r="C908" s="95"/>
      <c r="D908" s="94"/>
      <c r="E908" s="109" t="s">
        <v>999</v>
      </c>
    </row>
    <row r="909" spans="1:5" x14ac:dyDescent="0.25">
      <c r="A909" s="97" t="s">
        <v>16</v>
      </c>
      <c r="B909" s="98" t="s">
        <v>79</v>
      </c>
      <c r="C909" s="98" t="s">
        <v>80</v>
      </c>
      <c r="D909" s="98" t="s">
        <v>77</v>
      </c>
      <c r="E909" s="99" t="s">
        <v>10</v>
      </c>
    </row>
    <row r="910" spans="1:5" x14ac:dyDescent="0.25">
      <c r="A910" s="100">
        <v>1</v>
      </c>
      <c r="B910" s="151" t="s">
        <v>1001</v>
      </c>
      <c r="C910" s="152" t="s">
        <v>1007</v>
      </c>
      <c r="D910" s="103"/>
      <c r="E910" s="104">
        <v>5000</v>
      </c>
    </row>
    <row r="911" spans="1:5" x14ac:dyDescent="0.25">
      <c r="A911" s="100">
        <f>A910+1</f>
        <v>2</v>
      </c>
      <c r="B911" s="151" t="s">
        <v>1002</v>
      </c>
      <c r="C911" s="152" t="s">
        <v>1008</v>
      </c>
      <c r="D911" s="103"/>
      <c r="E911" s="104">
        <v>5000</v>
      </c>
    </row>
    <row r="912" spans="1:5" x14ac:dyDescent="0.25">
      <c r="A912" s="100">
        <f t="shared" ref="A912:A936" si="14">A911+1</f>
        <v>3</v>
      </c>
      <c r="B912" s="151" t="s">
        <v>1003</v>
      </c>
      <c r="C912" s="152" t="s">
        <v>1009</v>
      </c>
      <c r="D912" s="103"/>
      <c r="E912" s="104">
        <v>5000</v>
      </c>
    </row>
    <row r="913" spans="1:5" x14ac:dyDescent="0.25">
      <c r="A913" s="100">
        <f t="shared" si="14"/>
        <v>4</v>
      </c>
      <c r="B913" s="151" t="s">
        <v>1004</v>
      </c>
      <c r="C913" s="152" t="s">
        <v>1010</v>
      </c>
      <c r="D913" s="103"/>
      <c r="E913" s="104">
        <v>17500</v>
      </c>
    </row>
    <row r="914" spans="1:5" x14ac:dyDescent="0.25">
      <c r="A914" s="100">
        <f t="shared" si="14"/>
        <v>5</v>
      </c>
      <c r="B914" s="151" t="s">
        <v>1005</v>
      </c>
      <c r="C914" s="152" t="s">
        <v>1011</v>
      </c>
      <c r="D914" s="103"/>
      <c r="E914" s="104">
        <v>27500</v>
      </c>
    </row>
    <row r="915" spans="1:5" x14ac:dyDescent="0.25">
      <c r="A915" s="100">
        <f t="shared" si="14"/>
        <v>6</v>
      </c>
      <c r="B915" s="151" t="s">
        <v>1006</v>
      </c>
      <c r="C915" s="152" t="s">
        <v>1012</v>
      </c>
      <c r="D915" s="103"/>
      <c r="E915" s="104">
        <v>5000</v>
      </c>
    </row>
    <row r="916" spans="1:5" x14ac:dyDescent="0.25">
      <c r="A916" s="100">
        <f t="shared" si="14"/>
        <v>7</v>
      </c>
      <c r="B916" s="151" t="s">
        <v>1025</v>
      </c>
      <c r="C916" s="152" t="s">
        <v>1013</v>
      </c>
      <c r="D916" s="103"/>
      <c r="E916" s="104">
        <v>12500</v>
      </c>
    </row>
    <row r="917" spans="1:5" x14ac:dyDescent="0.25">
      <c r="A917" s="100">
        <f t="shared" si="14"/>
        <v>8</v>
      </c>
      <c r="B917" s="151" t="s">
        <v>1026</v>
      </c>
      <c r="C917" s="152" t="s">
        <v>1014</v>
      </c>
      <c r="D917" s="103"/>
      <c r="E917" s="104">
        <v>22500</v>
      </c>
    </row>
    <row r="918" spans="1:5" x14ac:dyDescent="0.25">
      <c r="A918" s="100">
        <f t="shared" si="14"/>
        <v>9</v>
      </c>
      <c r="B918" s="151" t="s">
        <v>1027</v>
      </c>
      <c r="C918" s="152" t="s">
        <v>1015</v>
      </c>
      <c r="D918" s="103"/>
      <c r="E918" s="104">
        <v>5000</v>
      </c>
    </row>
    <row r="919" spans="1:5" x14ac:dyDescent="0.25">
      <c r="A919" s="100">
        <f t="shared" si="14"/>
        <v>10</v>
      </c>
      <c r="B919" s="151" t="s">
        <v>1028</v>
      </c>
      <c r="C919" s="152" t="s">
        <v>1016</v>
      </c>
      <c r="D919" s="103"/>
      <c r="E919" s="104">
        <v>22500</v>
      </c>
    </row>
    <row r="920" spans="1:5" x14ac:dyDescent="0.25">
      <c r="A920" s="100">
        <f t="shared" si="14"/>
        <v>11</v>
      </c>
      <c r="B920" s="151" t="s">
        <v>1006</v>
      </c>
      <c r="C920" s="152" t="s">
        <v>1017</v>
      </c>
      <c r="D920" s="103"/>
      <c r="E920" s="104">
        <v>5000</v>
      </c>
    </row>
    <row r="921" spans="1:5" x14ac:dyDescent="0.25">
      <c r="A921" s="100">
        <f t="shared" si="14"/>
        <v>12</v>
      </c>
      <c r="B921" s="151" t="s">
        <v>1029</v>
      </c>
      <c r="C921" s="152" t="s">
        <v>1018</v>
      </c>
      <c r="D921" s="103"/>
      <c r="E921" s="104">
        <v>37500</v>
      </c>
    </row>
    <row r="922" spans="1:5" x14ac:dyDescent="0.25">
      <c r="A922" s="100">
        <f t="shared" si="14"/>
        <v>13</v>
      </c>
      <c r="B922" s="151" t="s">
        <v>1030</v>
      </c>
      <c r="C922" s="152" t="s">
        <v>1019</v>
      </c>
      <c r="D922" s="103"/>
      <c r="E922" s="104">
        <v>5000</v>
      </c>
    </row>
    <row r="923" spans="1:5" x14ac:dyDescent="0.25">
      <c r="A923" s="100">
        <f t="shared" si="14"/>
        <v>14</v>
      </c>
      <c r="B923" s="151" t="s">
        <v>1031</v>
      </c>
      <c r="C923" s="152" t="s">
        <v>1020</v>
      </c>
      <c r="D923" s="103"/>
      <c r="E923" s="104">
        <v>5000</v>
      </c>
    </row>
    <row r="924" spans="1:5" x14ac:dyDescent="0.25">
      <c r="A924" s="100">
        <f t="shared" si="14"/>
        <v>15</v>
      </c>
      <c r="B924" s="151" t="s">
        <v>1032</v>
      </c>
      <c r="C924" s="152" t="s">
        <v>1021</v>
      </c>
      <c r="D924" s="103"/>
      <c r="E924" s="104">
        <v>5000</v>
      </c>
    </row>
    <row r="925" spans="1:5" x14ac:dyDescent="0.25">
      <c r="A925" s="100">
        <f t="shared" si="14"/>
        <v>16</v>
      </c>
      <c r="B925" s="151" t="s">
        <v>1033</v>
      </c>
      <c r="C925" s="152" t="s">
        <v>1022</v>
      </c>
      <c r="D925" s="103"/>
      <c r="E925" s="104">
        <v>5000</v>
      </c>
    </row>
    <row r="926" spans="1:5" x14ac:dyDescent="0.25">
      <c r="A926" s="100">
        <f t="shared" si="14"/>
        <v>17</v>
      </c>
      <c r="B926" s="151" t="s">
        <v>1034</v>
      </c>
      <c r="C926" s="152" t="s">
        <v>1023</v>
      </c>
      <c r="D926" s="103"/>
      <c r="E926" s="104">
        <v>5000</v>
      </c>
    </row>
    <row r="927" spans="1:5" x14ac:dyDescent="0.25">
      <c r="A927" s="100">
        <f t="shared" si="14"/>
        <v>18</v>
      </c>
      <c r="B927" s="151" t="s">
        <v>1050</v>
      </c>
      <c r="C927" s="152" t="s">
        <v>1024</v>
      </c>
      <c r="D927" s="103"/>
      <c r="E927" s="104">
        <v>5000</v>
      </c>
    </row>
    <row r="928" spans="1:5" x14ac:dyDescent="0.25">
      <c r="A928" s="100">
        <f t="shared" si="14"/>
        <v>19</v>
      </c>
      <c r="B928" s="151" t="s">
        <v>1035</v>
      </c>
      <c r="C928" s="152" t="s">
        <v>1042</v>
      </c>
      <c r="D928" s="103"/>
      <c r="E928" s="104">
        <v>12500</v>
      </c>
    </row>
    <row r="929" spans="1:5" x14ac:dyDescent="0.25">
      <c r="A929" s="100">
        <f t="shared" si="14"/>
        <v>20</v>
      </c>
      <c r="B929" s="151" t="s">
        <v>1052</v>
      </c>
      <c r="C929" s="152" t="s">
        <v>1053</v>
      </c>
      <c r="D929" s="103"/>
      <c r="E929" s="104">
        <v>5000</v>
      </c>
    </row>
    <row r="930" spans="1:5" x14ac:dyDescent="0.25">
      <c r="A930" s="100">
        <f t="shared" si="14"/>
        <v>21</v>
      </c>
      <c r="B930" s="151" t="s">
        <v>1036</v>
      </c>
      <c r="C930" s="152" t="s">
        <v>1043</v>
      </c>
      <c r="D930" s="103"/>
      <c r="E930" s="104">
        <v>12500</v>
      </c>
    </row>
    <row r="931" spans="1:5" x14ac:dyDescent="0.25">
      <c r="A931" s="100">
        <f t="shared" si="14"/>
        <v>22</v>
      </c>
      <c r="B931" s="151" t="s">
        <v>1037</v>
      </c>
      <c r="C931" s="152" t="s">
        <v>1044</v>
      </c>
      <c r="D931" s="103"/>
      <c r="E931" s="104">
        <v>5000</v>
      </c>
    </row>
    <row r="932" spans="1:5" x14ac:dyDescent="0.25">
      <c r="A932" s="100">
        <f t="shared" si="14"/>
        <v>23</v>
      </c>
      <c r="B932" s="151" t="s">
        <v>1038</v>
      </c>
      <c r="C932" s="152" t="s">
        <v>1045</v>
      </c>
      <c r="D932" s="103"/>
      <c r="E932" s="104">
        <v>42500</v>
      </c>
    </row>
    <row r="933" spans="1:5" x14ac:dyDescent="0.25">
      <c r="A933" s="100">
        <f t="shared" si="14"/>
        <v>24</v>
      </c>
      <c r="B933" s="151" t="s">
        <v>1039</v>
      </c>
      <c r="C933" s="152" t="s">
        <v>1046</v>
      </c>
      <c r="D933" s="103"/>
      <c r="E933" s="104">
        <v>5000</v>
      </c>
    </row>
    <row r="934" spans="1:5" x14ac:dyDescent="0.25">
      <c r="A934" s="100">
        <f t="shared" si="14"/>
        <v>25</v>
      </c>
      <c r="B934" s="151" t="s">
        <v>1051</v>
      </c>
      <c r="C934" s="152" t="s">
        <v>1047</v>
      </c>
      <c r="D934" s="103"/>
      <c r="E934" s="104">
        <v>12500</v>
      </c>
    </row>
    <row r="935" spans="1:5" x14ac:dyDescent="0.25">
      <c r="A935" s="100">
        <f t="shared" si="14"/>
        <v>26</v>
      </c>
      <c r="B935" s="151" t="s">
        <v>1040</v>
      </c>
      <c r="C935" s="152" t="s">
        <v>1048</v>
      </c>
      <c r="D935" s="103"/>
      <c r="E935" s="104">
        <v>12500</v>
      </c>
    </row>
    <row r="936" spans="1:5" x14ac:dyDescent="0.25">
      <c r="A936" s="100">
        <f t="shared" si="14"/>
        <v>27</v>
      </c>
      <c r="B936" s="151" t="s">
        <v>1041</v>
      </c>
      <c r="C936" s="152" t="s">
        <v>1049</v>
      </c>
      <c r="D936" s="103"/>
      <c r="E936" s="104">
        <v>12500</v>
      </c>
    </row>
    <row r="937" spans="1:5" x14ac:dyDescent="0.25">
      <c r="A937" s="100"/>
      <c r="B937" s="151"/>
      <c r="C937" s="152"/>
      <c r="D937" s="103"/>
      <c r="E937" s="104"/>
    </row>
    <row r="938" spans="1:5" ht="15.75" thickBot="1" x14ac:dyDescent="0.3">
      <c r="A938" s="105"/>
      <c r="B938" s="240" t="s">
        <v>10</v>
      </c>
      <c r="C938" s="241"/>
      <c r="D938" s="242"/>
      <c r="E938" s="106">
        <f>SUM(E910:E937)</f>
        <v>320000</v>
      </c>
    </row>
    <row r="939" spans="1:5" x14ac:dyDescent="0.25">
      <c r="A939" s="95"/>
      <c r="B939" s="130"/>
      <c r="C939" s="130"/>
      <c r="E939" s="131"/>
    </row>
    <row r="940" spans="1:5" x14ac:dyDescent="0.25">
      <c r="A940" s="94"/>
      <c r="B940" s="94"/>
      <c r="C940" s="95"/>
      <c r="D940" s="108" t="s">
        <v>1000</v>
      </c>
      <c r="E940" s="94"/>
    </row>
    <row r="941" spans="1:5" x14ac:dyDescent="0.25">
      <c r="D941" s="108" t="s">
        <v>83</v>
      </c>
    </row>
    <row r="955" spans="1:5" x14ac:dyDescent="0.25">
      <c r="A955" s="93" t="s">
        <v>0</v>
      </c>
      <c r="B955" s="129"/>
      <c r="C955" s="129"/>
      <c r="D955" s="129"/>
      <c r="E955" s="129"/>
    </row>
    <row r="956" spans="1:5" x14ac:dyDescent="0.25">
      <c r="A956" s="93" t="s">
        <v>1</v>
      </c>
      <c r="B956" s="94"/>
      <c r="C956" s="95"/>
      <c r="D956" s="94"/>
      <c r="E956" s="94"/>
    </row>
    <row r="957" spans="1:5" x14ac:dyDescent="0.25">
      <c r="A957" s="93"/>
      <c r="B957" s="94"/>
      <c r="C957" s="95"/>
      <c r="D957" s="94"/>
      <c r="E957" s="94"/>
    </row>
    <row r="958" spans="1:5" x14ac:dyDescent="0.25">
      <c r="A958" s="96" t="s">
        <v>84</v>
      </c>
      <c r="B958" s="96"/>
      <c r="C958" s="96"/>
      <c r="D958" s="96"/>
      <c r="E958" s="96"/>
    </row>
    <row r="959" spans="1:5" x14ac:dyDescent="0.25">
      <c r="A959" s="238" t="s">
        <v>82</v>
      </c>
      <c r="B959" s="239"/>
      <c r="C959" s="239"/>
      <c r="D959" s="239"/>
      <c r="E959" s="239"/>
    </row>
    <row r="960" spans="1:5" x14ac:dyDescent="0.25">
      <c r="A960" s="95"/>
      <c r="B960" s="95"/>
      <c r="C960" s="95"/>
      <c r="D960" s="95"/>
      <c r="E960" s="95"/>
    </row>
    <row r="961" spans="1:5" ht="15.75" thickBot="1" x14ac:dyDescent="0.3">
      <c r="A961" s="94"/>
      <c r="B961" s="94"/>
      <c r="C961" s="95"/>
      <c r="D961" s="94"/>
      <c r="E961" s="109" t="s">
        <v>1054</v>
      </c>
    </row>
    <row r="962" spans="1:5" x14ac:dyDescent="0.25">
      <c r="A962" s="97" t="s">
        <v>16</v>
      </c>
      <c r="B962" s="98" t="s">
        <v>79</v>
      </c>
      <c r="C962" s="98" t="s">
        <v>80</v>
      </c>
      <c r="D962" s="98" t="s">
        <v>77</v>
      </c>
      <c r="E962" s="99" t="s">
        <v>10</v>
      </c>
    </row>
    <row r="963" spans="1:5" x14ac:dyDescent="0.25">
      <c r="A963" s="100">
        <v>1</v>
      </c>
      <c r="B963" s="151" t="s">
        <v>1056</v>
      </c>
      <c r="C963" s="152" t="s">
        <v>1059</v>
      </c>
      <c r="D963" s="103"/>
      <c r="E963" s="104">
        <v>5000</v>
      </c>
    </row>
    <row r="964" spans="1:5" x14ac:dyDescent="0.25">
      <c r="A964" s="100">
        <f>A963+1</f>
        <v>2</v>
      </c>
      <c r="B964" s="151" t="s">
        <v>1034</v>
      </c>
      <c r="C964" s="152" t="s">
        <v>1060</v>
      </c>
      <c r="D964" s="103"/>
      <c r="E964" s="104">
        <v>5000</v>
      </c>
    </row>
    <row r="965" spans="1:5" x14ac:dyDescent="0.25">
      <c r="A965" s="100">
        <f t="shared" ref="A965:A986" si="15">A964+1</f>
        <v>3</v>
      </c>
      <c r="B965" s="151" t="s">
        <v>1057</v>
      </c>
      <c r="C965" s="152" t="s">
        <v>1063</v>
      </c>
      <c r="D965" s="103"/>
      <c r="E965" s="104">
        <v>5000</v>
      </c>
    </row>
    <row r="966" spans="1:5" x14ac:dyDescent="0.25">
      <c r="A966" s="100">
        <f t="shared" si="15"/>
        <v>4</v>
      </c>
      <c r="B966" s="151" t="s">
        <v>1058</v>
      </c>
      <c r="C966" s="152" t="s">
        <v>1061</v>
      </c>
      <c r="D966" s="103"/>
      <c r="E966" s="104">
        <v>5000</v>
      </c>
    </row>
    <row r="967" spans="1:5" x14ac:dyDescent="0.25">
      <c r="A967" s="100">
        <f t="shared" si="15"/>
        <v>5</v>
      </c>
      <c r="B967" s="151" t="s">
        <v>313</v>
      </c>
      <c r="C967" s="152" t="s">
        <v>1062</v>
      </c>
      <c r="D967" s="103"/>
      <c r="E967" s="104">
        <v>30000</v>
      </c>
    </row>
    <row r="968" spans="1:5" x14ac:dyDescent="0.25">
      <c r="A968" s="100">
        <f t="shared" si="15"/>
        <v>6</v>
      </c>
      <c r="B968" s="151" t="s">
        <v>1068</v>
      </c>
      <c r="C968" s="152" t="s">
        <v>1064</v>
      </c>
      <c r="D968" s="103"/>
      <c r="E968" s="104">
        <v>17500</v>
      </c>
    </row>
    <row r="969" spans="1:5" x14ac:dyDescent="0.25">
      <c r="A969" s="100">
        <f t="shared" si="15"/>
        <v>7</v>
      </c>
      <c r="B969" s="151" t="s">
        <v>1069</v>
      </c>
      <c r="C969" s="152" t="s">
        <v>1065</v>
      </c>
      <c r="D969" s="103"/>
      <c r="E969" s="104">
        <v>5000</v>
      </c>
    </row>
    <row r="970" spans="1:5" x14ac:dyDescent="0.25">
      <c r="A970" s="100">
        <f t="shared" si="15"/>
        <v>8</v>
      </c>
      <c r="B970" s="151" t="s">
        <v>1070</v>
      </c>
      <c r="C970" s="152" t="s">
        <v>1066</v>
      </c>
      <c r="D970" s="103"/>
      <c r="E970" s="104">
        <v>5000</v>
      </c>
    </row>
    <row r="971" spans="1:5" x14ac:dyDescent="0.25">
      <c r="A971" s="100">
        <f t="shared" si="15"/>
        <v>9</v>
      </c>
      <c r="B971" s="151" t="s">
        <v>1071</v>
      </c>
      <c r="C971" s="152" t="s">
        <v>1067</v>
      </c>
      <c r="D971" s="103"/>
      <c r="E971" s="104">
        <v>42500</v>
      </c>
    </row>
    <row r="972" spans="1:5" x14ac:dyDescent="0.25">
      <c r="A972" s="100">
        <f t="shared" si="15"/>
        <v>10</v>
      </c>
      <c r="B972" s="151" t="s">
        <v>299</v>
      </c>
      <c r="C972" s="152" t="s">
        <v>1078</v>
      </c>
      <c r="D972" s="103"/>
      <c r="E972" s="104">
        <v>30000</v>
      </c>
    </row>
    <row r="973" spans="1:5" x14ac:dyDescent="0.25">
      <c r="A973" s="100">
        <f t="shared" si="15"/>
        <v>11</v>
      </c>
      <c r="B973" s="151" t="s">
        <v>1072</v>
      </c>
      <c r="C973" s="152" t="s">
        <v>1079</v>
      </c>
      <c r="D973" s="103"/>
      <c r="E973" s="104">
        <v>5000</v>
      </c>
    </row>
    <row r="974" spans="1:5" x14ac:dyDescent="0.25">
      <c r="A974" s="100">
        <f t="shared" si="15"/>
        <v>12</v>
      </c>
      <c r="B974" s="151" t="s">
        <v>1073</v>
      </c>
      <c r="C974" s="152" t="s">
        <v>1080</v>
      </c>
      <c r="D974" s="103"/>
      <c r="E974" s="104">
        <v>5000</v>
      </c>
    </row>
    <row r="975" spans="1:5" x14ac:dyDescent="0.25">
      <c r="A975" s="100">
        <f t="shared" si="15"/>
        <v>13</v>
      </c>
      <c r="B975" s="151" t="s">
        <v>1074</v>
      </c>
      <c r="C975" s="152" t="s">
        <v>1081</v>
      </c>
      <c r="D975" s="103"/>
      <c r="E975" s="104">
        <v>5000</v>
      </c>
    </row>
    <row r="976" spans="1:5" x14ac:dyDescent="0.25">
      <c r="A976" s="100">
        <f t="shared" si="15"/>
        <v>14</v>
      </c>
      <c r="B976" s="151" t="s">
        <v>1075</v>
      </c>
      <c r="C976" s="152" t="s">
        <v>1082</v>
      </c>
      <c r="D976" s="103"/>
      <c r="E976" s="104">
        <v>5000</v>
      </c>
    </row>
    <row r="977" spans="1:5" x14ac:dyDescent="0.25">
      <c r="A977" s="100">
        <f t="shared" si="15"/>
        <v>15</v>
      </c>
      <c r="B977" s="151" t="s">
        <v>1076</v>
      </c>
      <c r="C977" s="152" t="s">
        <v>1083</v>
      </c>
      <c r="D977" s="103"/>
      <c r="E977" s="104">
        <v>37500</v>
      </c>
    </row>
    <row r="978" spans="1:5" x14ac:dyDescent="0.25">
      <c r="A978" s="100">
        <f t="shared" si="15"/>
        <v>16</v>
      </c>
      <c r="B978" s="151" t="s">
        <v>1077</v>
      </c>
      <c r="C978" s="152" t="s">
        <v>1084</v>
      </c>
      <c r="D978" s="103"/>
      <c r="E978" s="104">
        <v>32500</v>
      </c>
    </row>
    <row r="979" spans="1:5" x14ac:dyDescent="0.25">
      <c r="A979" s="100">
        <f t="shared" si="15"/>
        <v>17</v>
      </c>
      <c r="B979" s="151" t="s">
        <v>1093</v>
      </c>
      <c r="C979" s="152" t="s">
        <v>1085</v>
      </c>
      <c r="D979" s="103"/>
      <c r="E979" s="104">
        <v>5000</v>
      </c>
    </row>
    <row r="980" spans="1:5" x14ac:dyDescent="0.25">
      <c r="A980" s="100">
        <f t="shared" si="15"/>
        <v>18</v>
      </c>
      <c r="B980" s="151" t="s">
        <v>902</v>
      </c>
      <c r="C980" s="152" t="s">
        <v>1086</v>
      </c>
      <c r="D980" s="103"/>
      <c r="E980" s="104">
        <v>32500</v>
      </c>
    </row>
    <row r="981" spans="1:5" x14ac:dyDescent="0.25">
      <c r="A981" s="100">
        <f t="shared" si="15"/>
        <v>19</v>
      </c>
      <c r="B981" s="151" t="s">
        <v>1090</v>
      </c>
      <c r="C981" s="152" t="s">
        <v>1087</v>
      </c>
      <c r="D981" s="103"/>
      <c r="E981" s="104">
        <v>5000</v>
      </c>
    </row>
    <row r="982" spans="1:5" x14ac:dyDescent="0.25">
      <c r="A982" s="100">
        <f t="shared" si="15"/>
        <v>20</v>
      </c>
      <c r="B982" s="151" t="s">
        <v>1091</v>
      </c>
      <c r="C982" s="152" t="s">
        <v>1088</v>
      </c>
      <c r="D982" s="103"/>
      <c r="E982" s="104">
        <v>12500</v>
      </c>
    </row>
    <row r="983" spans="1:5" x14ac:dyDescent="0.25">
      <c r="A983" s="100">
        <f t="shared" si="15"/>
        <v>21</v>
      </c>
      <c r="B983" s="151" t="s">
        <v>1092</v>
      </c>
      <c r="C983" s="152" t="s">
        <v>1089</v>
      </c>
      <c r="D983" s="103"/>
      <c r="E983" s="104">
        <v>12500</v>
      </c>
    </row>
    <row r="984" spans="1:5" x14ac:dyDescent="0.25">
      <c r="A984" s="100">
        <f t="shared" si="15"/>
        <v>22</v>
      </c>
      <c r="B984" s="151" t="s">
        <v>1094</v>
      </c>
      <c r="C984" s="152" t="s">
        <v>1096</v>
      </c>
      <c r="D984" s="103"/>
      <c r="E984" s="104">
        <v>5000</v>
      </c>
    </row>
    <row r="985" spans="1:5" x14ac:dyDescent="0.25">
      <c r="A985" s="100">
        <f t="shared" si="15"/>
        <v>23</v>
      </c>
      <c r="B985" s="151" t="s">
        <v>1006</v>
      </c>
      <c r="C985" s="152" t="s">
        <v>1097</v>
      </c>
      <c r="D985" s="103"/>
      <c r="E985" s="104">
        <v>5000</v>
      </c>
    </row>
    <row r="986" spans="1:5" x14ac:dyDescent="0.25">
      <c r="A986" s="100">
        <f t="shared" si="15"/>
        <v>24</v>
      </c>
      <c r="B986" s="151" t="s">
        <v>1095</v>
      </c>
      <c r="C986" s="152" t="s">
        <v>1098</v>
      </c>
      <c r="D986" s="103"/>
      <c r="E986" s="104">
        <v>12500</v>
      </c>
    </row>
    <row r="987" spans="1:5" x14ac:dyDescent="0.25">
      <c r="A987" s="100"/>
      <c r="B987" s="151"/>
      <c r="C987" s="152"/>
      <c r="D987" s="103"/>
      <c r="E987" s="104"/>
    </row>
    <row r="988" spans="1:5" ht="15.75" thickBot="1" x14ac:dyDescent="0.3">
      <c r="A988" s="105"/>
      <c r="B988" s="240" t="s">
        <v>10</v>
      </c>
      <c r="C988" s="241"/>
      <c r="D988" s="242"/>
      <c r="E988" s="106">
        <f>SUM(E963:E987)</f>
        <v>330000</v>
      </c>
    </row>
    <row r="989" spans="1:5" x14ac:dyDescent="0.25">
      <c r="A989" s="95"/>
      <c r="B989" s="130"/>
      <c r="C989" s="130"/>
      <c r="E989" s="131"/>
    </row>
    <row r="990" spans="1:5" x14ac:dyDescent="0.25">
      <c r="A990" s="94"/>
      <c r="B990" s="94"/>
      <c r="C990" s="95"/>
      <c r="D990" s="108" t="s">
        <v>1055</v>
      </c>
      <c r="E990" s="94"/>
    </row>
    <row r="991" spans="1:5" x14ac:dyDescent="0.25">
      <c r="D991" s="108" t="s">
        <v>83</v>
      </c>
    </row>
    <row r="1008" spans="1:5" x14ac:dyDescent="0.25">
      <c r="A1008" s="93" t="s">
        <v>0</v>
      </c>
      <c r="B1008" s="129"/>
      <c r="C1008" s="129"/>
      <c r="D1008" s="129"/>
      <c r="E1008" s="129"/>
    </row>
    <row r="1009" spans="1:5" x14ac:dyDescent="0.25">
      <c r="A1009" s="93" t="s">
        <v>1</v>
      </c>
      <c r="B1009" s="94"/>
      <c r="C1009" s="95"/>
      <c r="D1009" s="94"/>
      <c r="E1009" s="94"/>
    </row>
    <row r="1010" spans="1:5" x14ac:dyDescent="0.25">
      <c r="A1010" s="93"/>
      <c r="B1010" s="94"/>
      <c r="C1010" s="95"/>
      <c r="D1010" s="94"/>
      <c r="E1010" s="94"/>
    </row>
    <row r="1011" spans="1:5" x14ac:dyDescent="0.25">
      <c r="A1011" s="96" t="s">
        <v>84</v>
      </c>
      <c r="B1011" s="96"/>
      <c r="C1011" s="96"/>
      <c r="D1011" s="96"/>
      <c r="E1011" s="96"/>
    </row>
    <row r="1012" spans="1:5" x14ac:dyDescent="0.25">
      <c r="A1012" s="238" t="s">
        <v>82</v>
      </c>
      <c r="B1012" s="239"/>
      <c r="C1012" s="239"/>
      <c r="D1012" s="239"/>
      <c r="E1012" s="239"/>
    </row>
    <row r="1013" spans="1:5" x14ac:dyDescent="0.25">
      <c r="A1013" s="95"/>
      <c r="B1013" s="95"/>
      <c r="C1013" s="95"/>
      <c r="D1013" s="95"/>
      <c r="E1013" s="95"/>
    </row>
    <row r="1014" spans="1:5" ht="15.75" thickBot="1" x14ac:dyDescent="0.3">
      <c r="A1014" s="94"/>
      <c r="B1014" s="94"/>
      <c r="C1014" s="95"/>
      <c r="D1014" s="94"/>
      <c r="E1014" s="109" t="s">
        <v>1099</v>
      </c>
    </row>
    <row r="1015" spans="1:5" x14ac:dyDescent="0.25">
      <c r="A1015" s="97" t="s">
        <v>16</v>
      </c>
      <c r="B1015" s="98" t="s">
        <v>79</v>
      </c>
      <c r="C1015" s="98" t="s">
        <v>80</v>
      </c>
      <c r="D1015" s="98" t="s">
        <v>77</v>
      </c>
      <c r="E1015" s="99" t="s">
        <v>10</v>
      </c>
    </row>
    <row r="1016" spans="1:5" x14ac:dyDescent="0.25">
      <c r="A1016" s="100">
        <v>1</v>
      </c>
      <c r="B1016" s="151" t="s">
        <v>1101</v>
      </c>
      <c r="C1016" s="152" t="s">
        <v>1104</v>
      </c>
      <c r="D1016" s="103"/>
      <c r="E1016" s="104">
        <v>12500</v>
      </c>
    </row>
    <row r="1017" spans="1:5" x14ac:dyDescent="0.25">
      <c r="A1017" s="100">
        <f>A1016+1</f>
        <v>2</v>
      </c>
      <c r="B1017" s="151" t="s">
        <v>1102</v>
      </c>
      <c r="C1017" s="152" t="s">
        <v>1105</v>
      </c>
      <c r="D1017" s="103"/>
      <c r="E1017" s="104">
        <v>30000</v>
      </c>
    </row>
    <row r="1018" spans="1:5" x14ac:dyDescent="0.25">
      <c r="A1018" s="100">
        <f t="shared" ref="A1018:A1030" si="16">A1017+1</f>
        <v>3</v>
      </c>
      <c r="B1018" s="151" t="s">
        <v>1103</v>
      </c>
      <c r="C1018" s="152" t="s">
        <v>1106</v>
      </c>
      <c r="D1018" s="103"/>
      <c r="E1018" s="104">
        <v>12500</v>
      </c>
    </row>
    <row r="1019" spans="1:5" x14ac:dyDescent="0.25">
      <c r="A1019" s="100">
        <f t="shared" si="16"/>
        <v>4</v>
      </c>
      <c r="B1019" s="151" t="s">
        <v>1111</v>
      </c>
      <c r="C1019" s="152" t="s">
        <v>1107</v>
      </c>
      <c r="D1019" s="103"/>
      <c r="E1019" s="104">
        <v>102500</v>
      </c>
    </row>
    <row r="1020" spans="1:5" x14ac:dyDescent="0.25">
      <c r="A1020" s="100">
        <f t="shared" si="16"/>
        <v>5</v>
      </c>
      <c r="B1020" s="151" t="s">
        <v>1112</v>
      </c>
      <c r="C1020" s="152" t="s">
        <v>1108</v>
      </c>
      <c r="D1020" s="103"/>
      <c r="E1020" s="104">
        <v>22500</v>
      </c>
    </row>
    <row r="1021" spans="1:5" x14ac:dyDescent="0.25">
      <c r="A1021" s="100">
        <f t="shared" si="16"/>
        <v>6</v>
      </c>
      <c r="B1021" s="151" t="s">
        <v>1113</v>
      </c>
      <c r="C1021" s="152" t="s">
        <v>1109</v>
      </c>
      <c r="D1021" s="103"/>
      <c r="E1021" s="104">
        <v>42500</v>
      </c>
    </row>
    <row r="1022" spans="1:5" x14ac:dyDescent="0.25">
      <c r="A1022" s="100">
        <f t="shared" si="16"/>
        <v>7</v>
      </c>
      <c r="B1022" s="151" t="s">
        <v>1114</v>
      </c>
      <c r="C1022" s="152" t="s">
        <v>1110</v>
      </c>
      <c r="D1022" s="103"/>
      <c r="E1022" s="104">
        <v>5000</v>
      </c>
    </row>
    <row r="1023" spans="1:5" x14ac:dyDescent="0.25">
      <c r="A1023" s="100">
        <f t="shared" si="16"/>
        <v>8</v>
      </c>
      <c r="B1023" s="151" t="s">
        <v>1115</v>
      </c>
      <c r="C1023" s="152" t="s">
        <v>1123</v>
      </c>
      <c r="D1023" s="103"/>
      <c r="E1023" s="104">
        <v>5000</v>
      </c>
    </row>
    <row r="1024" spans="1:5" x14ac:dyDescent="0.25">
      <c r="A1024" s="100">
        <f t="shared" si="16"/>
        <v>9</v>
      </c>
      <c r="B1024" s="151" t="s">
        <v>1116</v>
      </c>
      <c r="C1024" s="152" t="s">
        <v>1124</v>
      </c>
      <c r="D1024" s="103"/>
      <c r="E1024" s="104">
        <v>5000</v>
      </c>
    </row>
    <row r="1025" spans="1:5" x14ac:dyDescent="0.25">
      <c r="A1025" s="100">
        <f t="shared" si="16"/>
        <v>10</v>
      </c>
      <c r="B1025" s="151" t="s">
        <v>1117</v>
      </c>
      <c r="C1025" s="152" t="s">
        <v>1125</v>
      </c>
      <c r="D1025" s="103"/>
      <c r="E1025" s="104">
        <v>5000</v>
      </c>
    </row>
    <row r="1026" spans="1:5" x14ac:dyDescent="0.25">
      <c r="A1026" s="100">
        <f t="shared" si="16"/>
        <v>11</v>
      </c>
      <c r="B1026" s="151" t="s">
        <v>1118</v>
      </c>
      <c r="C1026" s="152" t="s">
        <v>1126</v>
      </c>
      <c r="D1026" s="103"/>
      <c r="E1026" s="104">
        <v>12500</v>
      </c>
    </row>
    <row r="1027" spans="1:5" x14ac:dyDescent="0.25">
      <c r="A1027" s="100">
        <f t="shared" si="16"/>
        <v>12</v>
      </c>
      <c r="B1027" s="151" t="s">
        <v>1119</v>
      </c>
      <c r="C1027" s="152" t="s">
        <v>1127</v>
      </c>
      <c r="D1027" s="103"/>
      <c r="E1027" s="104">
        <v>5000</v>
      </c>
    </row>
    <row r="1028" spans="1:5" x14ac:dyDescent="0.25">
      <c r="A1028" s="100">
        <f t="shared" si="16"/>
        <v>13</v>
      </c>
      <c r="B1028" s="151" t="s">
        <v>1120</v>
      </c>
      <c r="C1028" s="152" t="s">
        <v>1128</v>
      </c>
      <c r="D1028" s="103"/>
      <c r="E1028" s="104">
        <v>5000</v>
      </c>
    </row>
    <row r="1029" spans="1:5" x14ac:dyDescent="0.25">
      <c r="A1029" s="100">
        <f t="shared" si="16"/>
        <v>14</v>
      </c>
      <c r="B1029" s="151" t="s">
        <v>1121</v>
      </c>
      <c r="C1029" s="152" t="s">
        <v>1129</v>
      </c>
      <c r="D1029" s="103"/>
      <c r="E1029" s="104">
        <v>5000</v>
      </c>
    </row>
    <row r="1030" spans="1:5" x14ac:dyDescent="0.25">
      <c r="A1030" s="100">
        <f t="shared" si="16"/>
        <v>15</v>
      </c>
      <c r="B1030" s="151" t="s">
        <v>1122</v>
      </c>
      <c r="C1030" s="152" t="s">
        <v>1130</v>
      </c>
      <c r="D1030" s="103"/>
      <c r="E1030" s="104">
        <v>5000</v>
      </c>
    </row>
    <row r="1031" spans="1:5" x14ac:dyDescent="0.25">
      <c r="A1031" s="100"/>
      <c r="B1031" s="151"/>
      <c r="C1031" s="152"/>
      <c r="D1031" s="103"/>
      <c r="E1031" s="104"/>
    </row>
    <row r="1032" spans="1:5" ht="15.75" thickBot="1" x14ac:dyDescent="0.3">
      <c r="A1032" s="105"/>
      <c r="B1032" s="240" t="s">
        <v>10</v>
      </c>
      <c r="C1032" s="241"/>
      <c r="D1032" s="242"/>
      <c r="E1032" s="106">
        <f>SUM(E1016:E1031)</f>
        <v>275000</v>
      </c>
    </row>
    <row r="1033" spans="1:5" x14ac:dyDescent="0.25">
      <c r="A1033" s="95"/>
      <c r="B1033" s="130"/>
      <c r="C1033" s="130"/>
      <c r="E1033" s="131"/>
    </row>
    <row r="1034" spans="1:5" x14ac:dyDescent="0.25">
      <c r="A1034" s="94"/>
      <c r="B1034" s="94"/>
      <c r="C1034" s="95"/>
      <c r="D1034" s="108" t="s">
        <v>1100</v>
      </c>
      <c r="E1034" s="94"/>
    </row>
    <row r="1035" spans="1:5" x14ac:dyDescent="0.25">
      <c r="D1035" s="108" t="s">
        <v>83</v>
      </c>
    </row>
    <row r="1061" spans="1:5" x14ac:dyDescent="0.25">
      <c r="A1061" s="93" t="s">
        <v>0</v>
      </c>
      <c r="B1061" s="129"/>
      <c r="C1061" s="129"/>
      <c r="D1061" s="129"/>
      <c r="E1061" s="129"/>
    </row>
    <row r="1062" spans="1:5" x14ac:dyDescent="0.25">
      <c r="A1062" s="93" t="s">
        <v>1</v>
      </c>
      <c r="B1062" s="94"/>
      <c r="C1062" s="95"/>
      <c r="D1062" s="94"/>
      <c r="E1062" s="94"/>
    </row>
    <row r="1063" spans="1:5" x14ac:dyDescent="0.25">
      <c r="A1063" s="93"/>
      <c r="B1063" s="94"/>
      <c r="C1063" s="95"/>
      <c r="D1063" s="94"/>
      <c r="E1063" s="94"/>
    </row>
    <row r="1064" spans="1:5" x14ac:dyDescent="0.25">
      <c r="A1064" s="96" t="s">
        <v>84</v>
      </c>
      <c r="B1064" s="96"/>
      <c r="C1064" s="96"/>
      <c r="D1064" s="96"/>
      <c r="E1064" s="96"/>
    </row>
    <row r="1065" spans="1:5" x14ac:dyDescent="0.25">
      <c r="A1065" s="238" t="s">
        <v>82</v>
      </c>
      <c r="B1065" s="239"/>
      <c r="C1065" s="239"/>
      <c r="D1065" s="239"/>
      <c r="E1065" s="239"/>
    </row>
    <row r="1066" spans="1:5" x14ac:dyDescent="0.25">
      <c r="A1066" s="95"/>
      <c r="B1066" s="95"/>
      <c r="C1066" s="95"/>
      <c r="D1066" s="95"/>
      <c r="E1066" s="95"/>
    </row>
    <row r="1067" spans="1:5" ht="15.75" thickBot="1" x14ac:dyDescent="0.3">
      <c r="A1067" s="94"/>
      <c r="B1067" s="94"/>
      <c r="C1067" s="95"/>
      <c r="D1067" s="94"/>
      <c r="E1067" s="109" t="s">
        <v>1131</v>
      </c>
    </row>
    <row r="1068" spans="1:5" x14ac:dyDescent="0.25">
      <c r="A1068" s="97" t="s">
        <v>16</v>
      </c>
      <c r="B1068" s="98" t="s">
        <v>79</v>
      </c>
      <c r="C1068" s="98" t="s">
        <v>80</v>
      </c>
      <c r="D1068" s="98" t="s">
        <v>77</v>
      </c>
      <c r="E1068" s="99" t="s">
        <v>10</v>
      </c>
    </row>
    <row r="1069" spans="1:5" x14ac:dyDescent="0.25">
      <c r="A1069" s="100">
        <v>1</v>
      </c>
      <c r="B1069" s="151" t="s">
        <v>1133</v>
      </c>
      <c r="C1069" s="152" t="s">
        <v>1139</v>
      </c>
      <c r="D1069" s="103"/>
      <c r="E1069" s="104">
        <v>32500</v>
      </c>
    </row>
    <row r="1070" spans="1:5" x14ac:dyDescent="0.25">
      <c r="A1070" s="100">
        <f>A1069+1</f>
        <v>2</v>
      </c>
      <c r="B1070" s="151" t="s">
        <v>1134</v>
      </c>
      <c r="C1070" s="152" t="s">
        <v>1140</v>
      </c>
      <c r="D1070" s="103"/>
      <c r="E1070" s="104">
        <v>32500</v>
      </c>
    </row>
    <row r="1071" spans="1:5" x14ac:dyDescent="0.25">
      <c r="A1071" s="100">
        <f t="shared" ref="A1071:A1091" si="17">A1070+1</f>
        <v>3</v>
      </c>
      <c r="B1071" s="151" t="s">
        <v>1135</v>
      </c>
      <c r="C1071" s="152" t="s">
        <v>1141</v>
      </c>
      <c r="D1071" s="103"/>
      <c r="E1071" s="104">
        <v>5000</v>
      </c>
    </row>
    <row r="1072" spans="1:5" x14ac:dyDescent="0.25">
      <c r="A1072" s="100">
        <f t="shared" si="17"/>
        <v>4</v>
      </c>
      <c r="B1072" s="151" t="s">
        <v>1136</v>
      </c>
      <c r="C1072" s="152" t="s">
        <v>1142</v>
      </c>
      <c r="D1072" s="103"/>
      <c r="E1072" s="104">
        <v>5000</v>
      </c>
    </row>
    <row r="1073" spans="1:5" x14ac:dyDescent="0.25">
      <c r="A1073" s="100">
        <f t="shared" si="17"/>
        <v>5</v>
      </c>
      <c r="B1073" s="151" t="s">
        <v>518</v>
      </c>
      <c r="C1073" s="152" t="s">
        <v>1143</v>
      </c>
      <c r="D1073" s="103"/>
      <c r="E1073" s="104">
        <v>22500</v>
      </c>
    </row>
    <row r="1074" spans="1:5" x14ac:dyDescent="0.25">
      <c r="A1074" s="100">
        <f t="shared" si="17"/>
        <v>6</v>
      </c>
      <c r="B1074" s="151" t="s">
        <v>1137</v>
      </c>
      <c r="C1074" s="152" t="s">
        <v>1144</v>
      </c>
      <c r="D1074" s="103"/>
      <c r="E1074" s="104">
        <v>5000</v>
      </c>
    </row>
    <row r="1075" spans="1:5" x14ac:dyDescent="0.25">
      <c r="A1075" s="100">
        <f t="shared" si="17"/>
        <v>7</v>
      </c>
      <c r="B1075" s="151" t="s">
        <v>1138</v>
      </c>
      <c r="C1075" s="152" t="s">
        <v>1145</v>
      </c>
      <c r="D1075" s="103"/>
      <c r="E1075" s="104">
        <v>5000</v>
      </c>
    </row>
    <row r="1076" spans="1:5" x14ac:dyDescent="0.25">
      <c r="A1076" s="100">
        <f t="shared" si="17"/>
        <v>8</v>
      </c>
      <c r="B1076" s="151" t="s">
        <v>1153</v>
      </c>
      <c r="C1076" s="152" t="s">
        <v>1064</v>
      </c>
      <c r="D1076" s="103"/>
      <c r="E1076" s="104">
        <v>5000</v>
      </c>
    </row>
    <row r="1077" spans="1:5" x14ac:dyDescent="0.25">
      <c r="A1077" s="100">
        <f t="shared" si="17"/>
        <v>9</v>
      </c>
      <c r="B1077" s="151" t="s">
        <v>1154</v>
      </c>
      <c r="C1077" s="152" t="s">
        <v>1146</v>
      </c>
      <c r="D1077" s="103"/>
      <c r="E1077" s="104">
        <v>12500</v>
      </c>
    </row>
    <row r="1078" spans="1:5" x14ac:dyDescent="0.25">
      <c r="A1078" s="100">
        <f t="shared" si="17"/>
        <v>10</v>
      </c>
      <c r="B1078" s="151" t="s">
        <v>1155</v>
      </c>
      <c r="C1078" s="152" t="s">
        <v>1147</v>
      </c>
      <c r="D1078" s="103"/>
      <c r="E1078" s="104">
        <v>12500</v>
      </c>
    </row>
    <row r="1079" spans="1:5" x14ac:dyDescent="0.25">
      <c r="A1079" s="100">
        <f t="shared" si="17"/>
        <v>11</v>
      </c>
      <c r="B1079" s="151" t="s">
        <v>1156</v>
      </c>
      <c r="C1079" s="152" t="s">
        <v>1148</v>
      </c>
      <c r="D1079" s="103"/>
      <c r="E1079" s="104">
        <v>72500</v>
      </c>
    </row>
    <row r="1080" spans="1:5" x14ac:dyDescent="0.25">
      <c r="A1080" s="100">
        <f t="shared" si="17"/>
        <v>12</v>
      </c>
      <c r="B1080" s="151" t="s">
        <v>1157</v>
      </c>
      <c r="C1080" s="152" t="s">
        <v>1149</v>
      </c>
      <c r="D1080" s="103"/>
      <c r="E1080" s="104">
        <v>12500</v>
      </c>
    </row>
    <row r="1081" spans="1:5" x14ac:dyDescent="0.25">
      <c r="A1081" s="100">
        <f t="shared" si="17"/>
        <v>13</v>
      </c>
      <c r="B1081" s="151" t="s">
        <v>1158</v>
      </c>
      <c r="C1081" s="152" t="s">
        <v>1150</v>
      </c>
      <c r="D1081" s="103"/>
      <c r="E1081" s="104">
        <v>10000</v>
      </c>
    </row>
    <row r="1082" spans="1:5" x14ac:dyDescent="0.25">
      <c r="A1082" s="100">
        <f t="shared" si="17"/>
        <v>14</v>
      </c>
      <c r="B1082" s="151" t="s">
        <v>784</v>
      </c>
      <c r="C1082" s="152" t="s">
        <v>1151</v>
      </c>
      <c r="D1082" s="103"/>
      <c r="E1082" s="104">
        <v>5000</v>
      </c>
    </row>
    <row r="1083" spans="1:5" x14ac:dyDescent="0.25">
      <c r="A1083" s="100">
        <f t="shared" si="17"/>
        <v>15</v>
      </c>
      <c r="B1083" s="151" t="s">
        <v>1159</v>
      </c>
      <c r="C1083" s="152" t="s">
        <v>1152</v>
      </c>
      <c r="D1083" s="103"/>
      <c r="E1083" s="104">
        <v>5000</v>
      </c>
    </row>
    <row r="1084" spans="1:5" x14ac:dyDescent="0.25">
      <c r="A1084" s="100">
        <f t="shared" si="17"/>
        <v>16</v>
      </c>
      <c r="B1084" s="151" t="s">
        <v>1160</v>
      </c>
      <c r="C1084" s="152" t="s">
        <v>1166</v>
      </c>
      <c r="D1084" s="103"/>
      <c r="E1084" s="104">
        <v>5000</v>
      </c>
    </row>
    <row r="1085" spans="1:5" x14ac:dyDescent="0.25">
      <c r="A1085" s="100">
        <f t="shared" si="17"/>
        <v>17</v>
      </c>
      <c r="B1085" s="151" t="s">
        <v>1161</v>
      </c>
      <c r="C1085" s="152" t="s">
        <v>1167</v>
      </c>
      <c r="D1085" s="103"/>
      <c r="E1085" s="104">
        <v>5000</v>
      </c>
    </row>
    <row r="1086" spans="1:5" x14ac:dyDescent="0.25">
      <c r="A1086" s="100">
        <f t="shared" si="17"/>
        <v>18</v>
      </c>
      <c r="B1086" s="151" t="s">
        <v>1162</v>
      </c>
      <c r="C1086" s="152" t="s">
        <v>1168</v>
      </c>
      <c r="D1086" s="103"/>
      <c r="E1086" s="104">
        <v>5000</v>
      </c>
    </row>
    <row r="1087" spans="1:5" x14ac:dyDescent="0.25">
      <c r="A1087" s="100">
        <f t="shared" si="17"/>
        <v>19</v>
      </c>
      <c r="B1087" s="151" t="s">
        <v>1173</v>
      </c>
      <c r="C1087" s="152" t="s">
        <v>1169</v>
      </c>
      <c r="D1087" s="103"/>
      <c r="E1087" s="104">
        <v>12500</v>
      </c>
    </row>
    <row r="1088" spans="1:5" x14ac:dyDescent="0.25">
      <c r="A1088" s="100">
        <f t="shared" si="17"/>
        <v>20</v>
      </c>
      <c r="B1088" s="151" t="s">
        <v>1163</v>
      </c>
      <c r="C1088" s="152" t="s">
        <v>1170</v>
      </c>
      <c r="D1088" s="103"/>
      <c r="E1088" s="104">
        <v>5000</v>
      </c>
    </row>
    <row r="1089" spans="1:5" x14ac:dyDescent="0.25">
      <c r="A1089" s="100">
        <f t="shared" si="17"/>
        <v>21</v>
      </c>
      <c r="B1089" s="151" t="s">
        <v>1164</v>
      </c>
      <c r="C1089" s="152" t="s">
        <v>1171</v>
      </c>
      <c r="D1089" s="103"/>
      <c r="E1089" s="104">
        <v>12500</v>
      </c>
    </row>
    <row r="1090" spans="1:5" x14ac:dyDescent="0.25">
      <c r="A1090" s="100">
        <f t="shared" si="17"/>
        <v>22</v>
      </c>
      <c r="B1090" s="151" t="s">
        <v>1165</v>
      </c>
      <c r="C1090" s="152" t="s">
        <v>1172</v>
      </c>
      <c r="D1090" s="103"/>
      <c r="E1090" s="104">
        <v>12500</v>
      </c>
    </row>
    <row r="1091" spans="1:5" x14ac:dyDescent="0.25">
      <c r="A1091" s="100">
        <f t="shared" si="17"/>
        <v>23</v>
      </c>
      <c r="B1091" s="151" t="s">
        <v>1175</v>
      </c>
      <c r="C1091" s="152" t="s">
        <v>1174</v>
      </c>
      <c r="D1091" s="103"/>
      <c r="E1091" s="104">
        <v>7500</v>
      </c>
    </row>
    <row r="1092" spans="1:5" x14ac:dyDescent="0.25">
      <c r="A1092" s="100"/>
      <c r="B1092" s="151"/>
      <c r="C1092" s="152"/>
      <c r="D1092" s="103"/>
      <c r="E1092" s="104"/>
    </row>
    <row r="1093" spans="1:5" ht="15.75" thickBot="1" x14ac:dyDescent="0.3">
      <c r="A1093" s="105"/>
      <c r="B1093" s="240" t="s">
        <v>10</v>
      </c>
      <c r="C1093" s="241"/>
      <c r="D1093" s="242"/>
      <c r="E1093" s="106">
        <f>SUM(E1069:E1092)</f>
        <v>307500</v>
      </c>
    </row>
    <row r="1094" spans="1:5" x14ac:dyDescent="0.25">
      <c r="A1094" s="95"/>
      <c r="B1094" s="130"/>
      <c r="C1094" s="130"/>
      <c r="E1094" s="131"/>
    </row>
    <row r="1095" spans="1:5" x14ac:dyDescent="0.25">
      <c r="A1095" s="94"/>
      <c r="B1095" s="94"/>
      <c r="C1095" s="95"/>
      <c r="D1095" s="108" t="s">
        <v>1132</v>
      </c>
      <c r="E1095" s="94"/>
    </row>
    <row r="1096" spans="1:5" x14ac:dyDescent="0.25">
      <c r="D1096" s="108" t="s">
        <v>83</v>
      </c>
    </row>
    <row r="1114" spans="1:5" x14ac:dyDescent="0.25">
      <c r="A1114" s="93" t="s">
        <v>0</v>
      </c>
      <c r="B1114" s="129"/>
      <c r="C1114" s="129"/>
      <c r="D1114" s="129"/>
      <c r="E1114" s="129"/>
    </row>
    <row r="1115" spans="1:5" x14ac:dyDescent="0.25">
      <c r="A1115" s="93" t="s">
        <v>1</v>
      </c>
      <c r="B1115" s="94"/>
      <c r="C1115" s="95"/>
      <c r="D1115" s="94"/>
      <c r="E1115" s="94"/>
    </row>
    <row r="1116" spans="1:5" x14ac:dyDescent="0.25">
      <c r="A1116" s="93"/>
      <c r="B1116" s="94"/>
      <c r="C1116" s="95"/>
      <c r="D1116" s="94"/>
      <c r="E1116" s="94"/>
    </row>
    <row r="1117" spans="1:5" x14ac:dyDescent="0.25">
      <c r="A1117" s="96" t="s">
        <v>84</v>
      </c>
      <c r="B1117" s="96"/>
      <c r="C1117" s="96"/>
      <c r="D1117" s="96"/>
      <c r="E1117" s="96"/>
    </row>
    <row r="1118" spans="1:5" x14ac:dyDescent="0.25">
      <c r="A1118" s="238" t="s">
        <v>82</v>
      </c>
      <c r="B1118" s="239"/>
      <c r="C1118" s="239"/>
      <c r="D1118" s="239"/>
      <c r="E1118" s="239"/>
    </row>
    <row r="1119" spans="1:5" x14ac:dyDescent="0.25">
      <c r="A1119" s="95"/>
      <c r="B1119" s="95"/>
      <c r="C1119" s="95"/>
      <c r="D1119" s="95"/>
      <c r="E1119" s="95"/>
    </row>
    <row r="1120" spans="1:5" ht="15.75" thickBot="1" x14ac:dyDescent="0.3">
      <c r="A1120" s="94"/>
      <c r="B1120" s="94"/>
      <c r="C1120" s="95"/>
      <c r="D1120" s="94"/>
      <c r="E1120" s="109" t="s">
        <v>1176</v>
      </c>
    </row>
    <row r="1121" spans="1:5" x14ac:dyDescent="0.25">
      <c r="A1121" s="97" t="s">
        <v>16</v>
      </c>
      <c r="B1121" s="98" t="s">
        <v>79</v>
      </c>
      <c r="C1121" s="98" t="s">
        <v>80</v>
      </c>
      <c r="D1121" s="98" t="s">
        <v>77</v>
      </c>
      <c r="E1121" s="99" t="s">
        <v>10</v>
      </c>
    </row>
    <row r="1122" spans="1:5" x14ac:dyDescent="0.25">
      <c r="A1122" s="100">
        <v>1</v>
      </c>
      <c r="B1122" s="151" t="s">
        <v>1201</v>
      </c>
      <c r="C1122" s="152" t="s">
        <v>1214</v>
      </c>
      <c r="D1122" s="103"/>
      <c r="E1122" s="104">
        <v>22500</v>
      </c>
    </row>
    <row r="1123" spans="1:5" x14ac:dyDescent="0.25">
      <c r="A1123" s="100">
        <f>A1122+1</f>
        <v>2</v>
      </c>
      <c r="B1123" s="151" t="s">
        <v>1202</v>
      </c>
      <c r="C1123" s="152" t="s">
        <v>1215</v>
      </c>
      <c r="D1123" s="103"/>
      <c r="E1123" s="104">
        <v>37500</v>
      </c>
    </row>
    <row r="1124" spans="1:5" x14ac:dyDescent="0.25">
      <c r="A1124" s="100">
        <f t="shared" ref="A1124:A1167" si="18">A1123+1</f>
        <v>3</v>
      </c>
      <c r="B1124" s="151" t="s">
        <v>1203</v>
      </c>
      <c r="C1124" s="152" t="s">
        <v>1216</v>
      </c>
      <c r="D1124" s="103"/>
      <c r="E1124" s="104">
        <v>5000</v>
      </c>
    </row>
    <row r="1125" spans="1:5" x14ac:dyDescent="0.25">
      <c r="A1125" s="100">
        <f t="shared" si="18"/>
        <v>4</v>
      </c>
      <c r="B1125" s="151" t="s">
        <v>1204</v>
      </c>
      <c r="C1125" s="152" t="s">
        <v>1217</v>
      </c>
      <c r="D1125" s="103"/>
      <c r="E1125" s="104">
        <v>5000</v>
      </c>
    </row>
    <row r="1126" spans="1:5" x14ac:dyDescent="0.25">
      <c r="A1126" s="100">
        <f t="shared" si="18"/>
        <v>5</v>
      </c>
      <c r="B1126" s="151" t="s">
        <v>1205</v>
      </c>
      <c r="C1126" s="152" t="s">
        <v>1218</v>
      </c>
      <c r="D1126" s="103"/>
      <c r="E1126" s="104">
        <v>5000</v>
      </c>
    </row>
    <row r="1127" spans="1:5" x14ac:dyDescent="0.25">
      <c r="A1127" s="100">
        <f t="shared" si="18"/>
        <v>6</v>
      </c>
      <c r="B1127" s="151" t="s">
        <v>1206</v>
      </c>
      <c r="C1127" s="152" t="s">
        <v>1219</v>
      </c>
      <c r="D1127" s="103"/>
      <c r="E1127" s="104">
        <v>5000</v>
      </c>
    </row>
    <row r="1128" spans="1:5" x14ac:dyDescent="0.25">
      <c r="A1128" s="100">
        <f t="shared" si="18"/>
        <v>7</v>
      </c>
      <c r="B1128" s="151" t="s">
        <v>1207</v>
      </c>
      <c r="C1128" s="152" t="s">
        <v>1220</v>
      </c>
      <c r="D1128" s="103"/>
      <c r="E1128" s="104">
        <v>40000</v>
      </c>
    </row>
    <row r="1129" spans="1:5" x14ac:dyDescent="0.25">
      <c r="A1129" s="100">
        <f t="shared" si="18"/>
        <v>8</v>
      </c>
      <c r="B1129" s="151" t="s">
        <v>1208</v>
      </c>
      <c r="C1129" s="152" t="s">
        <v>1221</v>
      </c>
      <c r="D1129" s="103"/>
      <c r="E1129" s="104">
        <v>22500</v>
      </c>
    </row>
    <row r="1130" spans="1:5" x14ac:dyDescent="0.25">
      <c r="A1130" s="100">
        <f t="shared" si="18"/>
        <v>9</v>
      </c>
      <c r="B1130" s="151" t="s">
        <v>1209</v>
      </c>
      <c r="C1130" s="152" t="s">
        <v>1222</v>
      </c>
      <c r="D1130" s="103"/>
      <c r="E1130" s="104">
        <v>22500</v>
      </c>
    </row>
    <row r="1131" spans="1:5" x14ac:dyDescent="0.25">
      <c r="A1131" s="100">
        <f t="shared" si="18"/>
        <v>10</v>
      </c>
      <c r="B1131" s="151" t="s">
        <v>1210</v>
      </c>
      <c r="C1131" s="152" t="s">
        <v>1223</v>
      </c>
      <c r="D1131" s="103"/>
      <c r="E1131" s="104">
        <v>12500</v>
      </c>
    </row>
    <row r="1132" spans="1:5" x14ac:dyDescent="0.25">
      <c r="A1132" s="100">
        <f t="shared" si="18"/>
        <v>11</v>
      </c>
      <c r="B1132" s="151" t="s">
        <v>1211</v>
      </c>
      <c r="C1132" s="152" t="s">
        <v>1224</v>
      </c>
      <c r="D1132" s="103"/>
      <c r="E1132" s="104">
        <v>22500</v>
      </c>
    </row>
    <row r="1133" spans="1:5" x14ac:dyDescent="0.25">
      <c r="A1133" s="100">
        <f t="shared" si="18"/>
        <v>12</v>
      </c>
      <c r="B1133" s="151" t="s">
        <v>1212</v>
      </c>
      <c r="C1133" s="152" t="s">
        <v>1225</v>
      </c>
      <c r="D1133" s="103"/>
      <c r="E1133" s="104">
        <v>5000</v>
      </c>
    </row>
    <row r="1134" spans="1:5" x14ac:dyDescent="0.25">
      <c r="A1134" s="100">
        <f t="shared" si="18"/>
        <v>13</v>
      </c>
      <c r="B1134" s="151" t="s">
        <v>1213</v>
      </c>
      <c r="C1134" s="152" t="s">
        <v>1226</v>
      </c>
      <c r="D1134" s="103"/>
      <c r="E1134" s="104">
        <v>22500</v>
      </c>
    </row>
    <row r="1135" spans="1:5" x14ac:dyDescent="0.25">
      <c r="A1135" s="100">
        <f t="shared" si="18"/>
        <v>14</v>
      </c>
      <c r="B1135" s="151" t="s">
        <v>1254</v>
      </c>
      <c r="C1135" s="152" t="s">
        <v>1227</v>
      </c>
      <c r="D1135" s="103"/>
      <c r="E1135" s="104">
        <v>5000</v>
      </c>
    </row>
    <row r="1136" spans="1:5" x14ac:dyDescent="0.25">
      <c r="A1136" s="100">
        <f t="shared" si="18"/>
        <v>15</v>
      </c>
      <c r="B1136" s="151" t="s">
        <v>1255</v>
      </c>
      <c r="C1136" s="152" t="s">
        <v>1228</v>
      </c>
      <c r="D1136" s="103"/>
      <c r="E1136" s="104">
        <v>12500</v>
      </c>
    </row>
    <row r="1137" spans="1:5" x14ac:dyDescent="0.25">
      <c r="A1137" s="100">
        <f t="shared" si="18"/>
        <v>16</v>
      </c>
      <c r="B1137" s="151" t="s">
        <v>1256</v>
      </c>
      <c r="C1137" s="152" t="s">
        <v>1229</v>
      </c>
      <c r="D1137" s="103"/>
      <c r="E1137" s="104">
        <v>22500</v>
      </c>
    </row>
    <row r="1138" spans="1:5" x14ac:dyDescent="0.25">
      <c r="A1138" s="100">
        <f t="shared" si="18"/>
        <v>17</v>
      </c>
      <c r="B1138" s="151" t="s">
        <v>1257</v>
      </c>
      <c r="C1138" s="152" t="s">
        <v>1230</v>
      </c>
      <c r="D1138" s="103"/>
      <c r="E1138" s="104">
        <v>5000</v>
      </c>
    </row>
    <row r="1139" spans="1:5" x14ac:dyDescent="0.25">
      <c r="A1139" s="100">
        <f t="shared" si="18"/>
        <v>18</v>
      </c>
      <c r="B1139" s="151" t="s">
        <v>1258</v>
      </c>
      <c r="C1139" s="152" t="s">
        <v>1231</v>
      </c>
      <c r="D1139" s="103"/>
      <c r="E1139" s="104">
        <v>5000</v>
      </c>
    </row>
    <row r="1140" spans="1:5" x14ac:dyDescent="0.25">
      <c r="A1140" s="100">
        <f t="shared" si="18"/>
        <v>19</v>
      </c>
      <c r="B1140" s="151" t="s">
        <v>1259</v>
      </c>
      <c r="C1140" s="152" t="s">
        <v>1232</v>
      </c>
      <c r="D1140" s="103"/>
      <c r="E1140" s="104">
        <v>5000</v>
      </c>
    </row>
    <row r="1141" spans="1:5" x14ac:dyDescent="0.25">
      <c r="A1141" s="100">
        <f t="shared" si="18"/>
        <v>20</v>
      </c>
      <c r="B1141" s="151" t="s">
        <v>1260</v>
      </c>
      <c r="C1141" s="152" t="s">
        <v>1233</v>
      </c>
      <c r="D1141" s="103"/>
      <c r="E1141" s="104">
        <v>5000</v>
      </c>
    </row>
    <row r="1142" spans="1:5" x14ac:dyDescent="0.25">
      <c r="A1142" s="100">
        <f t="shared" si="18"/>
        <v>21</v>
      </c>
      <c r="B1142" s="151" t="s">
        <v>1261</v>
      </c>
      <c r="C1142" s="152" t="s">
        <v>1234</v>
      </c>
      <c r="D1142" s="103"/>
      <c r="E1142" s="104">
        <v>5000</v>
      </c>
    </row>
    <row r="1143" spans="1:5" x14ac:dyDescent="0.25">
      <c r="A1143" s="100">
        <f t="shared" si="18"/>
        <v>22</v>
      </c>
      <c r="B1143" s="151" t="s">
        <v>1262</v>
      </c>
      <c r="C1143" s="152" t="s">
        <v>1235</v>
      </c>
      <c r="D1143" s="103"/>
      <c r="E1143" s="104">
        <v>22500</v>
      </c>
    </row>
    <row r="1144" spans="1:5" x14ac:dyDescent="0.25">
      <c r="A1144" s="100">
        <f t="shared" si="18"/>
        <v>23</v>
      </c>
      <c r="B1144" s="151" t="s">
        <v>1263</v>
      </c>
      <c r="C1144" s="152" t="s">
        <v>1236</v>
      </c>
      <c r="D1144" s="103"/>
      <c r="E1144" s="104">
        <v>5000</v>
      </c>
    </row>
    <row r="1145" spans="1:5" x14ac:dyDescent="0.25">
      <c r="A1145" s="100">
        <f t="shared" si="18"/>
        <v>24</v>
      </c>
      <c r="B1145" s="151" t="s">
        <v>1264</v>
      </c>
      <c r="C1145" s="152" t="s">
        <v>1237</v>
      </c>
      <c r="D1145" s="103"/>
      <c r="E1145" s="104">
        <v>22500</v>
      </c>
    </row>
    <row r="1146" spans="1:5" x14ac:dyDescent="0.25">
      <c r="A1146" s="100">
        <f t="shared" si="18"/>
        <v>25</v>
      </c>
      <c r="B1146" s="151" t="s">
        <v>1265</v>
      </c>
      <c r="C1146" s="152" t="s">
        <v>1238</v>
      </c>
      <c r="D1146" s="103"/>
      <c r="E1146" s="104">
        <v>12500</v>
      </c>
    </row>
    <row r="1147" spans="1:5" x14ac:dyDescent="0.25">
      <c r="A1147" s="100">
        <f t="shared" si="18"/>
        <v>26</v>
      </c>
      <c r="B1147" s="151" t="s">
        <v>1074</v>
      </c>
      <c r="C1147" s="152" t="s">
        <v>1239</v>
      </c>
      <c r="D1147" s="103"/>
      <c r="E1147" s="104">
        <v>5000</v>
      </c>
    </row>
    <row r="1148" spans="1:5" x14ac:dyDescent="0.25">
      <c r="A1148" s="100">
        <f t="shared" si="18"/>
        <v>27</v>
      </c>
      <c r="B1148" s="151" t="s">
        <v>1266</v>
      </c>
      <c r="C1148" s="152" t="s">
        <v>1240</v>
      </c>
      <c r="D1148" s="103"/>
      <c r="E1148" s="104">
        <v>12500</v>
      </c>
    </row>
    <row r="1149" spans="1:5" x14ac:dyDescent="0.25">
      <c r="A1149" s="100">
        <f t="shared" si="18"/>
        <v>28</v>
      </c>
      <c r="B1149" s="151" t="s">
        <v>1267</v>
      </c>
      <c r="C1149" s="152" t="s">
        <v>1241</v>
      </c>
      <c r="D1149" s="103"/>
      <c r="E1149" s="104">
        <v>5000</v>
      </c>
    </row>
    <row r="1150" spans="1:5" x14ac:dyDescent="0.25">
      <c r="A1150" s="100">
        <f t="shared" si="18"/>
        <v>29</v>
      </c>
      <c r="B1150" s="151" t="s">
        <v>496</v>
      </c>
      <c r="C1150" s="152" t="s">
        <v>1242</v>
      </c>
      <c r="D1150" s="103"/>
      <c r="E1150" s="104">
        <v>5000</v>
      </c>
    </row>
    <row r="1151" spans="1:5" x14ac:dyDescent="0.25">
      <c r="A1151" s="100">
        <f t="shared" si="18"/>
        <v>30</v>
      </c>
      <c r="B1151" s="151" t="s">
        <v>1268</v>
      </c>
      <c r="C1151" s="152" t="s">
        <v>1243</v>
      </c>
      <c r="D1151" s="103"/>
      <c r="E1151" s="104">
        <v>12500</v>
      </c>
    </row>
    <row r="1152" spans="1:5" x14ac:dyDescent="0.25">
      <c r="A1152" s="100">
        <f t="shared" si="18"/>
        <v>31</v>
      </c>
      <c r="B1152" s="151" t="s">
        <v>1269</v>
      </c>
      <c r="C1152" s="152" t="s">
        <v>1244</v>
      </c>
      <c r="D1152" s="103"/>
      <c r="E1152" s="104">
        <v>12500</v>
      </c>
    </row>
    <row r="1153" spans="1:5" x14ac:dyDescent="0.25">
      <c r="A1153" s="100">
        <f t="shared" si="18"/>
        <v>32</v>
      </c>
      <c r="B1153" s="151" t="s">
        <v>1270</v>
      </c>
      <c r="C1153" s="152" t="s">
        <v>1245</v>
      </c>
      <c r="D1153" s="103"/>
      <c r="E1153" s="104">
        <v>5000</v>
      </c>
    </row>
    <row r="1154" spans="1:5" x14ac:dyDescent="0.25">
      <c r="A1154" s="100">
        <f t="shared" si="18"/>
        <v>33</v>
      </c>
      <c r="B1154" s="151" t="s">
        <v>1271</v>
      </c>
      <c r="C1154" s="152" t="s">
        <v>1246</v>
      </c>
      <c r="D1154" s="103"/>
      <c r="E1154" s="104">
        <v>5000</v>
      </c>
    </row>
    <row r="1155" spans="1:5" x14ac:dyDescent="0.25">
      <c r="A1155" s="100">
        <f t="shared" si="18"/>
        <v>34</v>
      </c>
      <c r="B1155" s="151" t="s">
        <v>996</v>
      </c>
      <c r="C1155" s="152" t="s">
        <v>1247</v>
      </c>
      <c r="D1155" s="103"/>
      <c r="E1155" s="104">
        <v>20000</v>
      </c>
    </row>
    <row r="1156" spans="1:5" x14ac:dyDescent="0.25">
      <c r="A1156" s="100">
        <f t="shared" si="18"/>
        <v>35</v>
      </c>
      <c r="B1156" s="151" t="s">
        <v>1272</v>
      </c>
      <c r="C1156" s="152" t="s">
        <v>1248</v>
      </c>
      <c r="D1156" s="103"/>
      <c r="E1156" s="104">
        <v>22500</v>
      </c>
    </row>
    <row r="1157" spans="1:5" x14ac:dyDescent="0.25">
      <c r="A1157" s="100">
        <f t="shared" si="18"/>
        <v>36</v>
      </c>
      <c r="B1157" s="151" t="s">
        <v>1273</v>
      </c>
      <c r="C1157" s="152" t="s">
        <v>1249</v>
      </c>
      <c r="D1157" s="103"/>
      <c r="E1157" s="104">
        <v>5000</v>
      </c>
    </row>
    <row r="1158" spans="1:5" x14ac:dyDescent="0.25">
      <c r="A1158" s="100">
        <f t="shared" si="18"/>
        <v>37</v>
      </c>
      <c r="B1158" s="151" t="s">
        <v>1274</v>
      </c>
      <c r="C1158" s="152" t="s">
        <v>1250</v>
      </c>
      <c r="D1158" s="103"/>
      <c r="E1158" s="104">
        <v>5000</v>
      </c>
    </row>
    <row r="1159" spans="1:5" x14ac:dyDescent="0.25">
      <c r="A1159" s="100">
        <f t="shared" si="18"/>
        <v>38</v>
      </c>
      <c r="B1159" s="151" t="s">
        <v>1275</v>
      </c>
      <c r="C1159" s="152" t="s">
        <v>1251</v>
      </c>
      <c r="D1159" s="103"/>
      <c r="E1159" s="104">
        <v>5000</v>
      </c>
    </row>
    <row r="1160" spans="1:5" x14ac:dyDescent="0.25">
      <c r="A1160" s="100">
        <f t="shared" si="18"/>
        <v>39</v>
      </c>
      <c r="B1160" s="151" t="s">
        <v>1276</v>
      </c>
      <c r="C1160" s="152" t="s">
        <v>1252</v>
      </c>
      <c r="D1160" s="103"/>
      <c r="E1160" s="104">
        <v>5000</v>
      </c>
    </row>
    <row r="1161" spans="1:5" x14ac:dyDescent="0.25">
      <c r="A1161" s="100">
        <f t="shared" si="18"/>
        <v>40</v>
      </c>
      <c r="B1161" s="151" t="s">
        <v>1277</v>
      </c>
      <c r="C1161" s="152" t="s">
        <v>1253</v>
      </c>
      <c r="D1161" s="103"/>
      <c r="E1161" s="104">
        <v>22500</v>
      </c>
    </row>
    <row r="1162" spans="1:5" x14ac:dyDescent="0.25">
      <c r="A1162" s="100">
        <f t="shared" si="18"/>
        <v>41</v>
      </c>
      <c r="B1162" s="151" t="s">
        <v>314</v>
      </c>
      <c r="C1162" s="152" t="s">
        <v>1278</v>
      </c>
      <c r="D1162" s="103"/>
      <c r="E1162" s="104">
        <v>5000</v>
      </c>
    </row>
    <row r="1163" spans="1:5" x14ac:dyDescent="0.25">
      <c r="A1163" s="100">
        <f t="shared" si="18"/>
        <v>42</v>
      </c>
      <c r="B1163" s="151" t="s">
        <v>1284</v>
      </c>
      <c r="C1163" s="152" t="s">
        <v>1279</v>
      </c>
      <c r="D1163" s="103"/>
      <c r="E1163" s="104">
        <v>12500</v>
      </c>
    </row>
    <row r="1164" spans="1:5" x14ac:dyDescent="0.25">
      <c r="A1164" s="100">
        <f t="shared" si="18"/>
        <v>43</v>
      </c>
      <c r="B1164" s="151" t="s">
        <v>1285</v>
      </c>
      <c r="C1164" s="152" t="s">
        <v>1280</v>
      </c>
      <c r="D1164" s="103"/>
      <c r="E1164" s="104">
        <v>12500</v>
      </c>
    </row>
    <row r="1165" spans="1:5" x14ac:dyDescent="0.25">
      <c r="A1165" s="100">
        <f t="shared" si="18"/>
        <v>44</v>
      </c>
      <c r="B1165" s="151" t="s">
        <v>1286</v>
      </c>
      <c r="C1165" s="152" t="s">
        <v>1281</v>
      </c>
      <c r="D1165" s="103"/>
      <c r="E1165" s="104">
        <v>12500</v>
      </c>
    </row>
    <row r="1166" spans="1:5" x14ac:dyDescent="0.25">
      <c r="A1166" s="100">
        <f t="shared" si="18"/>
        <v>45</v>
      </c>
      <c r="B1166" s="151" t="s">
        <v>1287</v>
      </c>
      <c r="C1166" s="152" t="s">
        <v>1282</v>
      </c>
      <c r="D1166" s="103"/>
      <c r="E1166" s="104">
        <v>12500</v>
      </c>
    </row>
    <row r="1167" spans="1:5" x14ac:dyDescent="0.25">
      <c r="A1167" s="100">
        <f t="shared" si="18"/>
        <v>46</v>
      </c>
      <c r="B1167" s="151" t="s">
        <v>1288</v>
      </c>
      <c r="C1167" s="152" t="s">
        <v>1283</v>
      </c>
      <c r="D1167" s="103"/>
      <c r="E1167" s="104">
        <v>12500</v>
      </c>
    </row>
    <row r="1168" spans="1:5" x14ac:dyDescent="0.25">
      <c r="A1168" s="100"/>
      <c r="B1168" s="151"/>
      <c r="C1168" s="152"/>
      <c r="D1168" s="103"/>
      <c r="E1168" s="104"/>
    </row>
    <row r="1169" spans="1:5" ht="15.75" thickBot="1" x14ac:dyDescent="0.3">
      <c r="A1169" s="105"/>
      <c r="B1169" s="240" t="s">
        <v>10</v>
      </c>
      <c r="C1169" s="241"/>
      <c r="D1169" s="242"/>
      <c r="E1169" s="106">
        <f>SUM(E1122:E1168)</f>
        <v>570000</v>
      </c>
    </row>
    <row r="1170" spans="1:5" x14ac:dyDescent="0.25">
      <c r="A1170" s="95"/>
      <c r="B1170" s="130"/>
      <c r="C1170" s="130"/>
      <c r="E1170" s="131"/>
    </row>
    <row r="1171" spans="1:5" x14ac:dyDescent="0.25">
      <c r="A1171" s="94"/>
      <c r="B1171" s="94"/>
      <c r="C1171" s="95"/>
      <c r="D1171" s="108" t="s">
        <v>1177</v>
      </c>
      <c r="E1171" s="94"/>
    </row>
    <row r="1172" spans="1:5" x14ac:dyDescent="0.25">
      <c r="D1172" s="108" t="s">
        <v>83</v>
      </c>
    </row>
    <row r="1220" spans="1:5" x14ac:dyDescent="0.25">
      <c r="A1220" s="93" t="s">
        <v>0</v>
      </c>
      <c r="B1220" s="129"/>
      <c r="C1220" s="129"/>
      <c r="D1220" s="129"/>
      <c r="E1220" s="129"/>
    </row>
    <row r="1221" spans="1:5" x14ac:dyDescent="0.25">
      <c r="A1221" s="93" t="s">
        <v>1</v>
      </c>
      <c r="B1221" s="94"/>
      <c r="C1221" s="95"/>
      <c r="D1221" s="94"/>
      <c r="E1221" s="94"/>
    </row>
    <row r="1222" spans="1:5" x14ac:dyDescent="0.25">
      <c r="A1222" s="93"/>
      <c r="B1222" s="94"/>
      <c r="C1222" s="95"/>
      <c r="D1222" s="94"/>
      <c r="E1222" s="94"/>
    </row>
    <row r="1223" spans="1:5" x14ac:dyDescent="0.25">
      <c r="A1223" s="96" t="s">
        <v>84</v>
      </c>
      <c r="B1223" s="96"/>
      <c r="C1223" s="96"/>
      <c r="D1223" s="96"/>
      <c r="E1223" s="96"/>
    </row>
    <row r="1224" spans="1:5" x14ac:dyDescent="0.25">
      <c r="A1224" s="238" t="s">
        <v>82</v>
      </c>
      <c r="B1224" s="239"/>
      <c r="C1224" s="239"/>
      <c r="D1224" s="239"/>
      <c r="E1224" s="239"/>
    </row>
    <row r="1225" spans="1:5" x14ac:dyDescent="0.25">
      <c r="A1225" s="95"/>
      <c r="B1225" s="95"/>
      <c r="C1225" s="95"/>
      <c r="D1225" s="95"/>
      <c r="E1225" s="95"/>
    </row>
    <row r="1226" spans="1:5" ht="15.75" thickBot="1" x14ac:dyDescent="0.3">
      <c r="A1226" s="94"/>
      <c r="B1226" s="94"/>
      <c r="C1226" s="95"/>
      <c r="D1226" s="94"/>
      <c r="E1226" s="109" t="s">
        <v>1289</v>
      </c>
    </row>
    <row r="1227" spans="1:5" x14ac:dyDescent="0.25">
      <c r="A1227" s="97" t="s">
        <v>16</v>
      </c>
      <c r="B1227" s="98" t="s">
        <v>79</v>
      </c>
      <c r="C1227" s="98" t="s">
        <v>80</v>
      </c>
      <c r="D1227" s="98" t="s">
        <v>77</v>
      </c>
      <c r="E1227" s="99" t="s">
        <v>10</v>
      </c>
    </row>
    <row r="1228" spans="1:5" x14ac:dyDescent="0.25">
      <c r="A1228" s="100">
        <v>1</v>
      </c>
      <c r="B1228" s="151" t="s">
        <v>1290</v>
      </c>
      <c r="C1228" s="152" t="s">
        <v>1303</v>
      </c>
      <c r="D1228" s="103"/>
      <c r="E1228" s="104">
        <v>32500</v>
      </c>
    </row>
    <row r="1229" spans="1:5" x14ac:dyDescent="0.25">
      <c r="A1229" s="100">
        <f>A1228+1</f>
        <v>2</v>
      </c>
      <c r="B1229" s="151" t="s">
        <v>641</v>
      </c>
      <c r="C1229" s="152" t="s">
        <v>634</v>
      </c>
      <c r="D1229" s="103"/>
      <c r="E1229" s="104">
        <v>12500</v>
      </c>
    </row>
    <row r="1230" spans="1:5" x14ac:dyDescent="0.25">
      <c r="A1230" s="100">
        <f t="shared" ref="A1230:A1251" si="19">A1229+1</f>
        <v>3</v>
      </c>
      <c r="B1230" s="151" t="s">
        <v>1291</v>
      </c>
      <c r="C1230" s="152" t="s">
        <v>1304</v>
      </c>
      <c r="D1230" s="103"/>
      <c r="E1230" s="104">
        <v>5000</v>
      </c>
    </row>
    <row r="1231" spans="1:5" x14ac:dyDescent="0.25">
      <c r="A1231" s="100">
        <f t="shared" si="19"/>
        <v>4</v>
      </c>
      <c r="B1231" s="151" t="s">
        <v>1292</v>
      </c>
      <c r="C1231" s="152" t="s">
        <v>1305</v>
      </c>
      <c r="D1231" s="103"/>
      <c r="E1231" s="104">
        <v>5000</v>
      </c>
    </row>
    <row r="1232" spans="1:5" x14ac:dyDescent="0.25">
      <c r="A1232" s="100">
        <f t="shared" si="19"/>
        <v>5</v>
      </c>
      <c r="B1232" s="151" t="s">
        <v>1293</v>
      </c>
      <c r="C1232" s="152" t="s">
        <v>1306</v>
      </c>
      <c r="D1232" s="103"/>
      <c r="E1232" s="104">
        <v>12500</v>
      </c>
    </row>
    <row r="1233" spans="1:5" x14ac:dyDescent="0.25">
      <c r="A1233" s="100">
        <f t="shared" si="19"/>
        <v>6</v>
      </c>
      <c r="B1233" s="151" t="s">
        <v>1294</v>
      </c>
      <c r="C1233" s="152" t="s">
        <v>1307</v>
      </c>
      <c r="D1233" s="103"/>
      <c r="E1233" s="104">
        <v>22500</v>
      </c>
    </row>
    <row r="1234" spans="1:5" x14ac:dyDescent="0.25">
      <c r="A1234" s="100">
        <f t="shared" si="19"/>
        <v>7</v>
      </c>
      <c r="B1234" s="151" t="s">
        <v>1295</v>
      </c>
      <c r="C1234" s="152" t="s">
        <v>1308</v>
      </c>
      <c r="D1234" s="103"/>
      <c r="E1234" s="104">
        <v>22500</v>
      </c>
    </row>
    <row r="1235" spans="1:5" x14ac:dyDescent="0.25">
      <c r="A1235" s="100">
        <f t="shared" si="19"/>
        <v>8</v>
      </c>
      <c r="B1235" s="151" t="s">
        <v>1296</v>
      </c>
      <c r="C1235" s="152" t="s">
        <v>1309</v>
      </c>
      <c r="D1235" s="103"/>
      <c r="E1235" s="104">
        <v>12500</v>
      </c>
    </row>
    <row r="1236" spans="1:5" x14ac:dyDescent="0.25">
      <c r="A1236" s="100">
        <f t="shared" si="19"/>
        <v>9</v>
      </c>
      <c r="B1236" s="151" t="s">
        <v>1297</v>
      </c>
      <c r="C1236" s="152" t="s">
        <v>1310</v>
      </c>
      <c r="D1236" s="103"/>
      <c r="E1236" s="104">
        <v>12500</v>
      </c>
    </row>
    <row r="1237" spans="1:5" x14ac:dyDescent="0.25">
      <c r="A1237" s="100">
        <f t="shared" si="19"/>
        <v>10</v>
      </c>
      <c r="B1237" s="151" t="s">
        <v>1298</v>
      </c>
      <c r="C1237" s="152" t="s">
        <v>1311</v>
      </c>
      <c r="D1237" s="103"/>
      <c r="E1237" s="104">
        <v>12500</v>
      </c>
    </row>
    <row r="1238" spans="1:5" x14ac:dyDescent="0.25">
      <c r="A1238" s="100">
        <f t="shared" si="19"/>
        <v>11</v>
      </c>
      <c r="B1238" s="151" t="s">
        <v>1299</v>
      </c>
      <c r="C1238" s="152" t="s">
        <v>1312</v>
      </c>
      <c r="D1238" s="103"/>
      <c r="E1238" s="104">
        <v>12500</v>
      </c>
    </row>
    <row r="1239" spans="1:5" x14ac:dyDescent="0.25">
      <c r="A1239" s="100">
        <f t="shared" si="19"/>
        <v>12</v>
      </c>
      <c r="B1239" s="151" t="s">
        <v>1300</v>
      </c>
      <c r="C1239" s="152" t="s">
        <v>1313</v>
      </c>
      <c r="D1239" s="103"/>
      <c r="E1239" s="104">
        <v>12500</v>
      </c>
    </row>
    <row r="1240" spans="1:5" x14ac:dyDescent="0.25">
      <c r="A1240" s="100">
        <f t="shared" si="19"/>
        <v>13</v>
      </c>
      <c r="B1240" s="151" t="s">
        <v>1301</v>
      </c>
      <c r="C1240" s="152" t="s">
        <v>1314</v>
      </c>
      <c r="D1240" s="103"/>
      <c r="E1240" s="104">
        <v>12500</v>
      </c>
    </row>
    <row r="1241" spans="1:5" x14ac:dyDescent="0.25">
      <c r="A1241" s="100">
        <f t="shared" si="19"/>
        <v>14</v>
      </c>
      <c r="B1241" s="151" t="s">
        <v>1302</v>
      </c>
      <c r="C1241" s="152" t="s">
        <v>1315</v>
      </c>
      <c r="D1241" s="103"/>
      <c r="E1241" s="104">
        <v>12500</v>
      </c>
    </row>
    <row r="1242" spans="1:5" x14ac:dyDescent="0.25">
      <c r="A1242" s="100">
        <f t="shared" si="19"/>
        <v>15</v>
      </c>
      <c r="B1242" s="151" t="s">
        <v>1326</v>
      </c>
      <c r="C1242" s="152" t="s">
        <v>1316</v>
      </c>
      <c r="D1242" s="103"/>
      <c r="E1242" s="104">
        <v>32500</v>
      </c>
    </row>
    <row r="1243" spans="1:5" x14ac:dyDescent="0.25">
      <c r="A1243" s="100">
        <f t="shared" si="19"/>
        <v>16</v>
      </c>
      <c r="B1243" s="151" t="s">
        <v>1290</v>
      </c>
      <c r="C1243" s="152" t="s">
        <v>1317</v>
      </c>
      <c r="D1243" s="103"/>
      <c r="E1243" s="104">
        <v>32500</v>
      </c>
    </row>
    <row r="1244" spans="1:5" x14ac:dyDescent="0.25">
      <c r="A1244" s="100">
        <f t="shared" si="19"/>
        <v>17</v>
      </c>
      <c r="B1244" s="151" t="s">
        <v>1327</v>
      </c>
      <c r="C1244" s="152" t="s">
        <v>1318</v>
      </c>
      <c r="D1244" s="103"/>
      <c r="E1244" s="104">
        <v>12500</v>
      </c>
    </row>
    <row r="1245" spans="1:5" x14ac:dyDescent="0.25">
      <c r="A1245" s="100">
        <f t="shared" si="19"/>
        <v>18</v>
      </c>
      <c r="B1245" s="151" t="s">
        <v>1328</v>
      </c>
      <c r="C1245" s="152" t="s">
        <v>1319</v>
      </c>
      <c r="D1245" s="103"/>
      <c r="E1245" s="104">
        <v>5000</v>
      </c>
    </row>
    <row r="1246" spans="1:5" x14ac:dyDescent="0.25">
      <c r="A1246" s="100">
        <f t="shared" si="19"/>
        <v>19</v>
      </c>
      <c r="B1246" s="151" t="s">
        <v>1329</v>
      </c>
      <c r="C1246" s="152" t="s">
        <v>1320</v>
      </c>
      <c r="D1246" s="103"/>
      <c r="E1246" s="104">
        <v>5000</v>
      </c>
    </row>
    <row r="1247" spans="1:5" x14ac:dyDescent="0.25">
      <c r="A1247" s="100">
        <f t="shared" si="19"/>
        <v>20</v>
      </c>
      <c r="B1247" s="151" t="s">
        <v>1330</v>
      </c>
      <c r="C1247" s="152" t="s">
        <v>1321</v>
      </c>
      <c r="D1247" s="103"/>
      <c r="E1247" s="104">
        <v>22500</v>
      </c>
    </row>
    <row r="1248" spans="1:5" x14ac:dyDescent="0.25">
      <c r="A1248" s="100">
        <f t="shared" si="19"/>
        <v>21</v>
      </c>
      <c r="B1248" s="151" t="s">
        <v>1331</v>
      </c>
      <c r="C1248" s="152" t="s">
        <v>1322</v>
      </c>
      <c r="D1248" s="103"/>
      <c r="E1248" s="104">
        <v>12500</v>
      </c>
    </row>
    <row r="1249" spans="1:5" x14ac:dyDescent="0.25">
      <c r="A1249" s="100">
        <f t="shared" si="19"/>
        <v>22</v>
      </c>
      <c r="B1249" s="151" t="s">
        <v>1072</v>
      </c>
      <c r="C1249" s="152" t="s">
        <v>1323</v>
      </c>
      <c r="D1249" s="103"/>
      <c r="E1249" s="104">
        <v>5000</v>
      </c>
    </row>
    <row r="1250" spans="1:5" x14ac:dyDescent="0.25">
      <c r="A1250" s="100">
        <f t="shared" si="19"/>
        <v>23</v>
      </c>
      <c r="B1250" s="151" t="s">
        <v>1333</v>
      </c>
      <c r="C1250" s="152" t="s">
        <v>1324</v>
      </c>
      <c r="D1250" s="103"/>
      <c r="E1250" s="104">
        <v>5000</v>
      </c>
    </row>
    <row r="1251" spans="1:5" x14ac:dyDescent="0.25">
      <c r="A1251" s="100">
        <f t="shared" si="19"/>
        <v>24</v>
      </c>
      <c r="B1251" s="151" t="s">
        <v>1332</v>
      </c>
      <c r="C1251" s="152" t="s">
        <v>1325</v>
      </c>
      <c r="D1251" s="103"/>
      <c r="E1251" s="104">
        <v>5000</v>
      </c>
    </row>
    <row r="1252" spans="1:5" x14ac:dyDescent="0.25">
      <c r="A1252" s="100"/>
      <c r="B1252" s="151"/>
      <c r="C1252" s="152"/>
      <c r="D1252" s="103"/>
      <c r="E1252" s="104"/>
    </row>
    <row r="1253" spans="1:5" ht="15.75" thickBot="1" x14ac:dyDescent="0.3">
      <c r="A1253" s="105"/>
      <c r="B1253" s="240" t="s">
        <v>10</v>
      </c>
      <c r="C1253" s="241"/>
      <c r="D1253" s="242"/>
      <c r="E1253" s="106">
        <f>SUM(E1228:E1252)</f>
        <v>337500</v>
      </c>
    </row>
    <row r="1254" spans="1:5" x14ac:dyDescent="0.25">
      <c r="A1254" s="95"/>
      <c r="B1254" s="130"/>
      <c r="C1254" s="130"/>
      <c r="E1254" s="131"/>
    </row>
    <row r="1255" spans="1:5" x14ac:dyDescent="0.25">
      <c r="A1255" s="94"/>
      <c r="B1255" s="94"/>
      <c r="C1255" s="95"/>
      <c r="D1255" s="108" t="s">
        <v>1335</v>
      </c>
      <c r="E1255" s="94"/>
    </row>
    <row r="1256" spans="1:5" x14ac:dyDescent="0.25">
      <c r="D1256" s="108" t="s">
        <v>83</v>
      </c>
    </row>
    <row r="1273" spans="1:5" x14ac:dyDescent="0.25">
      <c r="A1273" s="93" t="s">
        <v>0</v>
      </c>
      <c r="B1273" s="129"/>
      <c r="C1273" s="129"/>
      <c r="D1273" s="129"/>
      <c r="E1273" s="129"/>
    </row>
    <row r="1274" spans="1:5" x14ac:dyDescent="0.25">
      <c r="A1274" s="93" t="s">
        <v>1</v>
      </c>
      <c r="B1274" s="94"/>
      <c r="C1274" s="95"/>
      <c r="D1274" s="94"/>
      <c r="E1274" s="94"/>
    </row>
    <row r="1275" spans="1:5" x14ac:dyDescent="0.25">
      <c r="A1275" s="93"/>
      <c r="B1275" s="94"/>
      <c r="C1275" s="95"/>
      <c r="D1275" s="94"/>
      <c r="E1275" s="94"/>
    </row>
    <row r="1276" spans="1:5" x14ac:dyDescent="0.25">
      <c r="A1276" s="96" t="s">
        <v>84</v>
      </c>
      <c r="B1276" s="96"/>
      <c r="C1276" s="96"/>
      <c r="D1276" s="96"/>
      <c r="E1276" s="96"/>
    </row>
    <row r="1277" spans="1:5" x14ac:dyDescent="0.25">
      <c r="A1277" s="238" t="s">
        <v>82</v>
      </c>
      <c r="B1277" s="239"/>
      <c r="C1277" s="239"/>
      <c r="D1277" s="239"/>
      <c r="E1277" s="239"/>
    </row>
    <row r="1278" spans="1:5" x14ac:dyDescent="0.25">
      <c r="A1278" s="95"/>
      <c r="B1278" s="95"/>
      <c r="C1278" s="95"/>
      <c r="D1278" s="95"/>
      <c r="E1278" s="95"/>
    </row>
    <row r="1279" spans="1:5" ht="15.75" thickBot="1" x14ac:dyDescent="0.3">
      <c r="A1279" s="94"/>
      <c r="B1279" s="94"/>
      <c r="C1279" s="95"/>
      <c r="D1279" s="94"/>
      <c r="E1279" s="109" t="s">
        <v>1334</v>
      </c>
    </row>
    <row r="1280" spans="1:5" x14ac:dyDescent="0.25">
      <c r="A1280" s="97" t="s">
        <v>16</v>
      </c>
      <c r="B1280" s="98" t="s">
        <v>79</v>
      </c>
      <c r="C1280" s="98" t="s">
        <v>80</v>
      </c>
      <c r="D1280" s="98" t="s">
        <v>77</v>
      </c>
      <c r="E1280" s="99" t="s">
        <v>10</v>
      </c>
    </row>
    <row r="1281" spans="1:5" x14ac:dyDescent="0.25">
      <c r="A1281" s="100">
        <v>1</v>
      </c>
      <c r="B1281" s="151" t="s">
        <v>1337</v>
      </c>
      <c r="C1281" s="152" t="s">
        <v>1342</v>
      </c>
      <c r="D1281" s="103"/>
      <c r="E1281" s="104">
        <v>12500</v>
      </c>
    </row>
    <row r="1282" spans="1:5" x14ac:dyDescent="0.25">
      <c r="A1282" s="100">
        <f>A1281+1</f>
        <v>2</v>
      </c>
      <c r="B1282" s="151" t="s">
        <v>878</v>
      </c>
      <c r="C1282" s="152" t="s">
        <v>1343</v>
      </c>
      <c r="D1282" s="103"/>
      <c r="E1282" s="104">
        <v>42500</v>
      </c>
    </row>
    <row r="1283" spans="1:5" x14ac:dyDescent="0.25">
      <c r="A1283" s="100">
        <f t="shared" ref="A1283:A1287" si="20">A1282+1</f>
        <v>3</v>
      </c>
      <c r="B1283" s="151" t="s">
        <v>1338</v>
      </c>
      <c r="C1283" s="152" t="s">
        <v>1344</v>
      </c>
      <c r="D1283" s="103"/>
      <c r="E1283" s="104">
        <v>22500</v>
      </c>
    </row>
    <row r="1284" spans="1:5" x14ac:dyDescent="0.25">
      <c r="A1284" s="100">
        <f t="shared" si="20"/>
        <v>4</v>
      </c>
      <c r="B1284" s="151" t="s">
        <v>768</v>
      </c>
      <c r="C1284" s="152" t="s">
        <v>1345</v>
      </c>
      <c r="D1284" s="103"/>
      <c r="E1284" s="104">
        <v>12500</v>
      </c>
    </row>
    <row r="1285" spans="1:5" x14ac:dyDescent="0.25">
      <c r="A1285" s="100">
        <f t="shared" si="20"/>
        <v>5</v>
      </c>
      <c r="B1285" s="151" t="s">
        <v>1339</v>
      </c>
      <c r="C1285" s="152" t="s">
        <v>1346</v>
      </c>
      <c r="D1285" s="103"/>
      <c r="E1285" s="104">
        <v>7500</v>
      </c>
    </row>
    <row r="1286" spans="1:5" x14ac:dyDescent="0.25">
      <c r="A1286" s="100">
        <f t="shared" si="20"/>
        <v>6</v>
      </c>
      <c r="B1286" s="151" t="s">
        <v>1341</v>
      </c>
      <c r="C1286" s="152" t="s">
        <v>1347</v>
      </c>
      <c r="D1286" s="103"/>
      <c r="E1286" s="104">
        <v>22500</v>
      </c>
    </row>
    <row r="1287" spans="1:5" x14ac:dyDescent="0.25">
      <c r="A1287" s="100">
        <f t="shared" si="20"/>
        <v>7</v>
      </c>
      <c r="B1287" s="151" t="s">
        <v>1340</v>
      </c>
      <c r="C1287" s="152" t="s">
        <v>1348</v>
      </c>
      <c r="D1287" s="103"/>
      <c r="E1287" s="104">
        <v>12500</v>
      </c>
    </row>
    <row r="1288" spans="1:5" x14ac:dyDescent="0.25">
      <c r="A1288" s="100"/>
      <c r="B1288" s="151"/>
      <c r="C1288" s="152"/>
      <c r="D1288" s="103"/>
      <c r="E1288" s="104"/>
    </row>
    <row r="1289" spans="1:5" ht="15.75" thickBot="1" x14ac:dyDescent="0.3">
      <c r="A1289" s="105"/>
      <c r="B1289" s="240" t="s">
        <v>10</v>
      </c>
      <c r="C1289" s="241"/>
      <c r="D1289" s="242"/>
      <c r="E1289" s="106">
        <f>SUM(E1281:E1288)</f>
        <v>132500</v>
      </c>
    </row>
    <row r="1290" spans="1:5" x14ac:dyDescent="0.25">
      <c r="A1290" s="95"/>
      <c r="B1290" s="130"/>
      <c r="C1290" s="130"/>
      <c r="E1290" s="131"/>
    </row>
    <row r="1291" spans="1:5" x14ac:dyDescent="0.25">
      <c r="A1291" s="94"/>
      <c r="B1291" s="94"/>
      <c r="C1291" s="95"/>
      <c r="D1291" s="108" t="s">
        <v>1336</v>
      </c>
      <c r="E1291" s="94"/>
    </row>
    <row r="1292" spans="1:5" x14ac:dyDescent="0.25">
      <c r="D1292" s="108" t="s">
        <v>83</v>
      </c>
    </row>
    <row r="1326" spans="1:5" x14ac:dyDescent="0.25">
      <c r="A1326" s="93" t="s">
        <v>0</v>
      </c>
      <c r="B1326" s="129"/>
      <c r="C1326" s="129"/>
      <c r="D1326" s="129"/>
      <c r="E1326" s="129"/>
    </row>
    <row r="1327" spans="1:5" x14ac:dyDescent="0.25">
      <c r="A1327" s="93" t="s">
        <v>1</v>
      </c>
      <c r="B1327" s="94"/>
      <c r="C1327" s="95"/>
      <c r="D1327" s="94"/>
      <c r="E1327" s="94"/>
    </row>
    <row r="1328" spans="1:5" x14ac:dyDescent="0.25">
      <c r="A1328" s="93"/>
      <c r="B1328" s="94"/>
      <c r="C1328" s="95"/>
      <c r="D1328" s="94"/>
      <c r="E1328" s="94"/>
    </row>
    <row r="1329" spans="1:5" x14ac:dyDescent="0.25">
      <c r="A1329" s="96" t="s">
        <v>84</v>
      </c>
      <c r="B1329" s="96"/>
      <c r="C1329" s="96"/>
      <c r="D1329" s="96"/>
      <c r="E1329" s="96"/>
    </row>
    <row r="1330" spans="1:5" x14ac:dyDescent="0.25">
      <c r="A1330" s="238" t="s">
        <v>82</v>
      </c>
      <c r="B1330" s="239"/>
      <c r="C1330" s="239"/>
      <c r="D1330" s="239"/>
      <c r="E1330" s="239"/>
    </row>
    <row r="1331" spans="1:5" x14ac:dyDescent="0.25">
      <c r="A1331" s="95"/>
      <c r="B1331" s="95"/>
      <c r="C1331" s="95"/>
      <c r="D1331" s="95"/>
      <c r="E1331" s="95"/>
    </row>
    <row r="1332" spans="1:5" ht="15.75" thickBot="1" x14ac:dyDescent="0.3">
      <c r="A1332" s="94"/>
      <c r="B1332" s="94"/>
      <c r="C1332" s="95"/>
      <c r="D1332" s="94"/>
      <c r="E1332" s="109" t="s">
        <v>1349</v>
      </c>
    </row>
    <row r="1333" spans="1:5" x14ac:dyDescent="0.25">
      <c r="A1333" s="97" t="s">
        <v>16</v>
      </c>
      <c r="B1333" s="98" t="s">
        <v>79</v>
      </c>
      <c r="C1333" s="98" t="s">
        <v>80</v>
      </c>
      <c r="D1333" s="98" t="s">
        <v>77</v>
      </c>
      <c r="E1333" s="99" t="s">
        <v>10</v>
      </c>
    </row>
    <row r="1334" spans="1:5" x14ac:dyDescent="0.25">
      <c r="A1334" s="100">
        <v>1</v>
      </c>
      <c r="B1334" s="151" t="s">
        <v>1352</v>
      </c>
      <c r="C1334" s="152" t="s">
        <v>1361</v>
      </c>
      <c r="D1334" s="103"/>
      <c r="E1334" s="104">
        <v>5000</v>
      </c>
    </row>
    <row r="1335" spans="1:5" x14ac:dyDescent="0.25">
      <c r="A1335" s="100">
        <f>A1334+1</f>
        <v>2</v>
      </c>
      <c r="B1335" s="151" t="s">
        <v>1353</v>
      </c>
      <c r="C1335" s="152" t="s">
        <v>1362</v>
      </c>
      <c r="D1335" s="103"/>
      <c r="E1335" s="104">
        <v>5000</v>
      </c>
    </row>
    <row r="1336" spans="1:5" x14ac:dyDescent="0.25">
      <c r="A1336" s="100">
        <f t="shared" ref="A1336:A1342" si="21">A1335+1</f>
        <v>3</v>
      </c>
      <c r="B1336" s="151" t="s">
        <v>1354</v>
      </c>
      <c r="C1336" s="152" t="s">
        <v>1363</v>
      </c>
      <c r="D1336" s="103"/>
      <c r="E1336" s="104">
        <v>5000</v>
      </c>
    </row>
    <row r="1337" spans="1:5" x14ac:dyDescent="0.25">
      <c r="A1337" s="100">
        <f t="shared" si="21"/>
        <v>4</v>
      </c>
      <c r="B1337" s="151" t="s">
        <v>1355</v>
      </c>
      <c r="C1337" s="152" t="s">
        <v>1364</v>
      </c>
      <c r="D1337" s="103"/>
      <c r="E1337" s="104">
        <v>5000</v>
      </c>
    </row>
    <row r="1338" spans="1:5" x14ac:dyDescent="0.25">
      <c r="A1338" s="100">
        <f t="shared" si="21"/>
        <v>5</v>
      </c>
      <c r="B1338" s="151" t="s">
        <v>1356</v>
      </c>
      <c r="C1338" s="152" t="s">
        <v>1365</v>
      </c>
      <c r="D1338" s="103"/>
      <c r="E1338" s="104">
        <v>12500</v>
      </c>
    </row>
    <row r="1339" spans="1:5" x14ac:dyDescent="0.25">
      <c r="A1339" s="100">
        <f t="shared" si="21"/>
        <v>6</v>
      </c>
      <c r="B1339" s="151" t="s">
        <v>1357</v>
      </c>
      <c r="C1339" s="152" t="s">
        <v>1366</v>
      </c>
      <c r="D1339" s="103"/>
      <c r="E1339" s="104">
        <v>42500</v>
      </c>
    </row>
    <row r="1340" spans="1:5" x14ac:dyDescent="0.25">
      <c r="A1340" s="100">
        <f t="shared" si="21"/>
        <v>7</v>
      </c>
      <c r="B1340" s="151" t="s">
        <v>1358</v>
      </c>
      <c r="C1340" s="152" t="s">
        <v>1367</v>
      </c>
      <c r="D1340" s="103"/>
      <c r="E1340" s="104">
        <v>5000</v>
      </c>
    </row>
    <row r="1341" spans="1:5" x14ac:dyDescent="0.25">
      <c r="A1341" s="100">
        <f t="shared" si="21"/>
        <v>8</v>
      </c>
      <c r="B1341" s="151" t="s">
        <v>1359</v>
      </c>
      <c r="C1341" s="152" t="s">
        <v>1368</v>
      </c>
      <c r="D1341" s="103"/>
      <c r="E1341" s="104">
        <v>5000</v>
      </c>
    </row>
    <row r="1342" spans="1:5" x14ac:dyDescent="0.25">
      <c r="A1342" s="100">
        <f t="shared" si="21"/>
        <v>9</v>
      </c>
      <c r="B1342" s="151" t="s">
        <v>1360</v>
      </c>
      <c r="C1342" s="152" t="s">
        <v>1369</v>
      </c>
      <c r="D1342" s="103"/>
      <c r="E1342" s="104">
        <v>22500</v>
      </c>
    </row>
    <row r="1343" spans="1:5" x14ac:dyDescent="0.25">
      <c r="A1343" s="100"/>
      <c r="B1343" s="151"/>
      <c r="C1343" s="152"/>
      <c r="D1343" s="103"/>
      <c r="E1343" s="104"/>
    </row>
    <row r="1344" spans="1:5" ht="15.75" thickBot="1" x14ac:dyDescent="0.3">
      <c r="A1344" s="105"/>
      <c r="B1344" s="240" t="s">
        <v>10</v>
      </c>
      <c r="C1344" s="241"/>
      <c r="D1344" s="242"/>
      <c r="E1344" s="106">
        <f>SUM(E1334:E1343)</f>
        <v>107500</v>
      </c>
    </row>
    <row r="1345" spans="1:5" x14ac:dyDescent="0.25">
      <c r="A1345" s="95"/>
      <c r="B1345" s="130"/>
      <c r="C1345" s="130"/>
      <c r="E1345" s="131"/>
    </row>
    <row r="1346" spans="1:5" x14ac:dyDescent="0.25">
      <c r="A1346" s="94"/>
      <c r="B1346" s="94"/>
      <c r="C1346" s="95"/>
      <c r="D1346" s="108" t="s">
        <v>1351</v>
      </c>
      <c r="E1346" s="94"/>
    </row>
    <row r="1347" spans="1:5" x14ac:dyDescent="0.25">
      <c r="D1347" s="108" t="s">
        <v>83</v>
      </c>
    </row>
    <row r="1379" spans="1:5" x14ac:dyDescent="0.25">
      <c r="A1379" s="93" t="s">
        <v>0</v>
      </c>
      <c r="B1379" s="129"/>
      <c r="C1379" s="129"/>
      <c r="D1379" s="129"/>
      <c r="E1379" s="129"/>
    </row>
    <row r="1380" spans="1:5" x14ac:dyDescent="0.25">
      <c r="A1380" s="93" t="s">
        <v>1</v>
      </c>
      <c r="B1380" s="94"/>
      <c r="C1380" s="95"/>
      <c r="D1380" s="94"/>
      <c r="E1380" s="94"/>
    </row>
    <row r="1381" spans="1:5" x14ac:dyDescent="0.25">
      <c r="A1381" s="93"/>
      <c r="B1381" s="94"/>
      <c r="C1381" s="95"/>
      <c r="D1381" s="94"/>
      <c r="E1381" s="94"/>
    </row>
    <row r="1382" spans="1:5" x14ac:dyDescent="0.25">
      <c r="A1382" s="96" t="s">
        <v>84</v>
      </c>
      <c r="B1382" s="96"/>
      <c r="C1382" s="96"/>
      <c r="D1382" s="96"/>
      <c r="E1382" s="96"/>
    </row>
    <row r="1383" spans="1:5" x14ac:dyDescent="0.25">
      <c r="A1383" s="238" t="s">
        <v>82</v>
      </c>
      <c r="B1383" s="239"/>
      <c r="C1383" s="239"/>
      <c r="D1383" s="239"/>
      <c r="E1383" s="239"/>
    </row>
    <row r="1384" spans="1:5" x14ac:dyDescent="0.25">
      <c r="A1384" s="95"/>
      <c r="B1384" s="95"/>
      <c r="C1384" s="95"/>
      <c r="D1384" s="95"/>
      <c r="E1384" s="95"/>
    </row>
    <row r="1385" spans="1:5" ht="15.75" thickBot="1" x14ac:dyDescent="0.3">
      <c r="A1385" s="94"/>
      <c r="B1385" s="94"/>
      <c r="C1385" s="95"/>
      <c r="D1385" s="94"/>
      <c r="E1385" s="109" t="s">
        <v>1370</v>
      </c>
    </row>
    <row r="1386" spans="1:5" x14ac:dyDescent="0.25">
      <c r="A1386" s="97" t="s">
        <v>16</v>
      </c>
      <c r="B1386" s="98" t="s">
        <v>79</v>
      </c>
      <c r="C1386" s="98" t="s">
        <v>80</v>
      </c>
      <c r="D1386" s="98" t="s">
        <v>77</v>
      </c>
      <c r="E1386" s="99" t="s">
        <v>10</v>
      </c>
    </row>
    <row r="1387" spans="1:5" x14ac:dyDescent="0.25">
      <c r="A1387" s="100">
        <v>1</v>
      </c>
      <c r="B1387" s="151" t="s">
        <v>1178</v>
      </c>
      <c r="C1387" s="152" t="s">
        <v>1189</v>
      </c>
      <c r="D1387" s="103"/>
      <c r="E1387" s="104">
        <v>12500</v>
      </c>
    </row>
    <row r="1388" spans="1:5" x14ac:dyDescent="0.25">
      <c r="A1388" s="100">
        <f>A1387+1</f>
        <v>2</v>
      </c>
      <c r="B1388" s="151" t="s">
        <v>1179</v>
      </c>
      <c r="C1388" s="152" t="s">
        <v>1190</v>
      </c>
      <c r="D1388" s="103"/>
      <c r="E1388" s="104">
        <v>52500</v>
      </c>
    </row>
    <row r="1389" spans="1:5" x14ac:dyDescent="0.25">
      <c r="A1389" s="100">
        <f t="shared" ref="A1389:A1398" si="22">A1388+1</f>
        <v>3</v>
      </c>
      <c r="B1389" s="151" t="s">
        <v>119</v>
      </c>
      <c r="C1389" s="152" t="s">
        <v>1191</v>
      </c>
      <c r="D1389" s="103"/>
      <c r="E1389" s="104">
        <v>5000</v>
      </c>
    </row>
    <row r="1390" spans="1:5" x14ac:dyDescent="0.25">
      <c r="A1390" s="100">
        <f t="shared" si="22"/>
        <v>4</v>
      </c>
      <c r="B1390" s="151" t="s">
        <v>1180</v>
      </c>
      <c r="C1390" s="152" t="s">
        <v>1192</v>
      </c>
      <c r="D1390" s="103"/>
      <c r="E1390" s="104">
        <v>5000</v>
      </c>
    </row>
    <row r="1391" spans="1:5" x14ac:dyDescent="0.25">
      <c r="A1391" s="100">
        <f t="shared" si="22"/>
        <v>5</v>
      </c>
      <c r="B1391" s="151" t="s">
        <v>1181</v>
      </c>
      <c r="C1391" s="152" t="s">
        <v>1193</v>
      </c>
      <c r="D1391" s="103"/>
      <c r="E1391" s="104">
        <v>5000</v>
      </c>
    </row>
    <row r="1392" spans="1:5" x14ac:dyDescent="0.25">
      <c r="A1392" s="100">
        <f t="shared" si="22"/>
        <v>6</v>
      </c>
      <c r="B1392" s="151" t="s">
        <v>1182</v>
      </c>
      <c r="C1392" s="152" t="s">
        <v>1194</v>
      </c>
      <c r="D1392" s="103"/>
      <c r="E1392" s="104">
        <v>42500</v>
      </c>
    </row>
    <row r="1393" spans="1:5" x14ac:dyDescent="0.25">
      <c r="A1393" s="100">
        <f t="shared" si="22"/>
        <v>7</v>
      </c>
      <c r="B1393" s="151" t="s">
        <v>1183</v>
      </c>
      <c r="C1393" s="152" t="s">
        <v>1195</v>
      </c>
      <c r="D1393" s="103"/>
      <c r="E1393" s="104">
        <v>20000</v>
      </c>
    </row>
    <row r="1394" spans="1:5" x14ac:dyDescent="0.25">
      <c r="A1394" s="100">
        <f t="shared" si="22"/>
        <v>8</v>
      </c>
      <c r="B1394" s="151" t="s">
        <v>1184</v>
      </c>
      <c r="C1394" s="152" t="s">
        <v>1196</v>
      </c>
      <c r="D1394" s="103"/>
      <c r="E1394" s="104">
        <v>5000</v>
      </c>
    </row>
    <row r="1395" spans="1:5" x14ac:dyDescent="0.25">
      <c r="A1395" s="100">
        <f t="shared" si="22"/>
        <v>9</v>
      </c>
      <c r="B1395" s="151" t="s">
        <v>1185</v>
      </c>
      <c r="C1395" s="152" t="s">
        <v>1197</v>
      </c>
      <c r="D1395" s="103"/>
      <c r="E1395" s="104">
        <v>5000</v>
      </c>
    </row>
    <row r="1396" spans="1:5" x14ac:dyDescent="0.25">
      <c r="A1396" s="100">
        <f t="shared" si="22"/>
        <v>10</v>
      </c>
      <c r="B1396" s="151" t="s">
        <v>1186</v>
      </c>
      <c r="C1396" s="152" t="s">
        <v>1198</v>
      </c>
      <c r="D1396" s="103"/>
      <c r="E1396" s="104">
        <v>22500</v>
      </c>
    </row>
    <row r="1397" spans="1:5" x14ac:dyDescent="0.25">
      <c r="A1397" s="100">
        <f t="shared" si="22"/>
        <v>11</v>
      </c>
      <c r="B1397" s="151" t="s">
        <v>1187</v>
      </c>
      <c r="C1397" s="152" t="s">
        <v>1199</v>
      </c>
      <c r="D1397" s="103"/>
      <c r="E1397" s="104">
        <v>5000</v>
      </c>
    </row>
    <row r="1398" spans="1:5" x14ac:dyDescent="0.25">
      <c r="A1398" s="100">
        <f t="shared" si="22"/>
        <v>12</v>
      </c>
      <c r="B1398" s="151" t="s">
        <v>1188</v>
      </c>
      <c r="C1398" s="152" t="s">
        <v>1200</v>
      </c>
      <c r="D1398" s="103"/>
      <c r="E1398" s="104">
        <v>5000</v>
      </c>
    </row>
    <row r="1399" spans="1:5" x14ac:dyDescent="0.25">
      <c r="A1399" s="100"/>
      <c r="B1399" s="151"/>
      <c r="C1399" s="152"/>
      <c r="D1399" s="103"/>
      <c r="E1399" s="104"/>
    </row>
    <row r="1400" spans="1:5" ht="15.75" thickBot="1" x14ac:dyDescent="0.3">
      <c r="A1400" s="105"/>
      <c r="B1400" s="240" t="s">
        <v>10</v>
      </c>
      <c r="C1400" s="241"/>
      <c r="D1400" s="242"/>
      <c r="E1400" s="106">
        <f>SUM(E1387:E1399)</f>
        <v>185000</v>
      </c>
    </row>
    <row r="1401" spans="1:5" x14ac:dyDescent="0.25">
      <c r="A1401" s="95"/>
      <c r="B1401" s="130"/>
      <c r="C1401" s="130"/>
      <c r="E1401" s="131"/>
    </row>
    <row r="1402" spans="1:5" x14ac:dyDescent="0.25">
      <c r="A1402" s="94"/>
      <c r="B1402" s="94"/>
      <c r="C1402" s="95"/>
      <c r="D1402" s="108" t="s">
        <v>1350</v>
      </c>
      <c r="E1402" s="94"/>
    </row>
    <row r="1403" spans="1:5" x14ac:dyDescent="0.25">
      <c r="D1403" s="108" t="s">
        <v>83</v>
      </c>
    </row>
    <row r="1432" spans="1:5" x14ac:dyDescent="0.25">
      <c r="A1432" s="93" t="s">
        <v>0</v>
      </c>
      <c r="B1432" s="129"/>
      <c r="C1432" s="129"/>
      <c r="D1432" s="129"/>
      <c r="E1432" s="129"/>
    </row>
    <row r="1433" spans="1:5" x14ac:dyDescent="0.25">
      <c r="A1433" s="93" t="s">
        <v>1</v>
      </c>
      <c r="B1433" s="94"/>
      <c r="C1433" s="95"/>
      <c r="D1433" s="94"/>
      <c r="E1433" s="94"/>
    </row>
    <row r="1434" spans="1:5" x14ac:dyDescent="0.25">
      <c r="A1434" s="93"/>
      <c r="B1434" s="94"/>
      <c r="C1434" s="95"/>
      <c r="D1434" s="94"/>
      <c r="E1434" s="94"/>
    </row>
    <row r="1435" spans="1:5" x14ac:dyDescent="0.25">
      <c r="A1435" s="96" t="s">
        <v>84</v>
      </c>
      <c r="B1435" s="96"/>
      <c r="C1435" s="96"/>
      <c r="D1435" s="96"/>
      <c r="E1435" s="96"/>
    </row>
    <row r="1436" spans="1:5" x14ac:dyDescent="0.25">
      <c r="A1436" s="238" t="s">
        <v>82</v>
      </c>
      <c r="B1436" s="239"/>
      <c r="C1436" s="239"/>
      <c r="D1436" s="239"/>
      <c r="E1436" s="239"/>
    </row>
    <row r="1437" spans="1:5" x14ac:dyDescent="0.25">
      <c r="A1437" s="95"/>
      <c r="B1437" s="95"/>
      <c r="C1437" s="95"/>
      <c r="D1437" s="95"/>
      <c r="E1437" s="95"/>
    </row>
    <row r="1438" spans="1:5" ht="15.75" thickBot="1" x14ac:dyDescent="0.3">
      <c r="A1438" s="94"/>
      <c r="B1438" s="94"/>
      <c r="C1438" s="95"/>
      <c r="D1438" s="94"/>
      <c r="E1438" s="109" t="s">
        <v>1371</v>
      </c>
    </row>
    <row r="1439" spans="1:5" x14ac:dyDescent="0.25">
      <c r="A1439" s="97" t="s">
        <v>16</v>
      </c>
      <c r="B1439" s="98" t="s">
        <v>79</v>
      </c>
      <c r="C1439" s="98" t="s">
        <v>80</v>
      </c>
      <c r="D1439" s="98" t="s">
        <v>77</v>
      </c>
      <c r="E1439" s="99" t="s">
        <v>10</v>
      </c>
    </row>
    <row r="1440" spans="1:5" x14ac:dyDescent="0.25">
      <c r="A1440" s="100">
        <v>1</v>
      </c>
      <c r="B1440" s="151" t="s">
        <v>1373</v>
      </c>
      <c r="C1440" s="152" t="s">
        <v>1384</v>
      </c>
      <c r="D1440" s="103"/>
      <c r="E1440" s="104">
        <v>22500</v>
      </c>
    </row>
    <row r="1441" spans="1:5" x14ac:dyDescent="0.25">
      <c r="A1441" s="100">
        <f>A1440+1</f>
        <v>2</v>
      </c>
      <c r="B1441" s="151" t="s">
        <v>1374</v>
      </c>
      <c r="C1441" s="152" t="s">
        <v>1385</v>
      </c>
      <c r="D1441" s="103"/>
      <c r="E1441" s="104">
        <v>5000</v>
      </c>
    </row>
    <row r="1442" spans="1:5" x14ac:dyDescent="0.25">
      <c r="A1442" s="100">
        <f t="shared" ref="A1442:A1457" si="23">A1441+1</f>
        <v>3</v>
      </c>
      <c r="B1442" s="151" t="s">
        <v>1375</v>
      </c>
      <c r="C1442" s="152" t="s">
        <v>1386</v>
      </c>
      <c r="D1442" s="103"/>
      <c r="E1442" s="104">
        <v>22500</v>
      </c>
    </row>
    <row r="1443" spans="1:5" x14ac:dyDescent="0.25">
      <c r="A1443" s="100">
        <f t="shared" si="23"/>
        <v>4</v>
      </c>
      <c r="B1443" s="151" t="s">
        <v>1376</v>
      </c>
      <c r="C1443" s="152" t="s">
        <v>1387</v>
      </c>
      <c r="D1443" s="103"/>
      <c r="E1443" s="104">
        <v>22500</v>
      </c>
    </row>
    <row r="1444" spans="1:5" x14ac:dyDescent="0.25">
      <c r="A1444" s="100">
        <f t="shared" si="23"/>
        <v>5</v>
      </c>
      <c r="B1444" s="151" t="s">
        <v>1377</v>
      </c>
      <c r="C1444" s="152" t="s">
        <v>1388</v>
      </c>
      <c r="D1444" s="103"/>
      <c r="E1444" s="104">
        <v>12500</v>
      </c>
    </row>
    <row r="1445" spans="1:5" x14ac:dyDescent="0.25">
      <c r="A1445" s="100">
        <f t="shared" si="23"/>
        <v>6</v>
      </c>
      <c r="B1445" s="151" t="s">
        <v>1378</v>
      </c>
      <c r="C1445" s="152" t="s">
        <v>1389</v>
      </c>
      <c r="D1445" s="103"/>
      <c r="E1445" s="104">
        <v>5000</v>
      </c>
    </row>
    <row r="1446" spans="1:5" x14ac:dyDescent="0.25">
      <c r="A1446" s="100">
        <f t="shared" si="23"/>
        <v>7</v>
      </c>
      <c r="B1446" s="151" t="s">
        <v>1379</v>
      </c>
      <c r="C1446" s="152" t="s">
        <v>1390</v>
      </c>
      <c r="D1446" s="103"/>
      <c r="E1446" s="104">
        <v>10000</v>
      </c>
    </row>
    <row r="1447" spans="1:5" x14ac:dyDescent="0.25">
      <c r="A1447" s="100">
        <f t="shared" si="23"/>
        <v>8</v>
      </c>
      <c r="B1447" s="151" t="s">
        <v>1380</v>
      </c>
      <c r="C1447" s="152" t="s">
        <v>1391</v>
      </c>
      <c r="D1447" s="103"/>
      <c r="E1447" s="104">
        <v>67500</v>
      </c>
    </row>
    <row r="1448" spans="1:5" x14ac:dyDescent="0.25">
      <c r="A1448" s="100">
        <f t="shared" si="23"/>
        <v>9</v>
      </c>
      <c r="B1448" s="151" t="s">
        <v>1381</v>
      </c>
      <c r="C1448" s="152" t="s">
        <v>1392</v>
      </c>
      <c r="D1448" s="103"/>
      <c r="E1448" s="104">
        <v>7500</v>
      </c>
    </row>
    <row r="1449" spans="1:5" x14ac:dyDescent="0.25">
      <c r="A1449" s="100">
        <f t="shared" si="23"/>
        <v>10</v>
      </c>
      <c r="B1449" s="151" t="s">
        <v>1382</v>
      </c>
      <c r="C1449" s="152" t="s">
        <v>1393</v>
      </c>
      <c r="D1449" s="103"/>
      <c r="E1449" s="104">
        <v>42500</v>
      </c>
    </row>
    <row r="1450" spans="1:5" x14ac:dyDescent="0.25">
      <c r="A1450" s="100">
        <f t="shared" si="23"/>
        <v>11</v>
      </c>
      <c r="B1450" s="151" t="s">
        <v>1102</v>
      </c>
      <c r="C1450" s="152" t="s">
        <v>1394</v>
      </c>
      <c r="D1450" s="103"/>
      <c r="E1450" s="104">
        <v>5000</v>
      </c>
    </row>
    <row r="1451" spans="1:5" x14ac:dyDescent="0.25">
      <c r="A1451" s="100">
        <f t="shared" si="23"/>
        <v>12</v>
      </c>
      <c r="B1451" s="151" t="s">
        <v>1383</v>
      </c>
      <c r="C1451" s="152" t="s">
        <v>1395</v>
      </c>
      <c r="D1451" s="103"/>
      <c r="E1451" s="104">
        <v>5000</v>
      </c>
    </row>
    <row r="1452" spans="1:5" x14ac:dyDescent="0.25">
      <c r="A1452" s="100">
        <f t="shared" si="23"/>
        <v>13</v>
      </c>
      <c r="B1452" s="151" t="s">
        <v>1396</v>
      </c>
      <c r="C1452" s="152" t="s">
        <v>1402</v>
      </c>
      <c r="D1452" s="103"/>
      <c r="E1452" s="104">
        <v>32500</v>
      </c>
    </row>
    <row r="1453" spans="1:5" x14ac:dyDescent="0.25">
      <c r="A1453" s="100">
        <f t="shared" si="23"/>
        <v>14</v>
      </c>
      <c r="B1453" s="151" t="s">
        <v>1397</v>
      </c>
      <c r="C1453" s="152" t="s">
        <v>1403</v>
      </c>
      <c r="D1453" s="103"/>
      <c r="E1453" s="104">
        <v>22500</v>
      </c>
    </row>
    <row r="1454" spans="1:5" x14ac:dyDescent="0.25">
      <c r="A1454" s="100">
        <f t="shared" si="23"/>
        <v>15</v>
      </c>
      <c r="B1454" s="151" t="s">
        <v>1398</v>
      </c>
      <c r="C1454" s="152" t="s">
        <v>1404</v>
      </c>
      <c r="D1454" s="103"/>
      <c r="E1454" s="104">
        <v>12500</v>
      </c>
    </row>
    <row r="1455" spans="1:5" x14ac:dyDescent="0.25">
      <c r="A1455" s="100">
        <f t="shared" si="23"/>
        <v>16</v>
      </c>
      <c r="B1455" s="151" t="s">
        <v>1399</v>
      </c>
      <c r="C1455" s="152" t="s">
        <v>1405</v>
      </c>
      <c r="D1455" s="103"/>
      <c r="E1455" s="104">
        <v>12500</v>
      </c>
    </row>
    <row r="1456" spans="1:5" x14ac:dyDescent="0.25">
      <c r="A1456" s="100">
        <f t="shared" si="23"/>
        <v>17</v>
      </c>
      <c r="B1456" s="151" t="s">
        <v>1400</v>
      </c>
      <c r="C1456" s="152" t="s">
        <v>1406</v>
      </c>
      <c r="D1456" s="103"/>
      <c r="E1456" s="104">
        <v>22500</v>
      </c>
    </row>
    <row r="1457" spans="1:5" x14ac:dyDescent="0.25">
      <c r="A1457" s="100">
        <f t="shared" si="23"/>
        <v>18</v>
      </c>
      <c r="B1457" s="151" t="s">
        <v>1401</v>
      </c>
      <c r="C1457" s="152" t="s">
        <v>1407</v>
      </c>
      <c r="D1457" s="103"/>
      <c r="E1457" s="104">
        <v>22500</v>
      </c>
    </row>
    <row r="1458" spans="1:5" x14ac:dyDescent="0.25">
      <c r="A1458" s="100"/>
      <c r="B1458" s="151"/>
      <c r="C1458" s="152"/>
      <c r="D1458" s="103"/>
      <c r="E1458" s="104"/>
    </row>
    <row r="1459" spans="1:5" ht="15.75" thickBot="1" x14ac:dyDescent="0.3">
      <c r="A1459" s="105"/>
      <c r="B1459" s="240" t="s">
        <v>10</v>
      </c>
      <c r="C1459" s="241"/>
      <c r="D1459" s="242"/>
      <c r="E1459" s="106">
        <f>SUM(E1440:E1458)</f>
        <v>352500</v>
      </c>
    </row>
    <row r="1460" spans="1:5" x14ac:dyDescent="0.25">
      <c r="A1460" s="95"/>
      <c r="B1460" s="130"/>
      <c r="C1460" s="130"/>
      <c r="E1460" s="131"/>
    </row>
    <row r="1461" spans="1:5" x14ac:dyDescent="0.25">
      <c r="A1461" s="94"/>
      <c r="B1461" s="94"/>
      <c r="C1461" s="95"/>
      <c r="D1461" s="108" t="s">
        <v>1372</v>
      </c>
      <c r="E1461" s="94"/>
    </row>
    <row r="1462" spans="1:5" x14ac:dyDescent="0.25">
      <c r="D1462" s="108" t="s">
        <v>83</v>
      </c>
    </row>
    <row r="1485" spans="1:5" x14ac:dyDescent="0.25">
      <c r="A1485" s="93" t="s">
        <v>0</v>
      </c>
      <c r="B1485" s="129"/>
      <c r="C1485" s="129"/>
      <c r="D1485" s="129"/>
      <c r="E1485" s="129"/>
    </row>
    <row r="1486" spans="1:5" x14ac:dyDescent="0.25">
      <c r="A1486" s="93" t="s">
        <v>1</v>
      </c>
      <c r="B1486" s="94"/>
      <c r="C1486" s="95"/>
      <c r="D1486" s="94"/>
      <c r="E1486" s="94"/>
    </row>
    <row r="1487" spans="1:5" x14ac:dyDescent="0.25">
      <c r="A1487" s="93"/>
      <c r="B1487" s="94"/>
      <c r="C1487" s="95"/>
      <c r="D1487" s="94"/>
      <c r="E1487" s="94"/>
    </row>
    <row r="1488" spans="1:5" x14ac:dyDescent="0.25">
      <c r="A1488" s="96" t="s">
        <v>84</v>
      </c>
      <c r="B1488" s="96"/>
      <c r="C1488" s="96"/>
      <c r="D1488" s="96"/>
      <c r="E1488" s="96"/>
    </row>
    <row r="1489" spans="1:5" x14ac:dyDescent="0.25">
      <c r="A1489" s="238" t="s">
        <v>82</v>
      </c>
      <c r="B1489" s="239"/>
      <c r="C1489" s="239"/>
      <c r="D1489" s="239"/>
      <c r="E1489" s="239"/>
    </row>
    <row r="1490" spans="1:5" x14ac:dyDescent="0.25">
      <c r="A1490" s="95"/>
      <c r="B1490" s="95"/>
      <c r="C1490" s="95"/>
      <c r="D1490" s="95"/>
      <c r="E1490" s="95"/>
    </row>
    <row r="1491" spans="1:5" ht="15.75" thickBot="1" x14ac:dyDescent="0.3">
      <c r="A1491" s="94"/>
      <c r="B1491" s="94"/>
      <c r="C1491" s="95"/>
      <c r="D1491" s="94"/>
      <c r="E1491" s="109" t="s">
        <v>1408</v>
      </c>
    </row>
    <row r="1492" spans="1:5" x14ac:dyDescent="0.25">
      <c r="A1492" s="97" t="s">
        <v>16</v>
      </c>
      <c r="B1492" s="98" t="s">
        <v>79</v>
      </c>
      <c r="C1492" s="98" t="s">
        <v>80</v>
      </c>
      <c r="D1492" s="98" t="s">
        <v>77</v>
      </c>
      <c r="E1492" s="99" t="s">
        <v>10</v>
      </c>
    </row>
    <row r="1493" spans="1:5" x14ac:dyDescent="0.25">
      <c r="A1493" s="100">
        <v>1</v>
      </c>
      <c r="B1493" s="151" t="s">
        <v>1410</v>
      </c>
      <c r="C1493" s="152" t="s">
        <v>1416</v>
      </c>
      <c r="D1493" s="103"/>
      <c r="E1493" s="104">
        <v>47500</v>
      </c>
    </row>
    <row r="1494" spans="1:5" x14ac:dyDescent="0.25">
      <c r="A1494" s="100">
        <f>A1493+1</f>
        <v>2</v>
      </c>
      <c r="B1494" s="151" t="s">
        <v>1301</v>
      </c>
      <c r="C1494" s="152" t="s">
        <v>1417</v>
      </c>
      <c r="D1494" s="103"/>
      <c r="E1494" s="104">
        <v>20000</v>
      </c>
    </row>
    <row r="1495" spans="1:5" x14ac:dyDescent="0.25">
      <c r="A1495" s="100">
        <f t="shared" ref="A1495:A1499" si="24">A1494+1</f>
        <v>3</v>
      </c>
      <c r="B1495" s="151" t="s">
        <v>1411</v>
      </c>
      <c r="C1495" s="152" t="s">
        <v>1418</v>
      </c>
      <c r="D1495" s="103"/>
      <c r="E1495" s="104">
        <v>5000</v>
      </c>
    </row>
    <row r="1496" spans="1:5" x14ac:dyDescent="0.25">
      <c r="A1496" s="100">
        <f t="shared" si="24"/>
        <v>4</v>
      </c>
      <c r="B1496" s="151" t="s">
        <v>1412</v>
      </c>
      <c r="C1496" s="152" t="s">
        <v>1419</v>
      </c>
      <c r="D1496" s="103"/>
      <c r="E1496" s="104">
        <v>5000</v>
      </c>
    </row>
    <row r="1497" spans="1:5" x14ac:dyDescent="0.25">
      <c r="A1497" s="100">
        <f t="shared" si="24"/>
        <v>5</v>
      </c>
      <c r="B1497" s="151" t="s">
        <v>1413</v>
      </c>
      <c r="C1497" s="152" t="s">
        <v>1420</v>
      </c>
      <c r="D1497" s="103"/>
      <c r="E1497" s="104">
        <v>50000</v>
      </c>
    </row>
    <row r="1498" spans="1:5" x14ac:dyDescent="0.25">
      <c r="A1498" s="100">
        <f t="shared" si="24"/>
        <v>6</v>
      </c>
      <c r="B1498" s="151" t="s">
        <v>1414</v>
      </c>
      <c r="C1498" s="152" t="s">
        <v>1421</v>
      </c>
      <c r="D1498" s="103"/>
      <c r="E1498" s="104">
        <v>12500</v>
      </c>
    </row>
    <row r="1499" spans="1:5" x14ac:dyDescent="0.25">
      <c r="A1499" s="100">
        <f t="shared" si="24"/>
        <v>7</v>
      </c>
      <c r="B1499" s="151" t="s">
        <v>1415</v>
      </c>
      <c r="C1499" s="152" t="s">
        <v>1422</v>
      </c>
      <c r="D1499" s="103"/>
      <c r="E1499" s="104">
        <v>5000</v>
      </c>
    </row>
    <row r="1500" spans="1:5" x14ac:dyDescent="0.25">
      <c r="A1500" s="100"/>
      <c r="B1500" s="151"/>
      <c r="C1500" s="152"/>
      <c r="D1500" s="103"/>
      <c r="E1500" s="104"/>
    </row>
    <row r="1501" spans="1:5" ht="15.75" thickBot="1" x14ac:dyDescent="0.3">
      <c r="A1501" s="105"/>
      <c r="B1501" s="240" t="s">
        <v>10</v>
      </c>
      <c r="C1501" s="241"/>
      <c r="D1501" s="242"/>
      <c r="E1501" s="106">
        <f>SUM(E1493:E1500)</f>
        <v>145000</v>
      </c>
    </row>
    <row r="1502" spans="1:5" x14ac:dyDescent="0.25">
      <c r="A1502" s="95"/>
      <c r="B1502" s="130"/>
      <c r="C1502" s="130"/>
      <c r="E1502" s="131"/>
    </row>
    <row r="1503" spans="1:5" x14ac:dyDescent="0.25">
      <c r="A1503" s="94"/>
      <c r="B1503" s="94"/>
      <c r="C1503" s="95"/>
      <c r="D1503" s="108" t="s">
        <v>1409</v>
      </c>
      <c r="E1503" s="94"/>
    </row>
    <row r="1504" spans="1:5" x14ac:dyDescent="0.25">
      <c r="D1504" s="108" t="s">
        <v>83</v>
      </c>
    </row>
    <row r="1538" spans="1:5" x14ac:dyDescent="0.25">
      <c r="A1538" s="93" t="s">
        <v>0</v>
      </c>
      <c r="B1538" s="129"/>
      <c r="C1538" s="129"/>
      <c r="D1538" s="129"/>
      <c r="E1538" s="129"/>
    </row>
    <row r="1539" spans="1:5" x14ac:dyDescent="0.25">
      <c r="A1539" s="93" t="s">
        <v>1</v>
      </c>
      <c r="B1539" s="94"/>
      <c r="C1539" s="95"/>
      <c r="D1539" s="94"/>
      <c r="E1539" s="94"/>
    </row>
    <row r="1540" spans="1:5" x14ac:dyDescent="0.25">
      <c r="A1540" s="93"/>
      <c r="B1540" s="94"/>
      <c r="C1540" s="95"/>
      <c r="D1540" s="94"/>
      <c r="E1540" s="94"/>
    </row>
    <row r="1541" spans="1:5" x14ac:dyDescent="0.25">
      <c r="A1541" s="96" t="s">
        <v>84</v>
      </c>
      <c r="B1541" s="96"/>
      <c r="C1541" s="96"/>
      <c r="D1541" s="96"/>
      <c r="E1541" s="96"/>
    </row>
    <row r="1542" spans="1:5" x14ac:dyDescent="0.25">
      <c r="A1542" s="238" t="s">
        <v>82</v>
      </c>
      <c r="B1542" s="239"/>
      <c r="C1542" s="239"/>
      <c r="D1542" s="239"/>
      <c r="E1542" s="239"/>
    </row>
    <row r="1543" spans="1:5" x14ac:dyDescent="0.25">
      <c r="A1543" s="95"/>
      <c r="B1543" s="95"/>
      <c r="C1543" s="95"/>
      <c r="D1543" s="95"/>
      <c r="E1543" s="95"/>
    </row>
    <row r="1544" spans="1:5" ht="15.75" thickBot="1" x14ac:dyDescent="0.3">
      <c r="A1544" s="94"/>
      <c r="B1544" s="94"/>
      <c r="C1544" s="95"/>
      <c r="D1544" s="94"/>
      <c r="E1544" s="109" t="s">
        <v>1423</v>
      </c>
    </row>
    <row r="1545" spans="1:5" x14ac:dyDescent="0.25">
      <c r="A1545" s="97" t="s">
        <v>16</v>
      </c>
      <c r="B1545" s="98" t="s">
        <v>79</v>
      </c>
      <c r="C1545" s="98" t="s">
        <v>80</v>
      </c>
      <c r="D1545" s="98" t="s">
        <v>77</v>
      </c>
      <c r="E1545" s="99" t="s">
        <v>10</v>
      </c>
    </row>
    <row r="1546" spans="1:5" x14ac:dyDescent="0.25">
      <c r="A1546" s="100">
        <v>1</v>
      </c>
      <c r="B1546" s="151" t="s">
        <v>1425</v>
      </c>
      <c r="C1546" s="152" t="s">
        <v>1438</v>
      </c>
      <c r="D1546" s="103"/>
      <c r="E1546" s="104">
        <v>5000</v>
      </c>
    </row>
    <row r="1547" spans="1:5" x14ac:dyDescent="0.25">
      <c r="A1547" s="100">
        <f>A1546+1</f>
        <v>2</v>
      </c>
      <c r="B1547" s="151" t="s">
        <v>1426</v>
      </c>
      <c r="C1547" s="152" t="s">
        <v>1439</v>
      </c>
      <c r="D1547" s="103"/>
      <c r="E1547" s="104">
        <v>5000</v>
      </c>
    </row>
    <row r="1548" spans="1:5" x14ac:dyDescent="0.25">
      <c r="A1548" s="100">
        <f t="shared" ref="A1548:A1570" si="25">A1547+1</f>
        <v>3</v>
      </c>
      <c r="B1548" s="151" t="s">
        <v>1427</v>
      </c>
      <c r="C1548" s="152" t="s">
        <v>1440</v>
      </c>
      <c r="D1548" s="103"/>
      <c r="E1548" s="104">
        <v>20000</v>
      </c>
    </row>
    <row r="1549" spans="1:5" x14ac:dyDescent="0.25">
      <c r="A1549" s="100">
        <f t="shared" si="25"/>
        <v>4</v>
      </c>
      <c r="B1549" s="151" t="s">
        <v>1428</v>
      </c>
      <c r="C1549" s="152" t="s">
        <v>1441</v>
      </c>
      <c r="D1549" s="103"/>
      <c r="E1549" s="104">
        <v>5000</v>
      </c>
    </row>
    <row r="1550" spans="1:5" x14ac:dyDescent="0.25">
      <c r="A1550" s="100">
        <f t="shared" si="25"/>
        <v>5</v>
      </c>
      <c r="B1550" s="151" t="s">
        <v>1429</v>
      </c>
      <c r="C1550" s="152" t="s">
        <v>1442</v>
      </c>
      <c r="D1550" s="103"/>
      <c r="E1550" s="104">
        <v>5000</v>
      </c>
    </row>
    <row r="1551" spans="1:5" x14ac:dyDescent="0.25">
      <c r="A1551" s="100">
        <f t="shared" si="25"/>
        <v>6</v>
      </c>
      <c r="B1551" s="151" t="s">
        <v>1430</v>
      </c>
      <c r="C1551" s="152" t="s">
        <v>1443</v>
      </c>
      <c r="D1551" s="103"/>
      <c r="E1551" s="104">
        <v>5000</v>
      </c>
    </row>
    <row r="1552" spans="1:5" x14ac:dyDescent="0.25">
      <c r="A1552" s="100">
        <f t="shared" si="25"/>
        <v>7</v>
      </c>
      <c r="B1552" s="151" t="s">
        <v>1431</v>
      </c>
      <c r="C1552" s="152" t="s">
        <v>1444</v>
      </c>
      <c r="D1552" s="103"/>
      <c r="E1552" s="104">
        <v>62500</v>
      </c>
    </row>
    <row r="1553" spans="1:5" x14ac:dyDescent="0.25">
      <c r="A1553" s="100">
        <f t="shared" si="25"/>
        <v>8</v>
      </c>
      <c r="B1553" s="151" t="s">
        <v>1432</v>
      </c>
      <c r="C1553" s="152" t="s">
        <v>1445</v>
      </c>
      <c r="D1553" s="103"/>
      <c r="E1553" s="104">
        <v>12500</v>
      </c>
    </row>
    <row r="1554" spans="1:5" x14ac:dyDescent="0.25">
      <c r="A1554" s="100">
        <f t="shared" si="25"/>
        <v>9</v>
      </c>
      <c r="B1554" s="151" t="s">
        <v>1433</v>
      </c>
      <c r="C1554" s="152" t="s">
        <v>1446</v>
      </c>
      <c r="D1554" s="103"/>
      <c r="E1554" s="104">
        <v>22500</v>
      </c>
    </row>
    <row r="1555" spans="1:5" x14ac:dyDescent="0.25">
      <c r="A1555" s="100">
        <f t="shared" si="25"/>
        <v>10</v>
      </c>
      <c r="B1555" s="151" t="s">
        <v>1434</v>
      </c>
      <c r="C1555" s="152" t="s">
        <v>1447</v>
      </c>
      <c r="D1555" s="103"/>
      <c r="E1555" s="104">
        <v>5000</v>
      </c>
    </row>
    <row r="1556" spans="1:5" x14ac:dyDescent="0.25">
      <c r="A1556" s="100">
        <f t="shared" si="25"/>
        <v>11</v>
      </c>
      <c r="B1556" s="151" t="s">
        <v>1435</v>
      </c>
      <c r="C1556" s="152" t="s">
        <v>1448</v>
      </c>
      <c r="D1556" s="103"/>
      <c r="E1556" s="104">
        <v>5000</v>
      </c>
    </row>
    <row r="1557" spans="1:5" x14ac:dyDescent="0.25">
      <c r="A1557" s="100">
        <f t="shared" si="25"/>
        <v>12</v>
      </c>
      <c r="B1557" s="151" t="s">
        <v>1433</v>
      </c>
      <c r="C1557" s="152" t="s">
        <v>1449</v>
      </c>
      <c r="D1557" s="103"/>
      <c r="E1557" s="104">
        <v>22500</v>
      </c>
    </row>
    <row r="1558" spans="1:5" x14ac:dyDescent="0.25">
      <c r="A1558" s="100">
        <f t="shared" si="25"/>
        <v>13</v>
      </c>
      <c r="B1558" s="151" t="s">
        <v>1436</v>
      </c>
      <c r="C1558" s="152" t="s">
        <v>1450</v>
      </c>
      <c r="D1558" s="103"/>
      <c r="E1558" s="104">
        <v>32500</v>
      </c>
    </row>
    <row r="1559" spans="1:5" x14ac:dyDescent="0.25">
      <c r="A1559" s="100">
        <f t="shared" si="25"/>
        <v>14</v>
      </c>
      <c r="B1559" s="151" t="s">
        <v>1437</v>
      </c>
      <c r="C1559" s="152" t="s">
        <v>1451</v>
      </c>
      <c r="D1559" s="103"/>
      <c r="E1559" s="104">
        <v>5000</v>
      </c>
    </row>
    <row r="1560" spans="1:5" x14ac:dyDescent="0.25">
      <c r="A1560" s="100">
        <f t="shared" si="25"/>
        <v>15</v>
      </c>
      <c r="B1560" s="151" t="s">
        <v>1434</v>
      </c>
      <c r="C1560" s="152" t="s">
        <v>1452</v>
      </c>
      <c r="D1560" s="103"/>
      <c r="E1560" s="104">
        <v>5000</v>
      </c>
    </row>
    <row r="1561" spans="1:5" x14ac:dyDescent="0.25">
      <c r="A1561" s="100">
        <f t="shared" si="25"/>
        <v>16</v>
      </c>
      <c r="B1561" s="151" t="s">
        <v>1463</v>
      </c>
      <c r="C1561" s="152" t="s">
        <v>1453</v>
      </c>
      <c r="D1561" s="103"/>
      <c r="E1561" s="104">
        <v>5000</v>
      </c>
    </row>
    <row r="1562" spans="1:5" x14ac:dyDescent="0.25">
      <c r="A1562" s="100">
        <f t="shared" si="25"/>
        <v>17</v>
      </c>
      <c r="B1562" s="151" t="s">
        <v>1464</v>
      </c>
      <c r="C1562" s="152" t="s">
        <v>1454</v>
      </c>
      <c r="D1562" s="103"/>
      <c r="E1562" s="104">
        <v>5000</v>
      </c>
    </row>
    <row r="1563" spans="1:5" x14ac:dyDescent="0.25">
      <c r="A1563" s="100">
        <f t="shared" si="25"/>
        <v>18</v>
      </c>
      <c r="B1563" s="151" t="s">
        <v>1434</v>
      </c>
      <c r="C1563" s="152" t="s">
        <v>1455</v>
      </c>
      <c r="D1563" s="103"/>
      <c r="E1563" s="104">
        <v>5000</v>
      </c>
    </row>
    <row r="1564" spans="1:5" x14ac:dyDescent="0.25">
      <c r="A1564" s="100">
        <f t="shared" si="25"/>
        <v>19</v>
      </c>
      <c r="B1564" s="151" t="s">
        <v>1465</v>
      </c>
      <c r="C1564" s="152" t="s">
        <v>1456</v>
      </c>
      <c r="D1564" s="103"/>
      <c r="E1564" s="104">
        <v>5000</v>
      </c>
    </row>
    <row r="1565" spans="1:5" x14ac:dyDescent="0.25">
      <c r="A1565" s="100">
        <f t="shared" si="25"/>
        <v>20</v>
      </c>
      <c r="B1565" s="151" t="s">
        <v>1466</v>
      </c>
      <c r="C1565" s="152" t="s">
        <v>1457</v>
      </c>
      <c r="D1565" s="103"/>
      <c r="E1565" s="104">
        <v>5000</v>
      </c>
    </row>
    <row r="1566" spans="1:5" x14ac:dyDescent="0.25">
      <c r="A1566" s="100">
        <f t="shared" si="25"/>
        <v>21</v>
      </c>
      <c r="B1566" s="151" t="s">
        <v>1467</v>
      </c>
      <c r="C1566" s="152" t="s">
        <v>1458</v>
      </c>
      <c r="D1566" s="103"/>
      <c r="E1566" s="104">
        <v>22500</v>
      </c>
    </row>
    <row r="1567" spans="1:5" x14ac:dyDescent="0.25">
      <c r="A1567" s="100">
        <f t="shared" si="25"/>
        <v>22</v>
      </c>
      <c r="B1567" s="151" t="s">
        <v>1468</v>
      </c>
      <c r="C1567" s="152" t="s">
        <v>1459</v>
      </c>
      <c r="D1567" s="103"/>
      <c r="E1567" s="104">
        <v>5000</v>
      </c>
    </row>
    <row r="1568" spans="1:5" x14ac:dyDescent="0.25">
      <c r="A1568" s="100">
        <f t="shared" si="25"/>
        <v>23</v>
      </c>
      <c r="B1568" s="151" t="s">
        <v>1469</v>
      </c>
      <c r="C1568" s="152" t="s">
        <v>1460</v>
      </c>
      <c r="D1568" s="103"/>
      <c r="E1568" s="104">
        <v>5000</v>
      </c>
    </row>
    <row r="1569" spans="1:5" x14ac:dyDescent="0.25">
      <c r="A1569" s="100">
        <f t="shared" si="25"/>
        <v>24</v>
      </c>
      <c r="B1569" s="151" t="s">
        <v>1470</v>
      </c>
      <c r="C1569" s="152" t="s">
        <v>1461</v>
      </c>
      <c r="D1569" s="103"/>
      <c r="E1569" s="104">
        <v>5000</v>
      </c>
    </row>
    <row r="1570" spans="1:5" x14ac:dyDescent="0.25">
      <c r="A1570" s="100">
        <f t="shared" si="25"/>
        <v>25</v>
      </c>
      <c r="B1570" s="151" t="s">
        <v>1471</v>
      </c>
      <c r="C1570" s="152" t="s">
        <v>1462</v>
      </c>
      <c r="D1570" s="103"/>
      <c r="E1570" s="104">
        <v>5000</v>
      </c>
    </row>
    <row r="1571" spans="1:5" x14ac:dyDescent="0.25">
      <c r="A1571" s="100"/>
      <c r="B1571" s="151"/>
      <c r="C1571" s="152"/>
      <c r="D1571" s="103"/>
      <c r="E1571" s="104"/>
    </row>
    <row r="1572" spans="1:5" ht="15.75" thickBot="1" x14ac:dyDescent="0.3">
      <c r="A1572" s="105"/>
      <c r="B1572" s="240" t="s">
        <v>10</v>
      </c>
      <c r="C1572" s="241"/>
      <c r="D1572" s="242"/>
      <c r="E1572" s="106">
        <f>SUM(E1546:E1571)</f>
        <v>285000</v>
      </c>
    </row>
    <row r="1573" spans="1:5" x14ac:dyDescent="0.25">
      <c r="A1573" s="95"/>
      <c r="B1573" s="130"/>
      <c r="C1573" s="130"/>
      <c r="E1573" s="131"/>
    </row>
    <row r="1574" spans="1:5" x14ac:dyDescent="0.25">
      <c r="A1574" s="94"/>
      <c r="B1574" s="94"/>
      <c r="C1574" s="95"/>
      <c r="D1574" s="108" t="s">
        <v>1424</v>
      </c>
      <c r="E1574" s="94"/>
    </row>
    <row r="1575" spans="1:5" x14ac:dyDescent="0.25">
      <c r="D1575" s="108" t="s">
        <v>83</v>
      </c>
    </row>
    <row r="1591" spans="1:5" x14ac:dyDescent="0.25">
      <c r="A1591" s="93" t="s">
        <v>0</v>
      </c>
      <c r="B1591" s="129"/>
      <c r="C1591" s="129"/>
      <c r="D1591" s="129"/>
      <c r="E1591" s="129"/>
    </row>
    <row r="1592" spans="1:5" x14ac:dyDescent="0.25">
      <c r="A1592" s="93" t="s">
        <v>1</v>
      </c>
      <c r="B1592" s="94"/>
      <c r="C1592" s="95"/>
      <c r="D1592" s="94"/>
      <c r="E1592" s="94"/>
    </row>
    <row r="1593" spans="1:5" x14ac:dyDescent="0.25">
      <c r="A1593" s="93"/>
      <c r="B1593" s="94"/>
      <c r="C1593" s="95"/>
      <c r="D1593" s="94"/>
      <c r="E1593" s="94"/>
    </row>
    <row r="1594" spans="1:5" x14ac:dyDescent="0.25">
      <c r="A1594" s="96" t="s">
        <v>84</v>
      </c>
      <c r="B1594" s="96"/>
      <c r="C1594" s="96"/>
      <c r="D1594" s="96"/>
      <c r="E1594" s="96"/>
    </row>
    <row r="1595" spans="1:5" x14ac:dyDescent="0.25">
      <c r="A1595" s="238" t="s">
        <v>100</v>
      </c>
      <c r="B1595" s="239"/>
      <c r="C1595" s="239"/>
      <c r="D1595" s="239"/>
      <c r="E1595" s="239"/>
    </row>
    <row r="1596" spans="1:5" x14ac:dyDescent="0.25">
      <c r="A1596" s="95"/>
      <c r="B1596" s="95"/>
      <c r="C1596" s="95"/>
      <c r="D1596" s="95"/>
      <c r="E1596" s="95"/>
    </row>
    <row r="1597" spans="1:5" ht="15.75" thickBot="1" x14ac:dyDescent="0.3">
      <c r="A1597" s="94"/>
      <c r="B1597" s="94"/>
      <c r="C1597" s="95"/>
      <c r="D1597" s="94"/>
      <c r="E1597" s="109" t="s">
        <v>1472</v>
      </c>
    </row>
    <row r="1598" spans="1:5" x14ac:dyDescent="0.25">
      <c r="A1598" s="97" t="s">
        <v>16</v>
      </c>
      <c r="B1598" s="98" t="s">
        <v>79</v>
      </c>
      <c r="C1598" s="98" t="s">
        <v>80</v>
      </c>
      <c r="D1598" s="98" t="s">
        <v>77</v>
      </c>
      <c r="E1598" s="99" t="s">
        <v>10</v>
      </c>
    </row>
    <row r="1599" spans="1:5" x14ac:dyDescent="0.25">
      <c r="A1599" s="100">
        <v>1</v>
      </c>
      <c r="B1599" s="151" t="s">
        <v>1474</v>
      </c>
      <c r="C1599" s="152" t="s">
        <v>1477</v>
      </c>
      <c r="D1599" s="103"/>
      <c r="E1599" s="104">
        <v>5000</v>
      </c>
    </row>
    <row r="1600" spans="1:5" x14ac:dyDescent="0.25">
      <c r="A1600" s="100">
        <f>A1599+1</f>
        <v>2</v>
      </c>
      <c r="B1600" s="151" t="s">
        <v>1475</v>
      </c>
      <c r="C1600" s="152" t="s">
        <v>1478</v>
      </c>
      <c r="D1600" s="103"/>
      <c r="E1600" s="104">
        <v>5000</v>
      </c>
    </row>
    <row r="1601" spans="1:5" x14ac:dyDescent="0.25">
      <c r="A1601" s="100">
        <f t="shared" ref="A1601:A1611" si="26">A1600+1</f>
        <v>3</v>
      </c>
      <c r="B1601" s="151" t="s">
        <v>1476</v>
      </c>
      <c r="C1601" s="152" t="s">
        <v>1479</v>
      </c>
      <c r="D1601" s="103"/>
      <c r="E1601" s="104">
        <v>5000</v>
      </c>
    </row>
    <row r="1602" spans="1:5" x14ac:dyDescent="0.25">
      <c r="A1602" s="100">
        <f t="shared" si="26"/>
        <v>4</v>
      </c>
      <c r="B1602" s="151" t="s">
        <v>1482</v>
      </c>
      <c r="C1602" s="152" t="s">
        <v>1480</v>
      </c>
      <c r="D1602" s="103"/>
      <c r="E1602" s="104">
        <v>5000</v>
      </c>
    </row>
    <row r="1603" spans="1:5" x14ac:dyDescent="0.25">
      <c r="A1603" s="100">
        <f t="shared" si="26"/>
        <v>5</v>
      </c>
      <c r="B1603" s="151" t="s">
        <v>1483</v>
      </c>
      <c r="C1603" s="152" t="s">
        <v>1481</v>
      </c>
      <c r="D1603" s="103"/>
      <c r="E1603" s="104">
        <v>12500</v>
      </c>
    </row>
    <row r="1604" spans="1:5" x14ac:dyDescent="0.25">
      <c r="A1604" s="100">
        <f t="shared" si="26"/>
        <v>6</v>
      </c>
      <c r="B1604" s="151" t="s">
        <v>108</v>
      </c>
      <c r="C1604" s="152" t="s">
        <v>114</v>
      </c>
      <c r="D1604" s="103"/>
      <c r="E1604" s="104">
        <v>5000</v>
      </c>
    </row>
    <row r="1605" spans="1:5" x14ac:dyDescent="0.25">
      <c r="A1605" s="100">
        <f t="shared" si="26"/>
        <v>7</v>
      </c>
      <c r="B1605" s="151" t="s">
        <v>594</v>
      </c>
      <c r="C1605" s="152" t="s">
        <v>585</v>
      </c>
      <c r="D1605" s="103"/>
      <c r="E1605" s="104">
        <v>17500</v>
      </c>
    </row>
    <row r="1606" spans="1:5" x14ac:dyDescent="0.25">
      <c r="A1606" s="100">
        <f t="shared" si="26"/>
        <v>8</v>
      </c>
      <c r="B1606" s="151" t="s">
        <v>1484</v>
      </c>
      <c r="C1606" s="152" t="s">
        <v>1489</v>
      </c>
      <c r="D1606" s="103"/>
      <c r="E1606" s="104">
        <v>42500</v>
      </c>
    </row>
    <row r="1607" spans="1:5" x14ac:dyDescent="0.25">
      <c r="A1607" s="100">
        <f t="shared" si="26"/>
        <v>9</v>
      </c>
      <c r="B1607" s="151" t="s">
        <v>1485</v>
      </c>
      <c r="C1607" s="152" t="s">
        <v>1490</v>
      </c>
      <c r="D1607" s="103"/>
      <c r="E1607" s="104">
        <v>12500</v>
      </c>
    </row>
    <row r="1608" spans="1:5" x14ac:dyDescent="0.25">
      <c r="A1608" s="100">
        <f t="shared" si="26"/>
        <v>10</v>
      </c>
      <c r="B1608" s="151" t="s">
        <v>1495</v>
      </c>
      <c r="C1608" s="152" t="s">
        <v>1491</v>
      </c>
      <c r="D1608" s="103"/>
      <c r="E1608" s="104">
        <v>5000</v>
      </c>
    </row>
    <row r="1609" spans="1:5" x14ac:dyDescent="0.25">
      <c r="A1609" s="100">
        <f t="shared" si="26"/>
        <v>11</v>
      </c>
      <c r="B1609" s="151" t="s">
        <v>1486</v>
      </c>
      <c r="C1609" s="152" t="s">
        <v>1492</v>
      </c>
      <c r="D1609" s="103"/>
      <c r="E1609" s="104">
        <v>5000</v>
      </c>
    </row>
    <row r="1610" spans="1:5" x14ac:dyDescent="0.25">
      <c r="A1610" s="100">
        <f t="shared" si="26"/>
        <v>12</v>
      </c>
      <c r="B1610" s="151" t="s">
        <v>1487</v>
      </c>
      <c r="C1610" s="152" t="s">
        <v>1493</v>
      </c>
      <c r="D1610" s="103"/>
      <c r="E1610" s="104">
        <v>5000</v>
      </c>
    </row>
    <row r="1611" spans="1:5" x14ac:dyDescent="0.25">
      <c r="A1611" s="100">
        <f t="shared" si="26"/>
        <v>13</v>
      </c>
      <c r="B1611" s="151" t="s">
        <v>1488</v>
      </c>
      <c r="C1611" s="152" t="s">
        <v>1494</v>
      </c>
      <c r="D1611" s="103"/>
      <c r="E1611" s="104">
        <v>22500</v>
      </c>
    </row>
    <row r="1612" spans="1:5" x14ac:dyDescent="0.25">
      <c r="A1612" s="100"/>
      <c r="B1612" s="151"/>
      <c r="C1612" s="152"/>
      <c r="D1612" s="103"/>
      <c r="E1612" s="104"/>
    </row>
    <row r="1613" spans="1:5" ht="15.75" thickBot="1" x14ac:dyDescent="0.3">
      <c r="A1613" s="105"/>
      <c r="B1613" s="240" t="s">
        <v>10</v>
      </c>
      <c r="C1613" s="241"/>
      <c r="D1613" s="242"/>
      <c r="E1613" s="106">
        <f>SUM(E1599:E1612)</f>
        <v>147500</v>
      </c>
    </row>
    <row r="1614" spans="1:5" x14ac:dyDescent="0.25">
      <c r="A1614" s="95"/>
      <c r="B1614" s="130"/>
      <c r="C1614" s="130"/>
      <c r="E1614" s="131"/>
    </row>
    <row r="1615" spans="1:5" x14ac:dyDescent="0.25">
      <c r="A1615" s="94"/>
      <c r="B1615" s="94"/>
      <c r="C1615" s="95"/>
      <c r="D1615" s="108" t="s">
        <v>1473</v>
      </c>
      <c r="E1615" s="94"/>
    </row>
    <row r="1616" spans="1:5" x14ac:dyDescent="0.25">
      <c r="D1616" s="108" t="s">
        <v>83</v>
      </c>
    </row>
    <row r="1644" spans="1:5" x14ac:dyDescent="0.25">
      <c r="A1644" s="93" t="s">
        <v>0</v>
      </c>
      <c r="B1644" s="129"/>
      <c r="C1644" s="129"/>
      <c r="D1644" s="129"/>
      <c r="E1644" s="129"/>
    </row>
    <row r="1645" spans="1:5" x14ac:dyDescent="0.25">
      <c r="A1645" s="93" t="s">
        <v>1</v>
      </c>
      <c r="B1645" s="94"/>
      <c r="C1645" s="95"/>
      <c r="D1645" s="94"/>
      <c r="E1645" s="94"/>
    </row>
    <row r="1646" spans="1:5" x14ac:dyDescent="0.25">
      <c r="A1646" s="93"/>
      <c r="B1646" s="94"/>
      <c r="C1646" s="95"/>
      <c r="D1646" s="94"/>
      <c r="E1646" s="94"/>
    </row>
    <row r="1647" spans="1:5" x14ac:dyDescent="0.25">
      <c r="A1647" s="96" t="s">
        <v>84</v>
      </c>
      <c r="B1647" s="96"/>
      <c r="C1647" s="96"/>
      <c r="D1647" s="96"/>
      <c r="E1647" s="96"/>
    </row>
    <row r="1648" spans="1:5" x14ac:dyDescent="0.25">
      <c r="A1648" s="238" t="s">
        <v>100</v>
      </c>
      <c r="B1648" s="239"/>
      <c r="C1648" s="239"/>
      <c r="D1648" s="239"/>
      <c r="E1648" s="239"/>
    </row>
    <row r="1649" spans="1:5" x14ac:dyDescent="0.25">
      <c r="A1649" s="95"/>
      <c r="B1649" s="95"/>
      <c r="C1649" s="95"/>
      <c r="D1649" s="95"/>
      <c r="E1649" s="95"/>
    </row>
    <row r="1650" spans="1:5" ht="15.75" thickBot="1" x14ac:dyDescent="0.3">
      <c r="A1650" s="94"/>
      <c r="B1650" s="94"/>
      <c r="C1650" s="95"/>
      <c r="D1650" s="94"/>
      <c r="E1650" s="109" t="s">
        <v>1496</v>
      </c>
    </row>
    <row r="1651" spans="1:5" x14ac:dyDescent="0.25">
      <c r="A1651" s="97" t="s">
        <v>16</v>
      </c>
      <c r="B1651" s="98" t="s">
        <v>79</v>
      </c>
      <c r="C1651" s="98" t="s">
        <v>80</v>
      </c>
      <c r="D1651" s="98" t="s">
        <v>77</v>
      </c>
      <c r="E1651" s="99" t="s">
        <v>10</v>
      </c>
    </row>
    <row r="1652" spans="1:5" x14ac:dyDescent="0.25">
      <c r="A1652" s="100">
        <v>1</v>
      </c>
      <c r="B1652" s="151" t="s">
        <v>1498</v>
      </c>
      <c r="C1652" s="152" t="s">
        <v>1501</v>
      </c>
      <c r="D1652" s="103"/>
      <c r="E1652" s="104">
        <v>5000</v>
      </c>
    </row>
    <row r="1653" spans="1:5" x14ac:dyDescent="0.25">
      <c r="A1653" s="100">
        <f>A1652+1</f>
        <v>2</v>
      </c>
      <c r="B1653" s="151" t="s">
        <v>1499</v>
      </c>
      <c r="C1653" s="152" t="s">
        <v>1502</v>
      </c>
      <c r="D1653" s="103"/>
      <c r="E1653" s="104">
        <v>5000</v>
      </c>
    </row>
    <row r="1654" spans="1:5" x14ac:dyDescent="0.25">
      <c r="A1654" s="100">
        <f t="shared" ref="A1654:A1658" si="27">A1653+1</f>
        <v>3</v>
      </c>
      <c r="B1654" s="151" t="s">
        <v>1500</v>
      </c>
      <c r="C1654" s="152" t="s">
        <v>1503</v>
      </c>
      <c r="D1654" s="103"/>
      <c r="E1654" s="104">
        <v>5000</v>
      </c>
    </row>
    <row r="1655" spans="1:5" x14ac:dyDescent="0.25">
      <c r="A1655" s="100">
        <f t="shared" si="27"/>
        <v>4</v>
      </c>
      <c r="B1655" s="151" t="s">
        <v>1508</v>
      </c>
      <c r="C1655" s="152" t="s">
        <v>1504</v>
      </c>
      <c r="D1655" s="103"/>
      <c r="E1655" s="104">
        <v>12500</v>
      </c>
    </row>
    <row r="1656" spans="1:5" x14ac:dyDescent="0.25">
      <c r="A1656" s="100">
        <f t="shared" si="27"/>
        <v>5</v>
      </c>
      <c r="B1656" s="151" t="s">
        <v>1509</v>
      </c>
      <c r="C1656" s="152" t="s">
        <v>1505</v>
      </c>
      <c r="D1656" s="103"/>
      <c r="E1656" s="104">
        <v>32500</v>
      </c>
    </row>
    <row r="1657" spans="1:5" x14ac:dyDescent="0.25">
      <c r="A1657" s="100">
        <f t="shared" si="27"/>
        <v>6</v>
      </c>
      <c r="B1657" s="151" t="s">
        <v>1510</v>
      </c>
      <c r="C1657" s="152" t="s">
        <v>1506</v>
      </c>
      <c r="D1657" s="103"/>
      <c r="E1657" s="104">
        <v>5000</v>
      </c>
    </row>
    <row r="1658" spans="1:5" x14ac:dyDescent="0.25">
      <c r="A1658" s="100">
        <f t="shared" si="27"/>
        <v>7</v>
      </c>
      <c r="B1658" s="151" t="s">
        <v>1511</v>
      </c>
      <c r="C1658" s="152" t="s">
        <v>1507</v>
      </c>
      <c r="D1658" s="103"/>
      <c r="E1658" s="104">
        <v>5000</v>
      </c>
    </row>
    <row r="1659" spans="1:5" x14ac:dyDescent="0.25">
      <c r="A1659" s="100"/>
      <c r="B1659" s="151"/>
      <c r="C1659" s="152"/>
      <c r="D1659" s="103"/>
      <c r="E1659" s="104"/>
    </row>
    <row r="1660" spans="1:5" ht="15.75" thickBot="1" x14ac:dyDescent="0.3">
      <c r="A1660" s="105"/>
      <c r="B1660" s="240" t="s">
        <v>10</v>
      </c>
      <c r="C1660" s="241"/>
      <c r="D1660" s="242"/>
      <c r="E1660" s="106">
        <f>SUM(E1652:E1659)</f>
        <v>70000</v>
      </c>
    </row>
    <row r="1661" spans="1:5" x14ac:dyDescent="0.25">
      <c r="A1661" s="95"/>
      <c r="B1661" s="130"/>
      <c r="C1661" s="130"/>
      <c r="E1661" s="131"/>
    </row>
    <row r="1662" spans="1:5" x14ac:dyDescent="0.25">
      <c r="A1662" s="94"/>
      <c r="B1662" s="94"/>
      <c r="C1662" s="95"/>
      <c r="D1662" s="108" t="s">
        <v>1497</v>
      </c>
      <c r="E1662" s="94"/>
    </row>
    <row r="1663" spans="1:5" x14ac:dyDescent="0.25">
      <c r="D1663" s="108" t="s">
        <v>83</v>
      </c>
    </row>
    <row r="1697" spans="1:5" x14ac:dyDescent="0.25">
      <c r="A1697" s="93" t="s">
        <v>0</v>
      </c>
      <c r="B1697" s="129"/>
      <c r="C1697" s="129"/>
      <c r="D1697" s="129"/>
      <c r="E1697" s="129"/>
    </row>
    <row r="1698" spans="1:5" x14ac:dyDescent="0.25">
      <c r="A1698" s="93" t="s">
        <v>1</v>
      </c>
      <c r="B1698" s="94"/>
      <c r="C1698" s="95"/>
      <c r="D1698" s="94"/>
      <c r="E1698" s="94"/>
    </row>
    <row r="1699" spans="1:5" x14ac:dyDescent="0.25">
      <c r="A1699" s="93"/>
      <c r="B1699" s="94"/>
      <c r="C1699" s="95"/>
      <c r="D1699" s="94"/>
      <c r="E1699" s="94"/>
    </row>
    <row r="1700" spans="1:5" x14ac:dyDescent="0.25">
      <c r="A1700" s="96" t="s">
        <v>84</v>
      </c>
      <c r="B1700" s="96"/>
      <c r="C1700" s="96"/>
      <c r="D1700" s="96"/>
      <c r="E1700" s="96"/>
    </row>
    <row r="1701" spans="1:5" x14ac:dyDescent="0.25">
      <c r="A1701" s="238" t="s">
        <v>100</v>
      </c>
      <c r="B1701" s="239"/>
      <c r="C1701" s="239"/>
      <c r="D1701" s="239"/>
      <c r="E1701" s="239"/>
    </row>
    <row r="1702" spans="1:5" x14ac:dyDescent="0.25">
      <c r="A1702" s="95"/>
      <c r="B1702" s="95"/>
      <c r="C1702" s="95"/>
      <c r="D1702" s="95"/>
      <c r="E1702" s="95"/>
    </row>
    <row r="1703" spans="1:5" ht="15.75" thickBot="1" x14ac:dyDescent="0.3">
      <c r="A1703" s="94"/>
      <c r="B1703" s="94"/>
      <c r="C1703" s="95"/>
      <c r="D1703" s="94"/>
      <c r="E1703" s="109" t="s">
        <v>1512</v>
      </c>
    </row>
    <row r="1704" spans="1:5" x14ac:dyDescent="0.25">
      <c r="A1704" s="97" t="s">
        <v>16</v>
      </c>
      <c r="B1704" s="98" t="s">
        <v>79</v>
      </c>
      <c r="C1704" s="98" t="s">
        <v>80</v>
      </c>
      <c r="D1704" s="98" t="s">
        <v>77</v>
      </c>
      <c r="E1704" s="99" t="s">
        <v>10</v>
      </c>
    </row>
    <row r="1705" spans="1:5" x14ac:dyDescent="0.25">
      <c r="A1705" s="100">
        <v>1</v>
      </c>
      <c r="B1705" s="151" t="s">
        <v>1514</v>
      </c>
      <c r="C1705" s="152" t="s">
        <v>1521</v>
      </c>
      <c r="D1705" s="103"/>
      <c r="E1705" s="104">
        <v>12500</v>
      </c>
    </row>
    <row r="1706" spans="1:5" x14ac:dyDescent="0.25">
      <c r="A1706" s="100">
        <f>A1705+1</f>
        <v>2</v>
      </c>
      <c r="B1706" s="151" t="s">
        <v>1515</v>
      </c>
      <c r="C1706" s="152" t="s">
        <v>1522</v>
      </c>
      <c r="D1706" s="103"/>
      <c r="E1706" s="104">
        <v>5000</v>
      </c>
    </row>
    <row r="1707" spans="1:5" x14ac:dyDescent="0.25">
      <c r="A1707" s="100">
        <f t="shared" ref="A1707:A1716" si="28">A1706+1</f>
        <v>3</v>
      </c>
      <c r="B1707" s="151" t="s">
        <v>1516</v>
      </c>
      <c r="C1707" s="152" t="s">
        <v>1523</v>
      </c>
      <c r="D1707" s="103"/>
      <c r="E1707" s="104">
        <v>10000</v>
      </c>
    </row>
    <row r="1708" spans="1:5" x14ac:dyDescent="0.25">
      <c r="A1708" s="100">
        <f t="shared" si="28"/>
        <v>4</v>
      </c>
      <c r="B1708" s="151" t="s">
        <v>1517</v>
      </c>
      <c r="C1708" s="152" t="s">
        <v>1524</v>
      </c>
      <c r="D1708" s="103"/>
      <c r="E1708" s="104">
        <v>5000</v>
      </c>
    </row>
    <row r="1709" spans="1:5" x14ac:dyDescent="0.25">
      <c r="A1709" s="100">
        <f t="shared" si="28"/>
        <v>5</v>
      </c>
      <c r="B1709" s="151" t="s">
        <v>1537</v>
      </c>
      <c r="C1709" s="152" t="s">
        <v>1536</v>
      </c>
      <c r="D1709" s="103"/>
      <c r="E1709" s="104">
        <v>5000</v>
      </c>
    </row>
    <row r="1710" spans="1:5" x14ac:dyDescent="0.25">
      <c r="A1710" s="100">
        <f t="shared" si="28"/>
        <v>6</v>
      </c>
      <c r="B1710" s="151" t="s">
        <v>1518</v>
      </c>
      <c r="C1710" s="152" t="s">
        <v>1525</v>
      </c>
      <c r="D1710" s="103"/>
      <c r="E1710" s="104">
        <v>12500</v>
      </c>
    </row>
    <row r="1711" spans="1:5" x14ac:dyDescent="0.25">
      <c r="A1711" s="100">
        <f t="shared" si="28"/>
        <v>7</v>
      </c>
      <c r="B1711" s="151" t="s">
        <v>1519</v>
      </c>
      <c r="C1711" s="152" t="s">
        <v>1526</v>
      </c>
      <c r="D1711" s="103"/>
      <c r="E1711" s="104">
        <v>12500</v>
      </c>
    </row>
    <row r="1712" spans="1:5" x14ac:dyDescent="0.25">
      <c r="A1712" s="100">
        <f t="shared" si="28"/>
        <v>8</v>
      </c>
      <c r="B1712" s="151" t="s">
        <v>1520</v>
      </c>
      <c r="C1712" s="152" t="s">
        <v>1527</v>
      </c>
      <c r="D1712" s="103"/>
      <c r="E1712" s="104">
        <v>22500</v>
      </c>
    </row>
    <row r="1713" spans="1:5" x14ac:dyDescent="0.25">
      <c r="A1713" s="100">
        <f t="shared" si="28"/>
        <v>9</v>
      </c>
      <c r="B1713" s="151" t="s">
        <v>1532</v>
      </c>
      <c r="C1713" s="152" t="s">
        <v>1528</v>
      </c>
      <c r="D1713" s="103"/>
      <c r="E1713" s="104">
        <v>12500</v>
      </c>
    </row>
    <row r="1714" spans="1:5" x14ac:dyDescent="0.25">
      <c r="A1714" s="100">
        <f t="shared" si="28"/>
        <v>10</v>
      </c>
      <c r="B1714" s="151" t="s">
        <v>1533</v>
      </c>
      <c r="C1714" s="152" t="s">
        <v>1529</v>
      </c>
      <c r="D1714" s="103"/>
      <c r="E1714" s="104">
        <v>12500</v>
      </c>
    </row>
    <row r="1715" spans="1:5" x14ac:dyDescent="0.25">
      <c r="A1715" s="100">
        <f t="shared" si="28"/>
        <v>11</v>
      </c>
      <c r="B1715" s="151" t="s">
        <v>1534</v>
      </c>
      <c r="C1715" s="152" t="s">
        <v>1530</v>
      </c>
      <c r="D1715" s="103"/>
      <c r="E1715" s="104">
        <v>12500</v>
      </c>
    </row>
    <row r="1716" spans="1:5" x14ac:dyDescent="0.25">
      <c r="A1716" s="100">
        <f t="shared" si="28"/>
        <v>12</v>
      </c>
      <c r="B1716" s="151" t="s">
        <v>1535</v>
      </c>
      <c r="C1716" s="152" t="s">
        <v>1531</v>
      </c>
      <c r="D1716" s="103"/>
      <c r="E1716" s="104">
        <v>5000</v>
      </c>
    </row>
    <row r="1717" spans="1:5" x14ac:dyDescent="0.25">
      <c r="A1717" s="100"/>
      <c r="B1717" s="151"/>
      <c r="C1717" s="152"/>
      <c r="D1717" s="103"/>
      <c r="E1717" s="104"/>
    </row>
    <row r="1718" spans="1:5" ht="15.75" thickBot="1" x14ac:dyDescent="0.3">
      <c r="A1718" s="105"/>
      <c r="B1718" s="240" t="s">
        <v>10</v>
      </c>
      <c r="C1718" s="241"/>
      <c r="D1718" s="242"/>
      <c r="E1718" s="106">
        <f>SUM(E1705:E1717)</f>
        <v>127500</v>
      </c>
    </row>
    <row r="1719" spans="1:5" x14ac:dyDescent="0.25">
      <c r="A1719" s="95"/>
      <c r="B1719" s="130"/>
      <c r="C1719" s="130"/>
      <c r="E1719" s="131"/>
    </row>
    <row r="1720" spans="1:5" x14ac:dyDescent="0.25">
      <c r="A1720" s="94"/>
      <c r="B1720" s="94"/>
      <c r="C1720" s="95"/>
      <c r="D1720" s="108" t="s">
        <v>1513</v>
      </c>
      <c r="E1720" s="94"/>
    </row>
    <row r="1721" spans="1:5" x14ac:dyDescent="0.25">
      <c r="D1721" s="108" t="s">
        <v>83</v>
      </c>
    </row>
    <row r="1750" spans="1:5" x14ac:dyDescent="0.25">
      <c r="A1750" s="93" t="s">
        <v>0</v>
      </c>
      <c r="B1750" s="129"/>
      <c r="C1750" s="129"/>
      <c r="D1750" s="129"/>
      <c r="E1750" s="129"/>
    </row>
    <row r="1751" spans="1:5" x14ac:dyDescent="0.25">
      <c r="A1751" s="93" t="s">
        <v>1</v>
      </c>
      <c r="B1751" s="94"/>
      <c r="C1751" s="95"/>
      <c r="D1751" s="94"/>
      <c r="E1751" s="94"/>
    </row>
    <row r="1752" spans="1:5" x14ac:dyDescent="0.25">
      <c r="A1752" s="93"/>
      <c r="B1752" s="94"/>
      <c r="C1752" s="95"/>
      <c r="D1752" s="94"/>
      <c r="E1752" s="94"/>
    </row>
    <row r="1753" spans="1:5" x14ac:dyDescent="0.25">
      <c r="A1753" s="96" t="s">
        <v>84</v>
      </c>
      <c r="B1753" s="96"/>
      <c r="C1753" s="96"/>
      <c r="D1753" s="96"/>
      <c r="E1753" s="96"/>
    </row>
    <row r="1754" spans="1:5" x14ac:dyDescent="0.25">
      <c r="A1754" s="238" t="s">
        <v>100</v>
      </c>
      <c r="B1754" s="239"/>
      <c r="C1754" s="239"/>
      <c r="D1754" s="239"/>
      <c r="E1754" s="239"/>
    </row>
    <row r="1755" spans="1:5" x14ac:dyDescent="0.25">
      <c r="A1755" s="95"/>
      <c r="B1755" s="95"/>
      <c r="C1755" s="95"/>
      <c r="D1755" s="95"/>
      <c r="E1755" s="95"/>
    </row>
    <row r="1756" spans="1:5" ht="15.75" thickBot="1" x14ac:dyDescent="0.3">
      <c r="A1756" s="94"/>
      <c r="B1756" s="94"/>
      <c r="C1756" s="95"/>
      <c r="D1756" s="94"/>
      <c r="E1756" s="109" t="s">
        <v>1539</v>
      </c>
    </row>
    <row r="1757" spans="1:5" x14ac:dyDescent="0.25">
      <c r="A1757" s="97" t="s">
        <v>16</v>
      </c>
      <c r="B1757" s="98" t="s">
        <v>79</v>
      </c>
      <c r="C1757" s="98" t="s">
        <v>80</v>
      </c>
      <c r="D1757" s="98" t="s">
        <v>77</v>
      </c>
      <c r="E1757" s="99" t="s">
        <v>10</v>
      </c>
    </row>
    <row r="1758" spans="1:5" x14ac:dyDescent="0.25">
      <c r="A1758" s="100">
        <v>1</v>
      </c>
      <c r="B1758" s="151"/>
      <c r="C1758" s="152"/>
      <c r="D1758" s="103"/>
      <c r="E1758" s="104"/>
    </row>
    <row r="1759" spans="1:5" x14ac:dyDescent="0.25">
      <c r="A1759" s="100">
        <f>A1758+1</f>
        <v>2</v>
      </c>
      <c r="B1759" s="151"/>
      <c r="C1759" s="152"/>
      <c r="D1759" s="103"/>
      <c r="E1759" s="104"/>
    </row>
    <row r="1760" spans="1:5" x14ac:dyDescent="0.25">
      <c r="A1760" s="100">
        <f t="shared" ref="A1760:A1769" si="29">A1759+1</f>
        <v>3</v>
      </c>
      <c r="B1760" s="151"/>
      <c r="C1760" s="152"/>
      <c r="D1760" s="103"/>
      <c r="E1760" s="104"/>
    </row>
    <row r="1761" spans="1:5" x14ac:dyDescent="0.25">
      <c r="A1761" s="100">
        <f t="shared" si="29"/>
        <v>4</v>
      </c>
      <c r="B1761" s="243" t="s">
        <v>1541</v>
      </c>
      <c r="C1761" s="256"/>
      <c r="D1761" s="256"/>
      <c r="E1761" s="257"/>
    </row>
    <row r="1762" spans="1:5" x14ac:dyDescent="0.25">
      <c r="A1762" s="100">
        <f t="shared" si="29"/>
        <v>5</v>
      </c>
      <c r="B1762" s="258"/>
      <c r="C1762" s="259"/>
      <c r="D1762" s="259"/>
      <c r="E1762" s="260"/>
    </row>
    <row r="1763" spans="1:5" x14ac:dyDescent="0.25">
      <c r="A1763" s="100">
        <f t="shared" si="29"/>
        <v>6</v>
      </c>
      <c r="B1763" s="151"/>
      <c r="C1763" s="152"/>
      <c r="D1763" s="103"/>
      <c r="E1763" s="104"/>
    </row>
    <row r="1764" spans="1:5" x14ac:dyDescent="0.25">
      <c r="A1764" s="100">
        <f t="shared" si="29"/>
        <v>7</v>
      </c>
      <c r="B1764" s="151"/>
      <c r="C1764" s="152"/>
      <c r="D1764" s="103"/>
      <c r="E1764" s="104"/>
    </row>
    <row r="1765" spans="1:5" x14ac:dyDescent="0.25">
      <c r="A1765" s="100">
        <f t="shared" si="29"/>
        <v>8</v>
      </c>
      <c r="B1765" s="151"/>
      <c r="C1765" s="152"/>
      <c r="D1765" s="103"/>
      <c r="E1765" s="104"/>
    </row>
    <row r="1766" spans="1:5" x14ac:dyDescent="0.25">
      <c r="A1766" s="100">
        <f t="shared" si="29"/>
        <v>9</v>
      </c>
      <c r="B1766" s="151"/>
      <c r="C1766" s="152"/>
      <c r="D1766" s="103"/>
      <c r="E1766" s="104"/>
    </row>
    <row r="1767" spans="1:5" x14ac:dyDescent="0.25">
      <c r="A1767" s="100">
        <f t="shared" si="29"/>
        <v>10</v>
      </c>
      <c r="B1767" s="151"/>
      <c r="C1767" s="152"/>
      <c r="D1767" s="103"/>
      <c r="E1767" s="104"/>
    </row>
    <row r="1768" spans="1:5" x14ac:dyDescent="0.25">
      <c r="A1768" s="100">
        <f t="shared" si="29"/>
        <v>11</v>
      </c>
      <c r="B1768" s="151"/>
      <c r="C1768" s="152"/>
      <c r="D1768" s="103"/>
      <c r="E1768" s="104"/>
    </row>
    <row r="1769" spans="1:5" x14ac:dyDescent="0.25">
      <c r="A1769" s="100">
        <f t="shared" si="29"/>
        <v>12</v>
      </c>
      <c r="B1769" s="151"/>
      <c r="C1769" s="152"/>
      <c r="D1769" s="103"/>
      <c r="E1769" s="104"/>
    </row>
    <row r="1770" spans="1:5" x14ac:dyDescent="0.25">
      <c r="A1770" s="100"/>
      <c r="B1770" s="151"/>
      <c r="C1770" s="152"/>
      <c r="D1770" s="103"/>
      <c r="E1770" s="104"/>
    </row>
    <row r="1771" spans="1:5" ht="15.75" thickBot="1" x14ac:dyDescent="0.3">
      <c r="A1771" s="105"/>
      <c r="B1771" s="240" t="s">
        <v>10</v>
      </c>
      <c r="C1771" s="241"/>
      <c r="D1771" s="242"/>
      <c r="E1771" s="106">
        <f>SUM(E1758:E1770)</f>
        <v>0</v>
      </c>
    </row>
    <row r="1772" spans="1:5" x14ac:dyDescent="0.25">
      <c r="A1772" s="95"/>
      <c r="B1772" s="130"/>
      <c r="C1772" s="130"/>
      <c r="E1772" s="131"/>
    </row>
    <row r="1773" spans="1:5" x14ac:dyDescent="0.25">
      <c r="A1773" s="94"/>
      <c r="B1773" s="94"/>
      <c r="C1773" s="95"/>
      <c r="D1773" s="108" t="s">
        <v>1540</v>
      </c>
      <c r="E1773" s="94"/>
    </row>
    <row r="1774" spans="1:5" x14ac:dyDescent="0.25">
      <c r="D1774" s="108" t="s">
        <v>83</v>
      </c>
    </row>
    <row r="1803" spans="1:5" x14ac:dyDescent="0.25">
      <c r="A1803" s="93" t="s">
        <v>0</v>
      </c>
      <c r="B1803" s="129"/>
      <c r="C1803" s="129"/>
      <c r="D1803" s="129"/>
      <c r="E1803" s="129"/>
    </row>
    <row r="1804" spans="1:5" x14ac:dyDescent="0.25">
      <c r="A1804" s="93" t="s">
        <v>1</v>
      </c>
      <c r="B1804" s="94"/>
      <c r="C1804" s="95"/>
      <c r="D1804" s="94"/>
      <c r="E1804" s="94"/>
    </row>
    <row r="1805" spans="1:5" x14ac:dyDescent="0.25">
      <c r="A1805" s="93"/>
      <c r="B1805" s="94"/>
      <c r="C1805" s="95"/>
      <c r="D1805" s="94"/>
      <c r="E1805" s="94"/>
    </row>
    <row r="1806" spans="1:5" x14ac:dyDescent="0.25">
      <c r="A1806" s="96" t="s">
        <v>84</v>
      </c>
      <c r="B1806" s="96"/>
      <c r="C1806" s="96"/>
      <c r="D1806" s="96"/>
      <c r="E1806" s="96"/>
    </row>
    <row r="1807" spans="1:5" x14ac:dyDescent="0.25">
      <c r="A1807" s="238" t="s">
        <v>100</v>
      </c>
      <c r="B1807" s="239"/>
      <c r="C1807" s="239"/>
      <c r="D1807" s="239"/>
      <c r="E1807" s="239"/>
    </row>
    <row r="1808" spans="1:5" x14ac:dyDescent="0.25">
      <c r="A1808" s="95"/>
      <c r="B1808" s="95"/>
      <c r="C1808" s="95"/>
      <c r="D1808" s="95"/>
      <c r="E1808" s="95"/>
    </row>
    <row r="1809" spans="1:5" ht="15.75" thickBot="1" x14ac:dyDescent="0.3">
      <c r="A1809" s="94"/>
      <c r="B1809" s="94"/>
      <c r="C1809" s="95"/>
      <c r="D1809" s="94"/>
      <c r="E1809" s="109" t="s">
        <v>1542</v>
      </c>
    </row>
    <row r="1810" spans="1:5" x14ac:dyDescent="0.25">
      <c r="A1810" s="97" t="s">
        <v>16</v>
      </c>
      <c r="B1810" s="98" t="s">
        <v>79</v>
      </c>
      <c r="C1810" s="98" t="s">
        <v>80</v>
      </c>
      <c r="D1810" s="98" t="s">
        <v>77</v>
      </c>
      <c r="E1810" s="99" t="s">
        <v>10</v>
      </c>
    </row>
    <row r="1811" spans="1:5" x14ac:dyDescent="0.25">
      <c r="A1811" s="100">
        <v>1</v>
      </c>
      <c r="B1811" s="151" t="s">
        <v>1544</v>
      </c>
      <c r="C1811" s="152" t="s">
        <v>1548</v>
      </c>
      <c r="D1811" s="103"/>
      <c r="E1811" s="104">
        <v>22500</v>
      </c>
    </row>
    <row r="1812" spans="1:5" x14ac:dyDescent="0.25">
      <c r="A1812" s="100">
        <f>A1811+1</f>
        <v>2</v>
      </c>
      <c r="B1812" s="151" t="s">
        <v>1545</v>
      </c>
      <c r="C1812" s="152" t="s">
        <v>1549</v>
      </c>
      <c r="D1812" s="103"/>
      <c r="E1812" s="104">
        <v>5000</v>
      </c>
    </row>
    <row r="1813" spans="1:5" x14ac:dyDescent="0.25">
      <c r="A1813" s="100">
        <f t="shared" ref="A1813:A1847" si="30">A1812+1</f>
        <v>3</v>
      </c>
      <c r="B1813" s="151" t="s">
        <v>1546</v>
      </c>
      <c r="C1813" s="152" t="s">
        <v>1550</v>
      </c>
      <c r="D1813" s="103"/>
      <c r="E1813" s="104">
        <v>5000</v>
      </c>
    </row>
    <row r="1814" spans="1:5" x14ac:dyDescent="0.25">
      <c r="A1814" s="100">
        <f t="shared" si="30"/>
        <v>4</v>
      </c>
      <c r="B1814" s="151" t="s">
        <v>1547</v>
      </c>
      <c r="C1814" s="152" t="s">
        <v>1551</v>
      </c>
      <c r="D1814" s="103"/>
      <c r="E1814" s="104">
        <v>5000</v>
      </c>
    </row>
    <row r="1815" spans="1:5" x14ac:dyDescent="0.25">
      <c r="A1815" s="100">
        <f t="shared" si="30"/>
        <v>5</v>
      </c>
      <c r="B1815" s="151" t="s">
        <v>1562</v>
      </c>
      <c r="C1815" s="152" t="s">
        <v>1552</v>
      </c>
      <c r="D1815" s="103"/>
      <c r="E1815" s="104">
        <v>5000</v>
      </c>
    </row>
    <row r="1816" spans="1:5" x14ac:dyDescent="0.25">
      <c r="A1816" s="100">
        <f t="shared" si="30"/>
        <v>6</v>
      </c>
      <c r="B1816" s="151" t="s">
        <v>1561</v>
      </c>
      <c r="C1816" s="152" t="s">
        <v>1553</v>
      </c>
      <c r="D1816" s="103"/>
      <c r="E1816" s="104">
        <v>5000</v>
      </c>
    </row>
    <row r="1817" spans="1:5" x14ac:dyDescent="0.25">
      <c r="A1817" s="100">
        <f t="shared" si="30"/>
        <v>7</v>
      </c>
      <c r="B1817" s="151" t="s">
        <v>1563</v>
      </c>
      <c r="C1817" s="152" t="s">
        <v>1554</v>
      </c>
      <c r="D1817" s="103"/>
      <c r="E1817" s="104">
        <v>5000</v>
      </c>
    </row>
    <row r="1818" spans="1:5" x14ac:dyDescent="0.25">
      <c r="A1818" s="100">
        <f t="shared" si="30"/>
        <v>8</v>
      </c>
      <c r="B1818" s="151" t="s">
        <v>1564</v>
      </c>
      <c r="C1818" s="152" t="s">
        <v>1555</v>
      </c>
      <c r="D1818" s="103"/>
      <c r="E1818" s="104">
        <v>22500</v>
      </c>
    </row>
    <row r="1819" spans="1:5" x14ac:dyDescent="0.25">
      <c r="A1819" s="100">
        <f t="shared" si="30"/>
        <v>9</v>
      </c>
      <c r="B1819" s="151" t="s">
        <v>1565</v>
      </c>
      <c r="C1819" s="152" t="s">
        <v>1556</v>
      </c>
      <c r="D1819" s="103"/>
      <c r="E1819" s="104">
        <v>5000</v>
      </c>
    </row>
    <row r="1820" spans="1:5" x14ac:dyDescent="0.25">
      <c r="A1820" s="100">
        <f t="shared" si="30"/>
        <v>10</v>
      </c>
      <c r="B1820" s="151" t="s">
        <v>541</v>
      </c>
      <c r="C1820" s="152" t="s">
        <v>533</v>
      </c>
      <c r="D1820" s="103"/>
      <c r="E1820" s="104">
        <v>5000</v>
      </c>
    </row>
    <row r="1821" spans="1:5" x14ac:dyDescent="0.25">
      <c r="A1821" s="100">
        <f t="shared" si="30"/>
        <v>11</v>
      </c>
      <c r="B1821" s="151" t="s">
        <v>1566</v>
      </c>
      <c r="C1821" s="152" t="s">
        <v>1557</v>
      </c>
      <c r="D1821" s="103"/>
      <c r="E1821" s="104">
        <v>5000</v>
      </c>
    </row>
    <row r="1822" spans="1:5" x14ac:dyDescent="0.25">
      <c r="A1822" s="100">
        <f t="shared" si="30"/>
        <v>12</v>
      </c>
      <c r="B1822" s="151" t="s">
        <v>1567</v>
      </c>
      <c r="C1822" s="152" t="s">
        <v>1558</v>
      </c>
      <c r="D1822" s="103"/>
      <c r="E1822" s="104">
        <v>22500</v>
      </c>
    </row>
    <row r="1823" spans="1:5" x14ac:dyDescent="0.25">
      <c r="A1823" s="100">
        <f t="shared" si="30"/>
        <v>13</v>
      </c>
      <c r="B1823" s="151" t="s">
        <v>1568</v>
      </c>
      <c r="C1823" s="152" t="s">
        <v>1559</v>
      </c>
      <c r="D1823" s="103"/>
      <c r="E1823" s="104">
        <v>42500</v>
      </c>
    </row>
    <row r="1824" spans="1:5" x14ac:dyDescent="0.25">
      <c r="A1824" s="100">
        <f t="shared" si="30"/>
        <v>14</v>
      </c>
      <c r="B1824" s="151" t="s">
        <v>1569</v>
      </c>
      <c r="C1824" s="152" t="s">
        <v>1560</v>
      </c>
      <c r="D1824" s="103"/>
      <c r="E1824" s="104">
        <v>5000</v>
      </c>
    </row>
    <row r="1825" spans="1:5" x14ac:dyDescent="0.25">
      <c r="A1825" s="100">
        <f t="shared" si="30"/>
        <v>15</v>
      </c>
      <c r="B1825" s="151" t="s">
        <v>1570</v>
      </c>
      <c r="C1825" s="152" t="s">
        <v>1578</v>
      </c>
      <c r="D1825" s="103"/>
      <c r="E1825" s="104">
        <v>5000</v>
      </c>
    </row>
    <row r="1826" spans="1:5" x14ac:dyDescent="0.25">
      <c r="A1826" s="100">
        <f t="shared" si="30"/>
        <v>16</v>
      </c>
      <c r="B1826" s="151" t="s">
        <v>1571</v>
      </c>
      <c r="C1826" s="152" t="s">
        <v>1579</v>
      </c>
      <c r="D1826" s="103"/>
      <c r="E1826" s="104">
        <v>5000</v>
      </c>
    </row>
    <row r="1827" spans="1:5" x14ac:dyDescent="0.25">
      <c r="A1827" s="100">
        <f t="shared" si="30"/>
        <v>17</v>
      </c>
      <c r="B1827" s="151" t="s">
        <v>1572</v>
      </c>
      <c r="C1827" s="152" t="s">
        <v>1580</v>
      </c>
      <c r="D1827" s="103"/>
      <c r="E1827" s="104">
        <v>5000</v>
      </c>
    </row>
    <row r="1828" spans="1:5" x14ac:dyDescent="0.25">
      <c r="A1828" s="100">
        <f t="shared" si="30"/>
        <v>18</v>
      </c>
      <c r="B1828" s="151" t="s">
        <v>1573</v>
      </c>
      <c r="C1828" s="152" t="s">
        <v>1581</v>
      </c>
      <c r="D1828" s="103"/>
      <c r="E1828" s="104">
        <v>5000</v>
      </c>
    </row>
    <row r="1829" spans="1:5" x14ac:dyDescent="0.25">
      <c r="A1829" s="100">
        <f t="shared" si="30"/>
        <v>19</v>
      </c>
      <c r="B1829" s="151" t="s">
        <v>1574</v>
      </c>
      <c r="C1829" s="152" t="s">
        <v>1582</v>
      </c>
      <c r="D1829" s="103"/>
      <c r="E1829" s="104">
        <v>5000</v>
      </c>
    </row>
    <row r="1830" spans="1:5" x14ac:dyDescent="0.25">
      <c r="A1830" s="100">
        <f t="shared" si="30"/>
        <v>20</v>
      </c>
      <c r="B1830" s="151" t="s">
        <v>1575</v>
      </c>
      <c r="C1830" s="152" t="s">
        <v>1583</v>
      </c>
      <c r="D1830" s="103"/>
      <c r="E1830" s="104">
        <v>5000</v>
      </c>
    </row>
    <row r="1831" spans="1:5" x14ac:dyDescent="0.25">
      <c r="A1831" s="100">
        <f t="shared" si="30"/>
        <v>21</v>
      </c>
      <c r="B1831" s="151" t="s">
        <v>1577</v>
      </c>
      <c r="C1831" s="152" t="s">
        <v>1584</v>
      </c>
      <c r="D1831" s="103"/>
      <c r="E1831" s="104">
        <v>32500</v>
      </c>
    </row>
    <row r="1832" spans="1:5" x14ac:dyDescent="0.25">
      <c r="A1832" s="100">
        <f t="shared" si="30"/>
        <v>22</v>
      </c>
      <c r="B1832" s="151" t="s">
        <v>1576</v>
      </c>
      <c r="C1832" s="152" t="s">
        <v>1585</v>
      </c>
      <c r="D1832" s="103"/>
      <c r="E1832" s="104">
        <v>5000</v>
      </c>
    </row>
    <row r="1833" spans="1:5" x14ac:dyDescent="0.25">
      <c r="A1833" s="100">
        <f t="shared" si="30"/>
        <v>23</v>
      </c>
      <c r="B1833" s="151" t="s">
        <v>1592</v>
      </c>
      <c r="C1833" s="152" t="s">
        <v>1586</v>
      </c>
      <c r="D1833" s="103"/>
      <c r="E1833" s="104">
        <v>32500</v>
      </c>
    </row>
    <row r="1834" spans="1:5" x14ac:dyDescent="0.25">
      <c r="A1834" s="100">
        <f t="shared" si="30"/>
        <v>24</v>
      </c>
      <c r="B1834" s="151" t="s">
        <v>1593</v>
      </c>
      <c r="C1834" s="152" t="s">
        <v>1587</v>
      </c>
      <c r="D1834" s="103"/>
      <c r="E1834" s="104">
        <v>42500</v>
      </c>
    </row>
    <row r="1835" spans="1:5" x14ac:dyDescent="0.25">
      <c r="A1835" s="100">
        <f t="shared" si="30"/>
        <v>25</v>
      </c>
      <c r="B1835" s="151" t="s">
        <v>1594</v>
      </c>
      <c r="C1835" s="152" t="s">
        <v>1588</v>
      </c>
      <c r="D1835" s="103"/>
      <c r="E1835" s="104">
        <v>5000</v>
      </c>
    </row>
    <row r="1836" spans="1:5" x14ac:dyDescent="0.25">
      <c r="A1836" s="100">
        <f t="shared" si="30"/>
        <v>26</v>
      </c>
      <c r="B1836" s="151" t="s">
        <v>1595</v>
      </c>
      <c r="C1836" s="152" t="s">
        <v>1589</v>
      </c>
      <c r="D1836" s="103"/>
      <c r="E1836" s="104">
        <v>22500</v>
      </c>
    </row>
    <row r="1837" spans="1:5" x14ac:dyDescent="0.25">
      <c r="A1837" s="100">
        <f t="shared" si="30"/>
        <v>27</v>
      </c>
      <c r="B1837" s="151" t="s">
        <v>1596</v>
      </c>
      <c r="C1837" s="152" t="s">
        <v>1590</v>
      </c>
      <c r="D1837" s="103"/>
      <c r="E1837" s="104">
        <v>5000</v>
      </c>
    </row>
    <row r="1838" spans="1:5" x14ac:dyDescent="0.25">
      <c r="A1838" s="100">
        <f t="shared" si="30"/>
        <v>28</v>
      </c>
      <c r="B1838" s="151" t="s">
        <v>1597</v>
      </c>
      <c r="C1838" s="152" t="s">
        <v>1591</v>
      </c>
      <c r="D1838" s="103"/>
      <c r="E1838" s="104">
        <v>5000</v>
      </c>
    </row>
    <row r="1839" spans="1:5" x14ac:dyDescent="0.25">
      <c r="A1839" s="100">
        <f t="shared" si="30"/>
        <v>29</v>
      </c>
      <c r="B1839" s="151" t="s">
        <v>1271</v>
      </c>
      <c r="C1839" s="152" t="s">
        <v>1604</v>
      </c>
      <c r="D1839" s="103"/>
      <c r="E1839" s="104">
        <v>5000</v>
      </c>
    </row>
    <row r="1840" spans="1:5" x14ac:dyDescent="0.25">
      <c r="A1840" s="100">
        <f t="shared" si="30"/>
        <v>30</v>
      </c>
      <c r="B1840" s="151" t="s">
        <v>1598</v>
      </c>
      <c r="C1840" s="152" t="s">
        <v>1605</v>
      </c>
      <c r="D1840" s="103"/>
      <c r="E1840" s="104">
        <v>5000</v>
      </c>
    </row>
    <row r="1841" spans="1:5" x14ac:dyDescent="0.25">
      <c r="A1841" s="100">
        <f t="shared" si="30"/>
        <v>31</v>
      </c>
      <c r="B1841" s="151" t="s">
        <v>784</v>
      </c>
      <c r="C1841" s="152" t="s">
        <v>1606</v>
      </c>
      <c r="D1841" s="103"/>
      <c r="E1841" s="104">
        <v>5000</v>
      </c>
    </row>
    <row r="1842" spans="1:5" x14ac:dyDescent="0.25">
      <c r="A1842" s="100">
        <f t="shared" si="30"/>
        <v>32</v>
      </c>
      <c r="B1842" s="151" t="s">
        <v>1567</v>
      </c>
      <c r="C1842" s="152" t="s">
        <v>1607</v>
      </c>
      <c r="D1842" s="103"/>
      <c r="E1842" s="104">
        <v>22500</v>
      </c>
    </row>
    <row r="1843" spans="1:5" x14ac:dyDescent="0.25">
      <c r="A1843" s="100">
        <f t="shared" si="30"/>
        <v>33</v>
      </c>
      <c r="B1843" s="151" t="s">
        <v>1599</v>
      </c>
      <c r="C1843" s="152" t="s">
        <v>1608</v>
      </c>
      <c r="D1843" s="103"/>
      <c r="E1843" s="104">
        <v>5000</v>
      </c>
    </row>
    <row r="1844" spans="1:5" x14ac:dyDescent="0.25">
      <c r="A1844" s="100">
        <f t="shared" si="30"/>
        <v>34</v>
      </c>
      <c r="B1844" s="151" t="s">
        <v>1600</v>
      </c>
      <c r="C1844" s="152" t="s">
        <v>1609</v>
      </c>
      <c r="D1844" s="103"/>
      <c r="E1844" s="104">
        <v>5000</v>
      </c>
    </row>
    <row r="1845" spans="1:5" x14ac:dyDescent="0.25">
      <c r="A1845" s="100">
        <f t="shared" si="30"/>
        <v>35</v>
      </c>
      <c r="B1845" s="151" t="s">
        <v>1601</v>
      </c>
      <c r="C1845" s="152" t="s">
        <v>1610</v>
      </c>
      <c r="D1845" s="103"/>
      <c r="E1845" s="104">
        <v>5000</v>
      </c>
    </row>
    <row r="1846" spans="1:5" x14ac:dyDescent="0.25">
      <c r="A1846" s="100">
        <f t="shared" si="30"/>
        <v>36</v>
      </c>
      <c r="B1846" s="151" t="s">
        <v>1602</v>
      </c>
      <c r="C1846" s="152" t="s">
        <v>1611</v>
      </c>
      <c r="D1846" s="103"/>
      <c r="E1846" s="104">
        <v>5000</v>
      </c>
    </row>
    <row r="1847" spans="1:5" x14ac:dyDescent="0.25">
      <c r="A1847" s="100">
        <f t="shared" si="30"/>
        <v>37</v>
      </c>
      <c r="B1847" s="151" t="s">
        <v>1603</v>
      </c>
      <c r="C1847" s="152" t="s">
        <v>1612</v>
      </c>
      <c r="D1847" s="103"/>
      <c r="E1847" s="104">
        <v>5000</v>
      </c>
    </row>
    <row r="1848" spans="1:5" x14ac:dyDescent="0.25">
      <c r="A1848" s="100"/>
      <c r="B1848" s="151"/>
      <c r="C1848" s="152"/>
      <c r="D1848" s="103"/>
      <c r="E1848" s="104"/>
    </row>
    <row r="1849" spans="1:5" ht="15.75" thickBot="1" x14ac:dyDescent="0.3">
      <c r="A1849" s="105"/>
      <c r="B1849" s="240" t="s">
        <v>10</v>
      </c>
      <c r="C1849" s="241"/>
      <c r="D1849" s="242"/>
      <c r="E1849" s="106">
        <f>SUM(E1811:E1848)</f>
        <v>402500</v>
      </c>
    </row>
    <row r="1850" spans="1:5" x14ac:dyDescent="0.25">
      <c r="A1850" s="95"/>
      <c r="B1850" s="130"/>
      <c r="C1850" s="130"/>
      <c r="E1850" s="131"/>
    </row>
    <row r="1851" spans="1:5" x14ac:dyDescent="0.25">
      <c r="A1851" s="94"/>
      <c r="B1851" s="94"/>
      <c r="C1851" s="95"/>
      <c r="D1851" s="108" t="s">
        <v>1543</v>
      </c>
      <c r="E1851" s="94"/>
    </row>
    <row r="1852" spans="1:5" x14ac:dyDescent="0.25">
      <c r="D1852" s="108" t="s">
        <v>83</v>
      </c>
    </row>
    <row r="1856" spans="1:5" x14ac:dyDescent="0.25">
      <c r="A1856" s="93" t="s">
        <v>0</v>
      </c>
      <c r="B1856" s="129"/>
      <c r="C1856" s="129"/>
      <c r="D1856" s="129"/>
      <c r="E1856" s="129"/>
    </row>
    <row r="1857" spans="1:5" x14ac:dyDescent="0.25">
      <c r="A1857" s="93" t="s">
        <v>1</v>
      </c>
      <c r="B1857" s="94"/>
      <c r="C1857" s="95"/>
      <c r="D1857" s="94"/>
      <c r="E1857" s="94"/>
    </row>
    <row r="1858" spans="1:5" x14ac:dyDescent="0.25">
      <c r="A1858" s="93"/>
      <c r="B1858" s="94"/>
      <c r="C1858" s="95"/>
      <c r="D1858" s="94"/>
      <c r="E1858" s="94"/>
    </row>
    <row r="1859" spans="1:5" x14ac:dyDescent="0.25">
      <c r="A1859" s="96" t="s">
        <v>84</v>
      </c>
      <c r="B1859" s="96"/>
      <c r="C1859" s="96"/>
      <c r="D1859" s="96"/>
      <c r="E1859" s="96"/>
    </row>
    <row r="1860" spans="1:5" x14ac:dyDescent="0.25">
      <c r="A1860" s="238" t="s">
        <v>100</v>
      </c>
      <c r="B1860" s="239"/>
      <c r="C1860" s="239"/>
      <c r="D1860" s="239"/>
      <c r="E1860" s="239"/>
    </row>
    <row r="1861" spans="1:5" x14ac:dyDescent="0.25">
      <c r="A1861" s="95"/>
      <c r="B1861" s="95"/>
      <c r="C1861" s="95"/>
      <c r="D1861" s="95"/>
      <c r="E1861" s="95"/>
    </row>
    <row r="1862" spans="1:5" ht="15.75" thickBot="1" x14ac:dyDescent="0.3">
      <c r="A1862" s="94"/>
      <c r="B1862" s="94"/>
      <c r="C1862" s="95"/>
      <c r="D1862" s="94"/>
      <c r="E1862" s="109" t="s">
        <v>1613</v>
      </c>
    </row>
    <row r="1863" spans="1:5" x14ac:dyDescent="0.25">
      <c r="A1863" s="97" t="s">
        <v>16</v>
      </c>
      <c r="B1863" s="98" t="s">
        <v>79</v>
      </c>
      <c r="C1863" s="98" t="s">
        <v>80</v>
      </c>
      <c r="D1863" s="98" t="s">
        <v>77</v>
      </c>
      <c r="E1863" s="99" t="s">
        <v>10</v>
      </c>
    </row>
    <row r="1864" spans="1:5" x14ac:dyDescent="0.25">
      <c r="A1864" s="100">
        <v>1</v>
      </c>
      <c r="B1864" s="151" t="s">
        <v>1619</v>
      </c>
      <c r="C1864" s="152" t="s">
        <v>1625</v>
      </c>
      <c r="D1864" s="103"/>
      <c r="E1864" s="104">
        <v>12500</v>
      </c>
    </row>
    <row r="1865" spans="1:5" x14ac:dyDescent="0.25">
      <c r="A1865" s="100">
        <f>A1864+1</f>
        <v>2</v>
      </c>
      <c r="B1865" s="151" t="s">
        <v>1620</v>
      </c>
      <c r="C1865" s="152" t="s">
        <v>1626</v>
      </c>
      <c r="D1865" s="103"/>
      <c r="E1865" s="104">
        <v>5000</v>
      </c>
    </row>
    <row r="1866" spans="1:5" x14ac:dyDescent="0.25">
      <c r="A1866" s="100">
        <f t="shared" ref="A1866:A1893" si="31">A1865+1</f>
        <v>3</v>
      </c>
      <c r="B1866" s="151" t="s">
        <v>807</v>
      </c>
      <c r="C1866" s="152" t="s">
        <v>1627</v>
      </c>
      <c r="D1866" s="103"/>
      <c r="E1866" s="104">
        <v>12500</v>
      </c>
    </row>
    <row r="1867" spans="1:5" x14ac:dyDescent="0.25">
      <c r="A1867" s="100">
        <f t="shared" si="31"/>
        <v>4</v>
      </c>
      <c r="B1867" s="151" t="s">
        <v>1621</v>
      </c>
      <c r="C1867" s="152" t="s">
        <v>1628</v>
      </c>
      <c r="D1867" s="103"/>
      <c r="E1867" s="104">
        <v>12500</v>
      </c>
    </row>
    <row r="1868" spans="1:5" x14ac:dyDescent="0.25">
      <c r="A1868" s="100">
        <f t="shared" si="31"/>
        <v>5</v>
      </c>
      <c r="B1868" s="151" t="s">
        <v>1622</v>
      </c>
      <c r="C1868" s="152" t="s">
        <v>1629</v>
      </c>
      <c r="D1868" s="103"/>
      <c r="E1868" s="104">
        <v>5000</v>
      </c>
    </row>
    <row r="1869" spans="1:5" x14ac:dyDescent="0.25">
      <c r="A1869" s="100">
        <f t="shared" si="31"/>
        <v>6</v>
      </c>
      <c r="B1869" s="151" t="s">
        <v>1623</v>
      </c>
      <c r="C1869" s="152" t="s">
        <v>1630</v>
      </c>
      <c r="D1869" s="103"/>
      <c r="E1869" s="104">
        <v>5000</v>
      </c>
    </row>
    <row r="1870" spans="1:5" x14ac:dyDescent="0.25">
      <c r="A1870" s="100">
        <f t="shared" si="31"/>
        <v>7</v>
      </c>
      <c r="B1870" s="151" t="s">
        <v>1624</v>
      </c>
      <c r="C1870" s="152" t="s">
        <v>1631</v>
      </c>
      <c r="D1870" s="103"/>
      <c r="E1870" s="104">
        <v>12500</v>
      </c>
    </row>
    <row r="1871" spans="1:5" x14ac:dyDescent="0.25">
      <c r="A1871" s="100">
        <f t="shared" si="31"/>
        <v>8</v>
      </c>
      <c r="B1871" s="151" t="s">
        <v>1637</v>
      </c>
      <c r="C1871" s="152" t="s">
        <v>1632</v>
      </c>
      <c r="D1871" s="103"/>
      <c r="E1871" s="104">
        <v>5000</v>
      </c>
    </row>
    <row r="1872" spans="1:5" x14ac:dyDescent="0.25">
      <c r="A1872" s="100">
        <f t="shared" si="31"/>
        <v>9</v>
      </c>
      <c r="B1872" s="151" t="s">
        <v>1638</v>
      </c>
      <c r="C1872" s="152" t="s">
        <v>1633</v>
      </c>
      <c r="D1872" s="103"/>
      <c r="E1872" s="104">
        <v>5000</v>
      </c>
    </row>
    <row r="1873" spans="1:5" x14ac:dyDescent="0.25">
      <c r="A1873" s="100">
        <f t="shared" si="31"/>
        <v>10</v>
      </c>
      <c r="B1873" s="151" t="s">
        <v>1639</v>
      </c>
      <c r="C1873" s="152" t="s">
        <v>1634</v>
      </c>
      <c r="D1873" s="103"/>
      <c r="E1873" s="104">
        <v>20000</v>
      </c>
    </row>
    <row r="1874" spans="1:5" x14ac:dyDescent="0.25">
      <c r="A1874" s="100">
        <f t="shared" si="31"/>
        <v>11</v>
      </c>
      <c r="B1874" s="151" t="s">
        <v>1640</v>
      </c>
      <c r="C1874" s="152" t="s">
        <v>1635</v>
      </c>
      <c r="D1874" s="103"/>
      <c r="E1874" s="104">
        <v>5000</v>
      </c>
    </row>
    <row r="1875" spans="1:5" x14ac:dyDescent="0.25">
      <c r="A1875" s="100">
        <f t="shared" si="31"/>
        <v>12</v>
      </c>
      <c r="B1875" s="151" t="s">
        <v>1641</v>
      </c>
      <c r="C1875" s="152" t="s">
        <v>1636</v>
      </c>
      <c r="D1875" s="103"/>
      <c r="E1875" s="104">
        <v>5000</v>
      </c>
    </row>
    <row r="1876" spans="1:5" x14ac:dyDescent="0.25">
      <c r="A1876" s="100">
        <f t="shared" si="31"/>
        <v>13</v>
      </c>
      <c r="B1876" s="151" t="s">
        <v>1642</v>
      </c>
      <c r="C1876" s="152" t="s">
        <v>1649</v>
      </c>
      <c r="D1876" s="103"/>
      <c r="E1876" s="104">
        <v>5000</v>
      </c>
    </row>
    <row r="1877" spans="1:5" x14ac:dyDescent="0.25">
      <c r="A1877" s="100">
        <f t="shared" si="31"/>
        <v>14</v>
      </c>
      <c r="B1877" s="151" t="s">
        <v>1643</v>
      </c>
      <c r="C1877" s="152" t="s">
        <v>1650</v>
      </c>
      <c r="D1877" s="103"/>
      <c r="E1877" s="104">
        <v>12500</v>
      </c>
    </row>
    <row r="1878" spans="1:5" x14ac:dyDescent="0.25">
      <c r="A1878" s="100">
        <f t="shared" si="31"/>
        <v>15</v>
      </c>
      <c r="B1878" s="151" t="s">
        <v>1644</v>
      </c>
      <c r="C1878" s="152" t="s">
        <v>1651</v>
      </c>
      <c r="D1878" s="103"/>
      <c r="E1878" s="104">
        <v>22500</v>
      </c>
    </row>
    <row r="1879" spans="1:5" x14ac:dyDescent="0.25">
      <c r="A1879" s="100">
        <f t="shared" si="31"/>
        <v>16</v>
      </c>
      <c r="B1879" s="151" t="s">
        <v>1657</v>
      </c>
      <c r="C1879" s="152" t="s">
        <v>1652</v>
      </c>
      <c r="D1879" s="103"/>
      <c r="E1879" s="104">
        <v>5000</v>
      </c>
    </row>
    <row r="1880" spans="1:5" x14ac:dyDescent="0.25">
      <c r="A1880" s="100">
        <f t="shared" si="31"/>
        <v>17</v>
      </c>
      <c r="B1880" s="151" t="s">
        <v>1645</v>
      </c>
      <c r="C1880" s="152" t="s">
        <v>1653</v>
      </c>
      <c r="D1880" s="103"/>
      <c r="E1880" s="104">
        <v>5000</v>
      </c>
    </row>
    <row r="1881" spans="1:5" x14ac:dyDescent="0.25">
      <c r="A1881" s="100">
        <f t="shared" si="31"/>
        <v>18</v>
      </c>
      <c r="B1881" s="151" t="s">
        <v>1646</v>
      </c>
      <c r="C1881" s="152" t="s">
        <v>1654</v>
      </c>
      <c r="D1881" s="103"/>
      <c r="E1881" s="104">
        <v>12500</v>
      </c>
    </row>
    <row r="1882" spans="1:5" x14ac:dyDescent="0.25">
      <c r="A1882" s="100">
        <f t="shared" si="31"/>
        <v>19</v>
      </c>
      <c r="B1882" s="151" t="s">
        <v>1647</v>
      </c>
      <c r="C1882" s="152" t="s">
        <v>1655</v>
      </c>
      <c r="D1882" s="103"/>
      <c r="E1882" s="104">
        <v>5000</v>
      </c>
    </row>
    <row r="1883" spans="1:5" x14ac:dyDescent="0.25">
      <c r="A1883" s="100">
        <f t="shared" si="31"/>
        <v>20</v>
      </c>
      <c r="B1883" s="151" t="s">
        <v>1648</v>
      </c>
      <c r="C1883" s="152" t="s">
        <v>1656</v>
      </c>
      <c r="D1883" s="103"/>
      <c r="E1883" s="104">
        <v>22500</v>
      </c>
    </row>
    <row r="1884" spans="1:5" x14ac:dyDescent="0.25">
      <c r="A1884" s="100">
        <f t="shared" si="31"/>
        <v>21</v>
      </c>
      <c r="B1884" s="151" t="s">
        <v>1662</v>
      </c>
      <c r="C1884" s="152" t="s">
        <v>1658</v>
      </c>
      <c r="D1884" s="103"/>
      <c r="E1884" s="104">
        <v>12500</v>
      </c>
    </row>
    <row r="1885" spans="1:5" x14ac:dyDescent="0.25">
      <c r="A1885" s="100">
        <f t="shared" si="31"/>
        <v>22</v>
      </c>
      <c r="B1885" s="151" t="s">
        <v>1663</v>
      </c>
      <c r="C1885" s="152" t="s">
        <v>1659</v>
      </c>
      <c r="D1885" s="103"/>
      <c r="E1885" s="104">
        <v>52500</v>
      </c>
    </row>
    <row r="1886" spans="1:5" x14ac:dyDescent="0.25">
      <c r="A1886" s="100">
        <f t="shared" si="31"/>
        <v>23</v>
      </c>
      <c r="B1886" s="151" t="s">
        <v>1664</v>
      </c>
      <c r="C1886" s="152" t="s">
        <v>1661</v>
      </c>
      <c r="D1886" s="103"/>
      <c r="E1886" s="104">
        <v>12500</v>
      </c>
    </row>
    <row r="1887" spans="1:5" x14ac:dyDescent="0.25">
      <c r="A1887" s="100">
        <f t="shared" si="31"/>
        <v>24</v>
      </c>
      <c r="B1887" s="151" t="s">
        <v>1270</v>
      </c>
      <c r="C1887" s="152" t="s">
        <v>1660</v>
      </c>
      <c r="D1887" s="103"/>
      <c r="E1887" s="104">
        <v>5000</v>
      </c>
    </row>
    <row r="1888" spans="1:5" x14ac:dyDescent="0.25">
      <c r="A1888" s="100">
        <f t="shared" si="31"/>
        <v>25</v>
      </c>
      <c r="B1888" s="151" t="s">
        <v>1665</v>
      </c>
      <c r="C1888" s="152" t="s">
        <v>1670</v>
      </c>
      <c r="D1888" s="103"/>
      <c r="E1888" s="104">
        <v>5000</v>
      </c>
    </row>
    <row r="1889" spans="1:5" x14ac:dyDescent="0.25">
      <c r="A1889" s="100">
        <f t="shared" si="31"/>
        <v>26</v>
      </c>
      <c r="B1889" s="151" t="s">
        <v>1666</v>
      </c>
      <c r="C1889" s="152" t="s">
        <v>1671</v>
      </c>
      <c r="D1889" s="103"/>
      <c r="E1889" s="104">
        <v>5000</v>
      </c>
    </row>
    <row r="1890" spans="1:5" x14ac:dyDescent="0.25">
      <c r="A1890" s="100">
        <f t="shared" si="31"/>
        <v>27</v>
      </c>
      <c r="B1890" s="151" t="s">
        <v>1667</v>
      </c>
      <c r="C1890" s="152" t="s">
        <v>1672</v>
      </c>
      <c r="D1890" s="103"/>
      <c r="E1890" s="104">
        <v>5000</v>
      </c>
    </row>
    <row r="1891" spans="1:5" x14ac:dyDescent="0.25">
      <c r="A1891" s="100">
        <f t="shared" si="31"/>
        <v>28</v>
      </c>
      <c r="B1891" s="151" t="s">
        <v>1640</v>
      </c>
      <c r="C1891" s="152" t="s">
        <v>1673</v>
      </c>
      <c r="D1891" s="103"/>
      <c r="E1891" s="104">
        <v>5000</v>
      </c>
    </row>
    <row r="1892" spans="1:5" x14ac:dyDescent="0.25">
      <c r="A1892" s="100">
        <f t="shared" si="31"/>
        <v>29</v>
      </c>
      <c r="B1892" s="151" t="s">
        <v>1668</v>
      </c>
      <c r="C1892" s="152" t="s">
        <v>1674</v>
      </c>
      <c r="D1892" s="103"/>
      <c r="E1892" s="104">
        <v>12500</v>
      </c>
    </row>
    <row r="1893" spans="1:5" x14ac:dyDescent="0.25">
      <c r="A1893" s="100">
        <f t="shared" si="31"/>
        <v>30</v>
      </c>
      <c r="B1893" s="151" t="s">
        <v>1669</v>
      </c>
      <c r="C1893" s="152" t="s">
        <v>1675</v>
      </c>
      <c r="D1893" s="103"/>
      <c r="E1893" s="104">
        <v>12500</v>
      </c>
    </row>
    <row r="1894" spans="1:5" x14ac:dyDescent="0.25">
      <c r="A1894" s="100"/>
      <c r="B1894" s="151"/>
      <c r="C1894" s="152"/>
      <c r="D1894" s="103"/>
      <c r="E1894" s="104"/>
    </row>
    <row r="1895" spans="1:5" ht="15.75" thickBot="1" x14ac:dyDescent="0.3">
      <c r="A1895" s="105"/>
      <c r="B1895" s="240" t="s">
        <v>10</v>
      </c>
      <c r="C1895" s="241"/>
      <c r="D1895" s="242"/>
      <c r="E1895" s="106">
        <f>SUM(E1864:E1894)</f>
        <v>322500</v>
      </c>
    </row>
    <row r="1896" spans="1:5" x14ac:dyDescent="0.25">
      <c r="A1896" s="95"/>
      <c r="B1896" s="130"/>
      <c r="C1896" s="130"/>
      <c r="E1896" s="131"/>
    </row>
    <row r="1897" spans="1:5" x14ac:dyDescent="0.25">
      <c r="A1897" s="94"/>
      <c r="B1897" s="94"/>
      <c r="C1897" s="95"/>
      <c r="D1897" s="108" t="s">
        <v>1614</v>
      </c>
      <c r="E1897" s="94"/>
    </row>
    <row r="1898" spans="1:5" x14ac:dyDescent="0.25">
      <c r="D1898" s="108" t="s">
        <v>83</v>
      </c>
    </row>
    <row r="1909" spans="1:5" x14ac:dyDescent="0.25">
      <c r="A1909" s="93" t="s">
        <v>0</v>
      </c>
      <c r="B1909" s="129"/>
      <c r="C1909" s="129"/>
      <c r="D1909" s="129"/>
      <c r="E1909" s="129"/>
    </row>
    <row r="1910" spans="1:5" x14ac:dyDescent="0.25">
      <c r="A1910" s="93" t="s">
        <v>1</v>
      </c>
      <c r="B1910" s="94"/>
      <c r="C1910" s="95"/>
      <c r="D1910" s="94"/>
      <c r="E1910" s="94"/>
    </row>
    <row r="1911" spans="1:5" x14ac:dyDescent="0.25">
      <c r="A1911" s="93"/>
      <c r="B1911" s="94"/>
      <c r="C1911" s="95"/>
      <c r="D1911" s="94"/>
      <c r="E1911" s="94"/>
    </row>
    <row r="1912" spans="1:5" x14ac:dyDescent="0.25">
      <c r="A1912" s="96" t="s">
        <v>84</v>
      </c>
      <c r="B1912" s="96"/>
      <c r="C1912" s="96"/>
      <c r="D1912" s="96"/>
      <c r="E1912" s="96"/>
    </row>
    <row r="1913" spans="1:5" x14ac:dyDescent="0.25">
      <c r="A1913" s="238" t="s">
        <v>100</v>
      </c>
      <c r="B1913" s="239"/>
      <c r="C1913" s="239"/>
      <c r="D1913" s="239"/>
      <c r="E1913" s="239"/>
    </row>
    <row r="1914" spans="1:5" x14ac:dyDescent="0.25">
      <c r="A1914" s="95"/>
      <c r="B1914" s="95"/>
      <c r="C1914" s="95"/>
      <c r="D1914" s="95"/>
      <c r="E1914" s="95"/>
    </row>
    <row r="1915" spans="1:5" ht="15.75" thickBot="1" x14ac:dyDescent="0.3">
      <c r="A1915" s="94"/>
      <c r="B1915" s="94"/>
      <c r="C1915" s="95"/>
      <c r="D1915" s="94"/>
      <c r="E1915" s="109" t="s">
        <v>1615</v>
      </c>
    </row>
    <row r="1916" spans="1:5" x14ac:dyDescent="0.25">
      <c r="A1916" s="97" t="s">
        <v>16</v>
      </c>
      <c r="B1916" s="98" t="s">
        <v>79</v>
      </c>
      <c r="C1916" s="98" t="s">
        <v>80</v>
      </c>
      <c r="D1916" s="98" t="s">
        <v>77</v>
      </c>
      <c r="E1916" s="99" t="s">
        <v>10</v>
      </c>
    </row>
    <row r="1917" spans="1:5" x14ac:dyDescent="0.25">
      <c r="A1917" s="100">
        <v>1</v>
      </c>
      <c r="B1917" s="151" t="s">
        <v>1676</v>
      </c>
      <c r="C1917" s="152" t="s">
        <v>1681</v>
      </c>
      <c r="D1917" s="103"/>
      <c r="E1917" s="104">
        <v>5000</v>
      </c>
    </row>
    <row r="1918" spans="1:5" x14ac:dyDescent="0.25">
      <c r="A1918" s="100">
        <f>A1917+1</f>
        <v>2</v>
      </c>
      <c r="B1918" s="151" t="s">
        <v>1677</v>
      </c>
      <c r="C1918" s="152" t="s">
        <v>1682</v>
      </c>
      <c r="D1918" s="103"/>
      <c r="E1918" s="104">
        <v>62500</v>
      </c>
    </row>
    <row r="1919" spans="1:5" x14ac:dyDescent="0.25">
      <c r="A1919" s="100">
        <f t="shared" ref="A1919:A1949" si="32">A1918+1</f>
        <v>3</v>
      </c>
      <c r="B1919" s="151" t="s">
        <v>1678</v>
      </c>
      <c r="C1919" s="152" t="s">
        <v>1683</v>
      </c>
      <c r="D1919" s="103"/>
      <c r="E1919" s="104">
        <v>12500</v>
      </c>
    </row>
    <row r="1920" spans="1:5" x14ac:dyDescent="0.25">
      <c r="A1920" s="100">
        <f t="shared" si="32"/>
        <v>4</v>
      </c>
      <c r="B1920" s="151" t="s">
        <v>1679</v>
      </c>
      <c r="C1920" s="152" t="s">
        <v>1684</v>
      </c>
      <c r="D1920" s="103"/>
      <c r="E1920" s="104">
        <v>5000</v>
      </c>
    </row>
    <row r="1921" spans="1:5" x14ac:dyDescent="0.25">
      <c r="A1921" s="100">
        <f t="shared" si="32"/>
        <v>5</v>
      </c>
      <c r="B1921" s="151" t="s">
        <v>1680</v>
      </c>
      <c r="C1921" s="152" t="s">
        <v>1685</v>
      </c>
      <c r="D1921" s="103"/>
      <c r="E1921" s="104">
        <v>30000</v>
      </c>
    </row>
    <row r="1922" spans="1:5" x14ac:dyDescent="0.25">
      <c r="A1922" s="100">
        <f t="shared" si="32"/>
        <v>6</v>
      </c>
      <c r="B1922" s="151" t="s">
        <v>1695</v>
      </c>
      <c r="C1922" s="152" t="s">
        <v>1686</v>
      </c>
      <c r="D1922" s="103"/>
      <c r="E1922" s="104">
        <v>5000</v>
      </c>
    </row>
    <row r="1923" spans="1:5" x14ac:dyDescent="0.25">
      <c r="A1923" s="100">
        <f t="shared" si="32"/>
        <v>7</v>
      </c>
      <c r="B1923" s="151" t="s">
        <v>964</v>
      </c>
      <c r="C1923" s="152" t="s">
        <v>968</v>
      </c>
      <c r="D1923" s="103"/>
      <c r="E1923" s="104">
        <v>12500</v>
      </c>
    </row>
    <row r="1924" spans="1:5" x14ac:dyDescent="0.25">
      <c r="A1924" s="100">
        <f t="shared" si="32"/>
        <v>8</v>
      </c>
      <c r="B1924" s="151" t="s">
        <v>682</v>
      </c>
      <c r="C1924" s="152" t="s">
        <v>1687</v>
      </c>
      <c r="D1924" s="103"/>
      <c r="E1924" s="104">
        <v>5000</v>
      </c>
    </row>
    <row r="1925" spans="1:5" x14ac:dyDescent="0.25">
      <c r="A1925" s="100">
        <f t="shared" si="32"/>
        <v>9</v>
      </c>
      <c r="B1925" s="151" t="s">
        <v>1696</v>
      </c>
      <c r="C1925" s="152" t="s">
        <v>1688</v>
      </c>
      <c r="D1925" s="103"/>
      <c r="E1925" s="104">
        <v>17500</v>
      </c>
    </row>
    <row r="1926" spans="1:5" x14ac:dyDescent="0.25">
      <c r="A1926" s="100">
        <f t="shared" si="32"/>
        <v>10</v>
      </c>
      <c r="B1926" s="151" t="s">
        <v>1697</v>
      </c>
      <c r="C1926" s="152" t="s">
        <v>1690</v>
      </c>
      <c r="D1926" s="103"/>
      <c r="E1926" s="104">
        <v>10000</v>
      </c>
    </row>
    <row r="1927" spans="1:5" x14ac:dyDescent="0.25">
      <c r="A1927" s="100">
        <f t="shared" si="32"/>
        <v>11</v>
      </c>
      <c r="B1927" s="151" t="s">
        <v>1698</v>
      </c>
      <c r="C1927" s="152" t="s">
        <v>1689</v>
      </c>
      <c r="D1927" s="103"/>
      <c r="E1927" s="104">
        <v>50000</v>
      </c>
    </row>
    <row r="1928" spans="1:5" x14ac:dyDescent="0.25">
      <c r="A1928" s="100">
        <f t="shared" si="32"/>
        <v>12</v>
      </c>
      <c r="B1928" s="151" t="s">
        <v>1699</v>
      </c>
      <c r="C1928" s="152" t="s">
        <v>1691</v>
      </c>
      <c r="D1928" s="103"/>
      <c r="E1928" s="104">
        <v>12500</v>
      </c>
    </row>
    <row r="1929" spans="1:5" x14ac:dyDescent="0.25">
      <c r="A1929" s="100">
        <f t="shared" si="32"/>
        <v>13</v>
      </c>
      <c r="B1929" s="151" t="s">
        <v>1700</v>
      </c>
      <c r="C1929" s="152" t="s">
        <v>1692</v>
      </c>
      <c r="D1929" s="103"/>
      <c r="E1929" s="104">
        <v>5000</v>
      </c>
    </row>
    <row r="1930" spans="1:5" x14ac:dyDescent="0.25">
      <c r="A1930" s="100">
        <f t="shared" si="32"/>
        <v>14</v>
      </c>
      <c r="B1930" s="151" t="s">
        <v>1701</v>
      </c>
      <c r="C1930" s="152" t="s">
        <v>1693</v>
      </c>
      <c r="D1930" s="103"/>
      <c r="E1930" s="104">
        <v>5000</v>
      </c>
    </row>
    <row r="1931" spans="1:5" x14ac:dyDescent="0.25">
      <c r="A1931" s="100">
        <f t="shared" si="32"/>
        <v>15</v>
      </c>
      <c r="B1931" s="151" t="s">
        <v>1702</v>
      </c>
      <c r="C1931" s="152" t="s">
        <v>1694</v>
      </c>
      <c r="D1931" s="103"/>
      <c r="E1931" s="104">
        <v>5000</v>
      </c>
    </row>
    <row r="1932" spans="1:5" x14ac:dyDescent="0.25">
      <c r="A1932" s="100">
        <f t="shared" si="32"/>
        <v>16</v>
      </c>
      <c r="B1932" s="151" t="s">
        <v>1703</v>
      </c>
      <c r="C1932" s="152" t="s">
        <v>1707</v>
      </c>
      <c r="D1932" s="103"/>
      <c r="E1932" s="104">
        <v>22500</v>
      </c>
    </row>
    <row r="1933" spans="1:5" x14ac:dyDescent="0.25">
      <c r="A1933" s="100">
        <f t="shared" si="32"/>
        <v>17</v>
      </c>
      <c r="B1933" s="151" t="s">
        <v>1704</v>
      </c>
      <c r="C1933" s="152" t="s">
        <v>1708</v>
      </c>
      <c r="D1933" s="103"/>
      <c r="E1933" s="104">
        <v>5000</v>
      </c>
    </row>
    <row r="1934" spans="1:5" x14ac:dyDescent="0.25">
      <c r="A1934" s="100">
        <f t="shared" si="32"/>
        <v>18</v>
      </c>
      <c r="B1934" s="151" t="s">
        <v>1695</v>
      </c>
      <c r="C1934" s="152" t="s">
        <v>1709</v>
      </c>
      <c r="D1934" s="103"/>
      <c r="E1934" s="104">
        <v>5000</v>
      </c>
    </row>
    <row r="1935" spans="1:5" x14ac:dyDescent="0.25">
      <c r="A1935" s="100">
        <f t="shared" si="32"/>
        <v>19</v>
      </c>
      <c r="B1935" s="151" t="s">
        <v>1705</v>
      </c>
      <c r="C1935" s="152" t="s">
        <v>1710</v>
      </c>
      <c r="D1935" s="103"/>
      <c r="E1935" s="104">
        <v>5000</v>
      </c>
    </row>
    <row r="1936" spans="1:5" x14ac:dyDescent="0.25">
      <c r="A1936" s="100">
        <f t="shared" si="32"/>
        <v>20</v>
      </c>
      <c r="B1936" s="151" t="s">
        <v>1706</v>
      </c>
      <c r="C1936" s="152" t="s">
        <v>1711</v>
      </c>
      <c r="D1936" s="103"/>
      <c r="E1936" s="104">
        <v>22500</v>
      </c>
    </row>
    <row r="1937" spans="1:5" x14ac:dyDescent="0.25">
      <c r="A1937" s="100">
        <f t="shared" si="32"/>
        <v>21</v>
      </c>
      <c r="B1937" s="151" t="s">
        <v>743</v>
      </c>
      <c r="C1937" s="152" t="s">
        <v>1712</v>
      </c>
      <c r="D1937" s="103"/>
      <c r="E1937" s="104">
        <v>12500</v>
      </c>
    </row>
    <row r="1938" spans="1:5" x14ac:dyDescent="0.25">
      <c r="A1938" s="100">
        <f t="shared" si="32"/>
        <v>22</v>
      </c>
      <c r="B1938" s="151" t="s">
        <v>1723</v>
      </c>
      <c r="C1938" s="152" t="s">
        <v>1713</v>
      </c>
      <c r="D1938" s="103"/>
      <c r="E1938" s="104">
        <v>12500</v>
      </c>
    </row>
    <row r="1939" spans="1:5" x14ac:dyDescent="0.25">
      <c r="A1939" s="100">
        <f t="shared" si="32"/>
        <v>23</v>
      </c>
      <c r="B1939" s="151" t="s">
        <v>1700</v>
      </c>
      <c r="C1939" s="152" t="s">
        <v>1714</v>
      </c>
      <c r="D1939" s="103"/>
      <c r="E1939" s="104">
        <v>5000</v>
      </c>
    </row>
    <row r="1940" spans="1:5" x14ac:dyDescent="0.25">
      <c r="A1940" s="100">
        <f t="shared" si="32"/>
        <v>24</v>
      </c>
      <c r="B1940" s="151" t="s">
        <v>1724</v>
      </c>
      <c r="C1940" s="152" t="s">
        <v>1715</v>
      </c>
      <c r="D1940" s="103"/>
      <c r="E1940" s="104">
        <v>12500</v>
      </c>
    </row>
    <row r="1941" spans="1:5" x14ac:dyDescent="0.25">
      <c r="A1941" s="100">
        <f t="shared" si="32"/>
        <v>25</v>
      </c>
      <c r="B1941" s="151" t="s">
        <v>1725</v>
      </c>
      <c r="C1941" s="152" t="s">
        <v>1716</v>
      </c>
      <c r="D1941" s="103"/>
      <c r="E1941" s="104">
        <v>5000</v>
      </c>
    </row>
    <row r="1942" spans="1:5" x14ac:dyDescent="0.25">
      <c r="A1942" s="100">
        <f t="shared" si="32"/>
        <v>26</v>
      </c>
      <c r="B1942" s="151" t="s">
        <v>1726</v>
      </c>
      <c r="C1942" s="152" t="s">
        <v>1717</v>
      </c>
      <c r="D1942" s="103"/>
      <c r="E1942" s="104">
        <v>5000</v>
      </c>
    </row>
    <row r="1943" spans="1:5" x14ac:dyDescent="0.25">
      <c r="A1943" s="100">
        <f t="shared" si="32"/>
        <v>27</v>
      </c>
      <c r="B1943" s="151" t="s">
        <v>1727</v>
      </c>
      <c r="C1943" s="152" t="s">
        <v>1718</v>
      </c>
      <c r="D1943" s="103"/>
      <c r="E1943" s="104">
        <v>5000</v>
      </c>
    </row>
    <row r="1944" spans="1:5" x14ac:dyDescent="0.25">
      <c r="A1944" s="100">
        <f t="shared" si="32"/>
        <v>28</v>
      </c>
      <c r="B1944" s="151" t="s">
        <v>1728</v>
      </c>
      <c r="C1944" s="152" t="s">
        <v>1719</v>
      </c>
      <c r="D1944" s="103"/>
      <c r="E1944" s="104">
        <v>5000</v>
      </c>
    </row>
    <row r="1945" spans="1:5" x14ac:dyDescent="0.25">
      <c r="A1945" s="100">
        <f t="shared" si="32"/>
        <v>29</v>
      </c>
      <c r="B1945" s="151" t="s">
        <v>1729</v>
      </c>
      <c r="C1945" s="152" t="s">
        <v>1720</v>
      </c>
      <c r="D1945" s="103"/>
      <c r="E1945" s="104">
        <v>22500</v>
      </c>
    </row>
    <row r="1946" spans="1:5" x14ac:dyDescent="0.25">
      <c r="A1946" s="100">
        <f t="shared" si="32"/>
        <v>30</v>
      </c>
      <c r="B1946" s="151" t="s">
        <v>1730</v>
      </c>
      <c r="C1946" s="152" t="s">
        <v>1721</v>
      </c>
      <c r="D1946" s="103"/>
      <c r="E1946" s="104">
        <v>12500</v>
      </c>
    </row>
    <row r="1947" spans="1:5" x14ac:dyDescent="0.25">
      <c r="A1947" s="100">
        <f t="shared" si="32"/>
        <v>31</v>
      </c>
      <c r="B1947" s="151" t="s">
        <v>1731</v>
      </c>
      <c r="C1947" s="152" t="s">
        <v>1722</v>
      </c>
      <c r="D1947" s="103"/>
      <c r="E1947" s="104">
        <v>5000</v>
      </c>
    </row>
    <row r="1948" spans="1:5" x14ac:dyDescent="0.25">
      <c r="A1948" s="100">
        <f t="shared" si="32"/>
        <v>32</v>
      </c>
      <c r="B1948" s="151" t="s">
        <v>1732</v>
      </c>
      <c r="C1948" s="152" t="s">
        <v>1734</v>
      </c>
      <c r="D1948" s="103"/>
      <c r="E1948" s="104">
        <v>5000</v>
      </c>
    </row>
    <row r="1949" spans="1:5" x14ac:dyDescent="0.25">
      <c r="A1949" s="100">
        <f t="shared" si="32"/>
        <v>33</v>
      </c>
      <c r="B1949" s="151" t="s">
        <v>1733</v>
      </c>
      <c r="C1949" s="152" t="s">
        <v>1735</v>
      </c>
      <c r="D1949" s="103"/>
      <c r="E1949" s="104">
        <v>5000</v>
      </c>
    </row>
    <row r="1950" spans="1:5" x14ac:dyDescent="0.25">
      <c r="A1950" s="100"/>
      <c r="B1950" s="151"/>
      <c r="C1950" s="152"/>
      <c r="D1950" s="103"/>
      <c r="E1950" s="104"/>
    </row>
    <row r="1951" spans="1:5" ht="15.75" thickBot="1" x14ac:dyDescent="0.3">
      <c r="A1951" s="105"/>
      <c r="B1951" s="240" t="s">
        <v>10</v>
      </c>
      <c r="C1951" s="241"/>
      <c r="D1951" s="242"/>
      <c r="E1951" s="106">
        <f>SUM(E1917:E1950)</f>
        <v>415000</v>
      </c>
    </row>
    <row r="1952" spans="1:5" x14ac:dyDescent="0.25">
      <c r="A1952" s="95"/>
      <c r="B1952" s="130"/>
      <c r="C1952" s="130"/>
      <c r="E1952" s="131"/>
    </row>
    <row r="1953" spans="1:5" x14ac:dyDescent="0.25">
      <c r="A1953" s="94"/>
      <c r="B1953" s="94"/>
      <c r="C1953" s="95"/>
      <c r="D1953" s="108" t="s">
        <v>1616</v>
      </c>
      <c r="E1953" s="94"/>
    </row>
    <row r="1954" spans="1:5" x14ac:dyDescent="0.25">
      <c r="D1954" s="108" t="s">
        <v>83</v>
      </c>
    </row>
    <row r="1962" spans="1:5" x14ac:dyDescent="0.25">
      <c r="A1962" s="93" t="s">
        <v>0</v>
      </c>
      <c r="B1962" s="129"/>
      <c r="C1962" s="129"/>
      <c r="D1962" s="129"/>
      <c r="E1962" s="129"/>
    </row>
    <row r="1963" spans="1:5" x14ac:dyDescent="0.25">
      <c r="A1963" s="93" t="s">
        <v>1</v>
      </c>
      <c r="B1963" s="94"/>
      <c r="C1963" s="95"/>
      <c r="D1963" s="94"/>
      <c r="E1963" s="94"/>
    </row>
    <row r="1964" spans="1:5" x14ac:dyDescent="0.25">
      <c r="A1964" s="93"/>
      <c r="B1964" s="94"/>
      <c r="C1964" s="95"/>
      <c r="D1964" s="94"/>
      <c r="E1964" s="94"/>
    </row>
    <row r="1965" spans="1:5" x14ac:dyDescent="0.25">
      <c r="A1965" s="96" t="s">
        <v>84</v>
      </c>
      <c r="B1965" s="96"/>
      <c r="C1965" s="96"/>
      <c r="D1965" s="96"/>
      <c r="E1965" s="96"/>
    </row>
    <row r="1966" spans="1:5" x14ac:dyDescent="0.25">
      <c r="A1966" s="238" t="s">
        <v>100</v>
      </c>
      <c r="B1966" s="239"/>
      <c r="C1966" s="239"/>
      <c r="D1966" s="239"/>
      <c r="E1966" s="239"/>
    </row>
    <row r="1967" spans="1:5" x14ac:dyDescent="0.25">
      <c r="A1967" s="95"/>
      <c r="B1967" s="95"/>
      <c r="C1967" s="95"/>
      <c r="D1967" s="95"/>
      <c r="E1967" s="95"/>
    </row>
    <row r="1968" spans="1:5" ht="15.75" thickBot="1" x14ac:dyDescent="0.3">
      <c r="A1968" s="94"/>
      <c r="B1968" s="94"/>
      <c r="C1968" s="95"/>
      <c r="D1968" s="94"/>
      <c r="E1968" s="109" t="s">
        <v>1617</v>
      </c>
    </row>
    <row r="1969" spans="1:5" x14ac:dyDescent="0.25">
      <c r="A1969" s="97" t="s">
        <v>16</v>
      </c>
      <c r="B1969" s="98" t="s">
        <v>79</v>
      </c>
      <c r="C1969" s="98" t="s">
        <v>80</v>
      </c>
      <c r="D1969" s="98" t="s">
        <v>77</v>
      </c>
      <c r="E1969" s="99" t="s">
        <v>10</v>
      </c>
    </row>
    <row r="1970" spans="1:5" x14ac:dyDescent="0.25">
      <c r="A1970" s="100">
        <v>1</v>
      </c>
      <c r="B1970" s="151" t="s">
        <v>1736</v>
      </c>
      <c r="C1970" s="152" t="s">
        <v>1738</v>
      </c>
      <c r="D1970" s="103"/>
      <c r="E1970" s="104">
        <v>12500</v>
      </c>
    </row>
    <row r="1971" spans="1:5" x14ac:dyDescent="0.25">
      <c r="A1971" s="100">
        <f>A1970+1</f>
        <v>2</v>
      </c>
      <c r="B1971" s="151" t="s">
        <v>1737</v>
      </c>
      <c r="C1971" s="152" t="s">
        <v>1739</v>
      </c>
      <c r="D1971" s="103"/>
      <c r="E1971" s="104">
        <v>22500</v>
      </c>
    </row>
    <row r="1972" spans="1:5" x14ac:dyDescent="0.25">
      <c r="A1972" s="100">
        <f t="shared" ref="A1972:A1983" si="33">A1971+1</f>
        <v>3</v>
      </c>
      <c r="B1972" s="151" t="s">
        <v>1746</v>
      </c>
      <c r="C1972" s="152" t="s">
        <v>1740</v>
      </c>
      <c r="D1972" s="103"/>
      <c r="E1972" s="104">
        <v>32500</v>
      </c>
    </row>
    <row r="1973" spans="1:5" x14ac:dyDescent="0.25">
      <c r="A1973" s="100">
        <f t="shared" si="33"/>
        <v>4</v>
      </c>
      <c r="B1973" s="151" t="s">
        <v>1747</v>
      </c>
      <c r="C1973" s="152" t="s">
        <v>1741</v>
      </c>
      <c r="D1973" s="103"/>
      <c r="E1973" s="104">
        <v>5000</v>
      </c>
    </row>
    <row r="1974" spans="1:5" x14ac:dyDescent="0.25">
      <c r="A1974" s="100">
        <f t="shared" si="33"/>
        <v>5</v>
      </c>
      <c r="B1974" s="151" t="s">
        <v>1748</v>
      </c>
      <c r="C1974" s="152" t="s">
        <v>1742</v>
      </c>
      <c r="D1974" s="103"/>
      <c r="E1974" s="104">
        <v>12500</v>
      </c>
    </row>
    <row r="1975" spans="1:5" x14ac:dyDescent="0.25">
      <c r="A1975" s="100">
        <f t="shared" si="33"/>
        <v>6</v>
      </c>
      <c r="B1975" s="151" t="s">
        <v>1749</v>
      </c>
      <c r="C1975" s="152" t="s">
        <v>1743</v>
      </c>
      <c r="D1975" s="103"/>
      <c r="E1975" s="104">
        <v>5000</v>
      </c>
    </row>
    <row r="1976" spans="1:5" x14ac:dyDescent="0.25">
      <c r="A1976" s="100">
        <f t="shared" si="33"/>
        <v>7</v>
      </c>
      <c r="B1976" s="151" t="s">
        <v>1750</v>
      </c>
      <c r="C1976" s="152" t="s">
        <v>1744</v>
      </c>
      <c r="D1976" s="103"/>
      <c r="E1976" s="104">
        <v>5000</v>
      </c>
    </row>
    <row r="1977" spans="1:5" x14ac:dyDescent="0.25">
      <c r="A1977" s="100">
        <f t="shared" si="33"/>
        <v>8</v>
      </c>
      <c r="B1977" s="151" t="s">
        <v>1751</v>
      </c>
      <c r="C1977" s="152" t="s">
        <v>1745</v>
      </c>
      <c r="D1977" s="103"/>
      <c r="E1977" s="104">
        <v>5000</v>
      </c>
    </row>
    <row r="1978" spans="1:5" x14ac:dyDescent="0.25">
      <c r="A1978" s="100">
        <f t="shared" si="33"/>
        <v>9</v>
      </c>
      <c r="B1978" s="151" t="s">
        <v>1752</v>
      </c>
      <c r="C1978" s="152" t="s">
        <v>1757</v>
      </c>
      <c r="D1978" s="103"/>
      <c r="E1978" s="104">
        <v>5000</v>
      </c>
    </row>
    <row r="1979" spans="1:5" x14ac:dyDescent="0.25">
      <c r="A1979" s="100">
        <f t="shared" si="33"/>
        <v>10</v>
      </c>
      <c r="B1979" s="151" t="s">
        <v>1753</v>
      </c>
      <c r="C1979" s="152" t="s">
        <v>1758</v>
      </c>
      <c r="D1979" s="103"/>
      <c r="E1979" s="104">
        <v>5000</v>
      </c>
    </row>
    <row r="1980" spans="1:5" x14ac:dyDescent="0.25">
      <c r="A1980" s="100">
        <f t="shared" si="33"/>
        <v>11</v>
      </c>
      <c r="B1980" s="151" t="s">
        <v>1754</v>
      </c>
      <c r="C1980" s="152" t="s">
        <v>1759</v>
      </c>
      <c r="D1980" s="103"/>
      <c r="E1980" s="104">
        <v>5000</v>
      </c>
    </row>
    <row r="1981" spans="1:5" x14ac:dyDescent="0.25">
      <c r="A1981" s="100">
        <f t="shared" si="33"/>
        <v>12</v>
      </c>
      <c r="B1981" s="151" t="s">
        <v>1755</v>
      </c>
      <c r="C1981" s="152" t="s">
        <v>1760</v>
      </c>
      <c r="D1981" s="103"/>
      <c r="E1981" s="104">
        <v>32500</v>
      </c>
    </row>
    <row r="1982" spans="1:5" x14ac:dyDescent="0.25">
      <c r="A1982" s="100">
        <f t="shared" si="33"/>
        <v>13</v>
      </c>
      <c r="B1982" s="151" t="s">
        <v>594</v>
      </c>
      <c r="C1982" s="152" t="s">
        <v>1761</v>
      </c>
      <c r="D1982" s="103"/>
      <c r="E1982" s="104">
        <v>5000</v>
      </c>
    </row>
    <row r="1983" spans="1:5" x14ac:dyDescent="0.25">
      <c r="A1983" s="100">
        <f t="shared" si="33"/>
        <v>14</v>
      </c>
      <c r="B1983" s="151" t="s">
        <v>1756</v>
      </c>
      <c r="C1983" s="152" t="s">
        <v>1762</v>
      </c>
      <c r="D1983" s="103"/>
      <c r="E1983" s="104">
        <v>22500</v>
      </c>
    </row>
    <row r="1984" spans="1:5" x14ac:dyDescent="0.25">
      <c r="A1984" s="100"/>
      <c r="B1984" s="151"/>
      <c r="C1984" s="152"/>
      <c r="D1984" s="103"/>
      <c r="E1984" s="104"/>
    </row>
    <row r="1985" spans="1:5" ht="15.75" thickBot="1" x14ac:dyDescent="0.3">
      <c r="A1985" s="105"/>
      <c r="B1985" s="240" t="s">
        <v>10</v>
      </c>
      <c r="C1985" s="241"/>
      <c r="D1985" s="242"/>
      <c r="E1985" s="106">
        <f>SUM(E1970:E1984)</f>
        <v>175000</v>
      </c>
    </row>
    <row r="1986" spans="1:5" x14ac:dyDescent="0.25">
      <c r="A1986" s="95"/>
      <c r="B1986" s="130"/>
      <c r="C1986" s="130"/>
      <c r="E1986" s="131"/>
    </row>
    <row r="1987" spans="1:5" x14ac:dyDescent="0.25">
      <c r="A1987" s="94"/>
      <c r="B1987" s="94"/>
      <c r="C1987" s="95"/>
      <c r="D1987" s="108" t="s">
        <v>1618</v>
      </c>
      <c r="E1987" s="94"/>
    </row>
    <row r="1988" spans="1:5" x14ac:dyDescent="0.25">
      <c r="D1988" s="108" t="s">
        <v>83</v>
      </c>
    </row>
    <row r="2015" spans="1:5" x14ac:dyDescent="0.25">
      <c r="A2015" s="93" t="s">
        <v>0</v>
      </c>
      <c r="B2015" s="129"/>
      <c r="C2015" s="129"/>
      <c r="D2015" s="129"/>
      <c r="E2015" s="129"/>
    </row>
    <row r="2016" spans="1:5" x14ac:dyDescent="0.25">
      <c r="A2016" s="93" t="s">
        <v>1</v>
      </c>
      <c r="B2016" s="94"/>
      <c r="C2016" s="95"/>
      <c r="D2016" s="94"/>
      <c r="E2016" s="94"/>
    </row>
    <row r="2017" spans="1:5" x14ac:dyDescent="0.25">
      <c r="A2017" s="93"/>
      <c r="B2017" s="94"/>
      <c r="C2017" s="95"/>
      <c r="D2017" s="94"/>
      <c r="E2017" s="94"/>
    </row>
    <row r="2018" spans="1:5" x14ac:dyDescent="0.25">
      <c r="A2018" s="96" t="s">
        <v>84</v>
      </c>
      <c r="B2018" s="96"/>
      <c r="C2018" s="96"/>
      <c r="D2018" s="96"/>
      <c r="E2018" s="96"/>
    </row>
    <row r="2019" spans="1:5" x14ac:dyDescent="0.25">
      <c r="A2019" s="238" t="s">
        <v>100</v>
      </c>
      <c r="B2019" s="239"/>
      <c r="C2019" s="239"/>
      <c r="D2019" s="239"/>
      <c r="E2019" s="239"/>
    </row>
    <row r="2020" spans="1:5" x14ac:dyDescent="0.25">
      <c r="A2020" s="95"/>
      <c r="B2020" s="95"/>
      <c r="C2020" s="95"/>
      <c r="D2020" s="95"/>
      <c r="E2020" s="95"/>
    </row>
    <row r="2021" spans="1:5" ht="15.75" thickBot="1" x14ac:dyDescent="0.3">
      <c r="A2021" s="94"/>
      <c r="B2021" s="94"/>
      <c r="C2021" s="95"/>
      <c r="D2021" s="94"/>
      <c r="E2021" s="109" t="s">
        <v>1763</v>
      </c>
    </row>
    <row r="2022" spans="1:5" x14ac:dyDescent="0.25">
      <c r="A2022" s="97" t="s">
        <v>16</v>
      </c>
      <c r="B2022" s="98" t="s">
        <v>79</v>
      </c>
      <c r="C2022" s="98" t="s">
        <v>80</v>
      </c>
      <c r="D2022" s="98" t="s">
        <v>77</v>
      </c>
      <c r="E2022" s="99" t="s">
        <v>10</v>
      </c>
    </row>
    <row r="2023" spans="1:5" x14ac:dyDescent="0.25">
      <c r="A2023" s="100">
        <v>1</v>
      </c>
      <c r="B2023" s="151" t="s">
        <v>1765</v>
      </c>
      <c r="C2023" s="152" t="s">
        <v>1769</v>
      </c>
      <c r="D2023" s="103"/>
      <c r="E2023" s="104">
        <v>5000</v>
      </c>
    </row>
    <row r="2024" spans="1:5" x14ac:dyDescent="0.25">
      <c r="A2024" s="100">
        <f>A2023+1</f>
        <v>2</v>
      </c>
      <c r="B2024" s="151" t="s">
        <v>924</v>
      </c>
      <c r="C2024" s="152" t="s">
        <v>919</v>
      </c>
      <c r="D2024" s="103"/>
      <c r="E2024" s="104">
        <v>5000</v>
      </c>
    </row>
    <row r="2025" spans="1:5" x14ac:dyDescent="0.25">
      <c r="A2025" s="100">
        <f t="shared" ref="A2025:A2037" si="34">A2024+1</f>
        <v>3</v>
      </c>
      <c r="B2025" s="151" t="s">
        <v>1766</v>
      </c>
      <c r="C2025" s="152" t="s">
        <v>1770</v>
      </c>
      <c r="D2025" s="103"/>
      <c r="E2025" s="104">
        <v>5000</v>
      </c>
    </row>
    <row r="2026" spans="1:5" x14ac:dyDescent="0.25">
      <c r="A2026" s="100">
        <f t="shared" si="34"/>
        <v>4</v>
      </c>
      <c r="B2026" s="151" t="s">
        <v>1767</v>
      </c>
      <c r="C2026" s="152" t="s">
        <v>1771</v>
      </c>
      <c r="D2026" s="103"/>
      <c r="E2026" s="104">
        <v>5000</v>
      </c>
    </row>
    <row r="2027" spans="1:5" x14ac:dyDescent="0.25">
      <c r="A2027" s="100">
        <f t="shared" si="34"/>
        <v>5</v>
      </c>
      <c r="B2027" s="151" t="s">
        <v>1768</v>
      </c>
      <c r="C2027" s="152" t="s">
        <v>1772</v>
      </c>
      <c r="D2027" s="103"/>
      <c r="E2027" s="104">
        <v>32500</v>
      </c>
    </row>
    <row r="2028" spans="1:5" x14ac:dyDescent="0.25">
      <c r="A2028" s="100">
        <f t="shared" si="34"/>
        <v>6</v>
      </c>
      <c r="B2028" s="151" t="s">
        <v>1004</v>
      </c>
      <c r="C2028" s="152" t="s">
        <v>1010</v>
      </c>
      <c r="D2028" s="103"/>
      <c r="E2028" s="104">
        <v>12500</v>
      </c>
    </row>
    <row r="2029" spans="1:5" x14ac:dyDescent="0.25">
      <c r="A2029" s="100">
        <f t="shared" si="34"/>
        <v>7</v>
      </c>
      <c r="B2029" s="151" t="s">
        <v>1776</v>
      </c>
      <c r="C2029" s="152" t="s">
        <v>1773</v>
      </c>
      <c r="D2029" s="103"/>
      <c r="E2029" s="104">
        <v>22500</v>
      </c>
    </row>
    <row r="2030" spans="1:5" x14ac:dyDescent="0.25">
      <c r="A2030" s="100">
        <f t="shared" si="34"/>
        <v>8</v>
      </c>
      <c r="B2030" s="151" t="s">
        <v>1777</v>
      </c>
      <c r="C2030" s="152" t="s">
        <v>1774</v>
      </c>
      <c r="D2030" s="103"/>
      <c r="E2030" s="104">
        <v>5000</v>
      </c>
    </row>
    <row r="2031" spans="1:5" x14ac:dyDescent="0.25">
      <c r="A2031" s="100">
        <f t="shared" si="34"/>
        <v>9</v>
      </c>
      <c r="B2031" s="151" t="s">
        <v>1778</v>
      </c>
      <c r="C2031" s="152" t="s">
        <v>1775</v>
      </c>
      <c r="D2031" s="103"/>
      <c r="E2031" s="104">
        <v>5000</v>
      </c>
    </row>
    <row r="2032" spans="1:5" x14ac:dyDescent="0.25">
      <c r="A2032" s="100">
        <f t="shared" si="34"/>
        <v>10</v>
      </c>
      <c r="B2032" s="151" t="s">
        <v>1779</v>
      </c>
      <c r="C2032" s="152" t="s">
        <v>1784</v>
      </c>
      <c r="D2032" s="103"/>
      <c r="E2032" s="104">
        <v>42500</v>
      </c>
    </row>
    <row r="2033" spans="1:5" x14ac:dyDescent="0.25">
      <c r="A2033" s="100">
        <f t="shared" si="34"/>
        <v>11</v>
      </c>
      <c r="B2033" s="151" t="s">
        <v>1780</v>
      </c>
      <c r="C2033" s="152" t="s">
        <v>1785</v>
      </c>
      <c r="D2033" s="103"/>
      <c r="E2033" s="104">
        <v>10000</v>
      </c>
    </row>
    <row r="2034" spans="1:5" x14ac:dyDescent="0.25">
      <c r="A2034" s="100">
        <f t="shared" si="34"/>
        <v>12</v>
      </c>
      <c r="B2034" s="151" t="s">
        <v>1781</v>
      </c>
      <c r="C2034" s="152" t="s">
        <v>1786</v>
      </c>
      <c r="D2034" s="103"/>
      <c r="E2034" s="104">
        <v>5000</v>
      </c>
    </row>
    <row r="2035" spans="1:5" x14ac:dyDescent="0.25">
      <c r="A2035" s="100">
        <f t="shared" si="34"/>
        <v>13</v>
      </c>
      <c r="B2035" s="151" t="s">
        <v>1782</v>
      </c>
      <c r="C2035" s="152" t="s">
        <v>1787</v>
      </c>
      <c r="D2035" s="103"/>
      <c r="E2035" s="104">
        <v>5000</v>
      </c>
    </row>
    <row r="2036" spans="1:5" x14ac:dyDescent="0.25">
      <c r="A2036" s="100">
        <f t="shared" si="34"/>
        <v>14</v>
      </c>
      <c r="B2036" s="151" t="s">
        <v>1783</v>
      </c>
      <c r="C2036" s="152" t="s">
        <v>1788</v>
      </c>
      <c r="D2036" s="103"/>
      <c r="E2036" s="104">
        <v>22500</v>
      </c>
    </row>
    <row r="2037" spans="1:5" x14ac:dyDescent="0.25">
      <c r="A2037" s="100">
        <f t="shared" si="34"/>
        <v>15</v>
      </c>
      <c r="B2037" s="151" t="s">
        <v>736</v>
      </c>
      <c r="C2037" s="152" t="s">
        <v>1789</v>
      </c>
      <c r="D2037" s="103"/>
      <c r="E2037" s="104">
        <v>5000</v>
      </c>
    </row>
    <row r="2038" spans="1:5" x14ac:dyDescent="0.25">
      <c r="A2038" s="100"/>
      <c r="B2038" s="151"/>
      <c r="C2038" s="152"/>
      <c r="D2038" s="103"/>
      <c r="E2038" s="104"/>
    </row>
    <row r="2039" spans="1:5" ht="15.75" thickBot="1" x14ac:dyDescent="0.3">
      <c r="A2039" s="105"/>
      <c r="B2039" s="240" t="s">
        <v>10</v>
      </c>
      <c r="C2039" s="241"/>
      <c r="D2039" s="242"/>
      <c r="E2039" s="106">
        <f>SUM(E2023:E2038)</f>
        <v>187500</v>
      </c>
    </row>
    <row r="2040" spans="1:5" x14ac:dyDescent="0.25">
      <c r="A2040" s="95"/>
      <c r="B2040" s="130"/>
      <c r="C2040" s="130"/>
      <c r="E2040" s="131"/>
    </row>
    <row r="2041" spans="1:5" x14ac:dyDescent="0.25">
      <c r="A2041" s="94"/>
      <c r="B2041" s="94"/>
      <c r="C2041" s="95"/>
      <c r="D2041" s="108" t="s">
        <v>1764</v>
      </c>
      <c r="E2041" s="94"/>
    </row>
    <row r="2042" spans="1:5" x14ac:dyDescent="0.25">
      <c r="D2042" s="108" t="s">
        <v>83</v>
      </c>
    </row>
    <row r="2068" spans="1:5" x14ac:dyDescent="0.25">
      <c r="A2068" s="93" t="s">
        <v>0</v>
      </c>
      <c r="B2068" s="129"/>
      <c r="C2068" s="129"/>
      <c r="D2068" s="129"/>
      <c r="E2068" s="129"/>
    </row>
    <row r="2069" spans="1:5" x14ac:dyDescent="0.25">
      <c r="A2069" s="93" t="s">
        <v>1</v>
      </c>
      <c r="B2069" s="94"/>
      <c r="C2069" s="95"/>
      <c r="D2069" s="94"/>
      <c r="E2069" s="94"/>
    </row>
    <row r="2070" spans="1:5" x14ac:dyDescent="0.25">
      <c r="A2070" s="93"/>
      <c r="B2070" s="94"/>
      <c r="C2070" s="95"/>
      <c r="D2070" s="94"/>
      <c r="E2070" s="94"/>
    </row>
    <row r="2071" spans="1:5" x14ac:dyDescent="0.25">
      <c r="A2071" s="96" t="s">
        <v>84</v>
      </c>
      <c r="B2071" s="96"/>
      <c r="C2071" s="96"/>
      <c r="D2071" s="96"/>
      <c r="E2071" s="96"/>
    </row>
    <row r="2072" spans="1:5" x14ac:dyDescent="0.25">
      <c r="A2072" s="238" t="s">
        <v>100</v>
      </c>
      <c r="B2072" s="239"/>
      <c r="C2072" s="239"/>
      <c r="D2072" s="239"/>
      <c r="E2072" s="239"/>
    </row>
    <row r="2073" spans="1:5" x14ac:dyDescent="0.25">
      <c r="A2073" s="95"/>
      <c r="B2073" s="95"/>
      <c r="C2073" s="95"/>
      <c r="D2073" s="95"/>
      <c r="E2073" s="95"/>
    </row>
    <row r="2074" spans="1:5" ht="15.75" thickBot="1" x14ac:dyDescent="0.3">
      <c r="A2074" s="94"/>
      <c r="B2074" s="94"/>
      <c r="C2074" s="95"/>
      <c r="D2074" s="94"/>
      <c r="E2074" s="109" t="s">
        <v>1790</v>
      </c>
    </row>
    <row r="2075" spans="1:5" x14ac:dyDescent="0.25">
      <c r="A2075" s="97" t="s">
        <v>16</v>
      </c>
      <c r="B2075" s="98" t="s">
        <v>79</v>
      </c>
      <c r="C2075" s="98" t="s">
        <v>80</v>
      </c>
      <c r="D2075" s="98" t="s">
        <v>77</v>
      </c>
      <c r="E2075" s="99" t="s">
        <v>10</v>
      </c>
    </row>
    <row r="2076" spans="1:5" x14ac:dyDescent="0.25">
      <c r="A2076" s="100">
        <v>1</v>
      </c>
      <c r="B2076" s="151" t="s">
        <v>1792</v>
      </c>
      <c r="C2076" s="152" t="s">
        <v>1796</v>
      </c>
      <c r="D2076" s="103"/>
      <c r="E2076" s="104">
        <v>70000</v>
      </c>
    </row>
    <row r="2077" spans="1:5" x14ac:dyDescent="0.25">
      <c r="A2077" s="100">
        <f>A2076+1</f>
        <v>2</v>
      </c>
      <c r="B2077" s="151" t="s">
        <v>335</v>
      </c>
      <c r="C2077" s="152" t="s">
        <v>342</v>
      </c>
      <c r="D2077" s="103"/>
      <c r="E2077" s="104">
        <v>17500</v>
      </c>
    </row>
    <row r="2078" spans="1:5" x14ac:dyDescent="0.25">
      <c r="A2078" s="100">
        <f t="shared" ref="A2078:A2119" si="35">A2077+1</f>
        <v>3</v>
      </c>
      <c r="B2078" s="151" t="s">
        <v>1793</v>
      </c>
      <c r="C2078" s="152" t="s">
        <v>1797</v>
      </c>
      <c r="D2078" s="103"/>
      <c r="E2078" s="104">
        <v>5000</v>
      </c>
    </row>
    <row r="2079" spans="1:5" x14ac:dyDescent="0.25">
      <c r="A2079" s="100">
        <f t="shared" si="35"/>
        <v>4</v>
      </c>
      <c r="B2079" s="151" t="s">
        <v>1794</v>
      </c>
      <c r="C2079" s="152" t="s">
        <v>1798</v>
      </c>
      <c r="D2079" s="103"/>
      <c r="E2079" s="104">
        <v>32500</v>
      </c>
    </row>
    <row r="2080" spans="1:5" x14ac:dyDescent="0.25">
      <c r="A2080" s="100">
        <f t="shared" si="35"/>
        <v>5</v>
      </c>
      <c r="B2080" s="151" t="s">
        <v>1795</v>
      </c>
      <c r="C2080" s="152" t="s">
        <v>1799</v>
      </c>
      <c r="D2080" s="103"/>
      <c r="E2080" s="104">
        <v>12500</v>
      </c>
    </row>
    <row r="2081" spans="1:5" x14ac:dyDescent="0.25">
      <c r="A2081" s="100">
        <f t="shared" si="35"/>
        <v>6</v>
      </c>
      <c r="B2081" s="151" t="s">
        <v>1807</v>
      </c>
      <c r="C2081" s="152" t="s">
        <v>1800</v>
      </c>
      <c r="D2081" s="103"/>
      <c r="E2081" s="104">
        <v>12500</v>
      </c>
    </row>
    <row r="2082" spans="1:5" x14ac:dyDescent="0.25">
      <c r="A2082" s="100">
        <f t="shared" si="35"/>
        <v>7</v>
      </c>
      <c r="B2082" s="151" t="s">
        <v>1808</v>
      </c>
      <c r="C2082" s="152" t="s">
        <v>1801</v>
      </c>
      <c r="D2082" s="103"/>
      <c r="E2082" s="104">
        <v>12500</v>
      </c>
    </row>
    <row r="2083" spans="1:5" x14ac:dyDescent="0.25">
      <c r="A2083" s="100">
        <f t="shared" si="35"/>
        <v>8</v>
      </c>
      <c r="B2083" s="151" t="s">
        <v>1809</v>
      </c>
      <c r="C2083" s="152" t="s">
        <v>1802</v>
      </c>
      <c r="D2083" s="103"/>
      <c r="E2083" s="104">
        <v>12500</v>
      </c>
    </row>
    <row r="2084" spans="1:5" x14ac:dyDescent="0.25">
      <c r="A2084" s="100">
        <f t="shared" si="35"/>
        <v>9</v>
      </c>
      <c r="B2084" s="151" t="s">
        <v>1810</v>
      </c>
      <c r="C2084" s="152" t="s">
        <v>1803</v>
      </c>
      <c r="D2084" s="103"/>
      <c r="E2084" s="104">
        <v>12500</v>
      </c>
    </row>
    <row r="2085" spans="1:5" x14ac:dyDescent="0.25">
      <c r="A2085" s="100">
        <f t="shared" si="35"/>
        <v>10</v>
      </c>
      <c r="B2085" s="151" t="s">
        <v>1811</v>
      </c>
      <c r="C2085" s="152" t="s">
        <v>1804</v>
      </c>
      <c r="D2085" s="103"/>
      <c r="E2085" s="104">
        <v>5000</v>
      </c>
    </row>
    <row r="2086" spans="1:5" x14ac:dyDescent="0.25">
      <c r="A2086" s="100">
        <f t="shared" si="35"/>
        <v>11</v>
      </c>
      <c r="B2086" s="151" t="s">
        <v>1812</v>
      </c>
      <c r="C2086" s="152" t="s">
        <v>1805</v>
      </c>
      <c r="D2086" s="103"/>
      <c r="E2086" s="104">
        <v>5000</v>
      </c>
    </row>
    <row r="2087" spans="1:5" x14ac:dyDescent="0.25">
      <c r="A2087" s="100">
        <f t="shared" si="35"/>
        <v>12</v>
      </c>
      <c r="B2087" s="151" t="s">
        <v>1813</v>
      </c>
      <c r="C2087" s="152" t="s">
        <v>1806</v>
      </c>
      <c r="D2087" s="103"/>
      <c r="E2087" s="104">
        <v>5000</v>
      </c>
    </row>
    <row r="2088" spans="1:5" x14ac:dyDescent="0.25">
      <c r="A2088" s="100">
        <f t="shared" si="35"/>
        <v>13</v>
      </c>
      <c r="B2088" s="151" t="s">
        <v>1814</v>
      </c>
      <c r="C2088" s="152" t="s">
        <v>1820</v>
      </c>
      <c r="D2088" s="103"/>
      <c r="E2088" s="104">
        <v>5000</v>
      </c>
    </row>
    <row r="2089" spans="1:5" x14ac:dyDescent="0.25">
      <c r="A2089" s="100">
        <f t="shared" si="35"/>
        <v>14</v>
      </c>
      <c r="B2089" s="151" t="s">
        <v>1815</v>
      </c>
      <c r="C2089" s="152" t="s">
        <v>1821</v>
      </c>
      <c r="D2089" s="103"/>
      <c r="E2089" s="104">
        <v>32500</v>
      </c>
    </row>
    <row r="2090" spans="1:5" x14ac:dyDescent="0.25">
      <c r="A2090" s="100">
        <f t="shared" si="35"/>
        <v>15</v>
      </c>
      <c r="B2090" s="151" t="s">
        <v>1816</v>
      </c>
      <c r="C2090" s="152" t="s">
        <v>1822</v>
      </c>
      <c r="D2090" s="103"/>
      <c r="E2090" s="104">
        <v>22500</v>
      </c>
    </row>
    <row r="2091" spans="1:5" x14ac:dyDescent="0.25">
      <c r="A2091" s="100">
        <f t="shared" si="35"/>
        <v>16</v>
      </c>
      <c r="B2091" s="151" t="s">
        <v>406</v>
      </c>
      <c r="C2091" s="152" t="s">
        <v>1823</v>
      </c>
      <c r="D2091" s="103"/>
      <c r="E2091" s="104">
        <v>12500</v>
      </c>
    </row>
    <row r="2092" spans="1:5" x14ac:dyDescent="0.25">
      <c r="A2092" s="100">
        <f t="shared" si="35"/>
        <v>17</v>
      </c>
      <c r="B2092" s="151" t="s">
        <v>1817</v>
      </c>
      <c r="C2092" s="152" t="s">
        <v>1825</v>
      </c>
      <c r="D2092" s="103"/>
      <c r="E2092" s="104">
        <v>5000</v>
      </c>
    </row>
    <row r="2093" spans="1:5" x14ac:dyDescent="0.25">
      <c r="A2093" s="100">
        <f t="shared" si="35"/>
        <v>18</v>
      </c>
      <c r="B2093" s="151" t="s">
        <v>1818</v>
      </c>
      <c r="C2093" s="152" t="s">
        <v>1824</v>
      </c>
      <c r="D2093" s="103"/>
      <c r="E2093" s="104">
        <v>42500</v>
      </c>
    </row>
    <row r="2094" spans="1:5" x14ac:dyDescent="0.25">
      <c r="A2094" s="100">
        <f t="shared" si="35"/>
        <v>19</v>
      </c>
      <c r="B2094" s="151" t="s">
        <v>1819</v>
      </c>
      <c r="C2094" s="152" t="s">
        <v>1826</v>
      </c>
      <c r="D2094" s="103"/>
      <c r="E2094" s="104">
        <v>5000</v>
      </c>
    </row>
    <row r="2095" spans="1:5" x14ac:dyDescent="0.25">
      <c r="A2095" s="100">
        <f t="shared" si="35"/>
        <v>20</v>
      </c>
      <c r="B2095" s="151" t="s">
        <v>1834</v>
      </c>
      <c r="C2095" s="152" t="s">
        <v>1827</v>
      </c>
      <c r="D2095" s="103"/>
      <c r="E2095" s="104">
        <v>32500</v>
      </c>
    </row>
    <row r="2096" spans="1:5" x14ac:dyDescent="0.25">
      <c r="A2096" s="100">
        <f t="shared" si="35"/>
        <v>21</v>
      </c>
      <c r="B2096" s="151" t="s">
        <v>1835</v>
      </c>
      <c r="C2096" s="152" t="s">
        <v>1828</v>
      </c>
      <c r="D2096" s="103"/>
      <c r="E2096" s="104">
        <v>5000</v>
      </c>
    </row>
    <row r="2097" spans="1:5" x14ac:dyDescent="0.25">
      <c r="A2097" s="100">
        <f t="shared" si="35"/>
        <v>22</v>
      </c>
      <c r="B2097" s="151" t="s">
        <v>1836</v>
      </c>
      <c r="C2097" s="152" t="s">
        <v>1829</v>
      </c>
      <c r="D2097" s="103"/>
      <c r="E2097" s="104">
        <v>112500</v>
      </c>
    </row>
    <row r="2098" spans="1:5" x14ac:dyDescent="0.25">
      <c r="A2098" s="100">
        <f t="shared" si="35"/>
        <v>23</v>
      </c>
      <c r="B2098" s="151" t="s">
        <v>1837</v>
      </c>
      <c r="C2098" s="152" t="s">
        <v>1830</v>
      </c>
      <c r="D2098" s="103"/>
      <c r="E2098" s="104">
        <v>12500</v>
      </c>
    </row>
    <row r="2099" spans="1:5" x14ac:dyDescent="0.25">
      <c r="A2099" s="100">
        <f t="shared" si="35"/>
        <v>24</v>
      </c>
      <c r="B2099" s="151" t="s">
        <v>1838</v>
      </c>
      <c r="C2099" s="152" t="s">
        <v>1831</v>
      </c>
      <c r="D2099" s="103"/>
      <c r="E2099" s="104">
        <v>22500</v>
      </c>
    </row>
    <row r="2100" spans="1:5" x14ac:dyDescent="0.25">
      <c r="A2100" s="100">
        <f t="shared" si="35"/>
        <v>25</v>
      </c>
      <c r="B2100" s="151" t="s">
        <v>1816</v>
      </c>
      <c r="C2100" s="152" t="s">
        <v>1832</v>
      </c>
      <c r="D2100" s="103"/>
      <c r="E2100" s="104">
        <v>12500</v>
      </c>
    </row>
    <row r="2101" spans="1:5" x14ac:dyDescent="0.25">
      <c r="A2101" s="100">
        <f t="shared" si="35"/>
        <v>26</v>
      </c>
      <c r="B2101" s="151" t="s">
        <v>1839</v>
      </c>
      <c r="C2101" s="152" t="s">
        <v>1833</v>
      </c>
      <c r="D2101" s="103"/>
      <c r="E2101" s="104">
        <v>12500</v>
      </c>
    </row>
    <row r="2102" spans="1:5" x14ac:dyDescent="0.25">
      <c r="A2102" s="100">
        <f t="shared" si="35"/>
        <v>27</v>
      </c>
      <c r="B2102" s="151" t="s">
        <v>1840</v>
      </c>
      <c r="C2102" s="152" t="s">
        <v>1850</v>
      </c>
      <c r="D2102" s="103"/>
      <c r="E2102" s="104">
        <v>5000</v>
      </c>
    </row>
    <row r="2103" spans="1:5" x14ac:dyDescent="0.25">
      <c r="A2103" s="100">
        <f t="shared" si="35"/>
        <v>28</v>
      </c>
      <c r="B2103" s="151" t="s">
        <v>1841</v>
      </c>
      <c r="C2103" s="152" t="s">
        <v>1851</v>
      </c>
      <c r="D2103" s="103"/>
      <c r="E2103" s="104">
        <v>12500</v>
      </c>
    </row>
    <row r="2104" spans="1:5" x14ac:dyDescent="0.25">
      <c r="A2104" s="100">
        <f t="shared" si="35"/>
        <v>29</v>
      </c>
      <c r="B2104" s="151" t="s">
        <v>1842</v>
      </c>
      <c r="C2104" s="152" t="s">
        <v>1852</v>
      </c>
      <c r="D2104" s="103"/>
      <c r="E2104" s="104">
        <v>5000</v>
      </c>
    </row>
    <row r="2105" spans="1:5" x14ac:dyDescent="0.25">
      <c r="A2105" s="100">
        <f t="shared" si="35"/>
        <v>30</v>
      </c>
      <c r="B2105" s="151" t="s">
        <v>1843</v>
      </c>
      <c r="C2105" s="152" t="s">
        <v>1853</v>
      </c>
      <c r="D2105" s="103"/>
      <c r="E2105" s="104">
        <v>5000</v>
      </c>
    </row>
    <row r="2106" spans="1:5" x14ac:dyDescent="0.25">
      <c r="A2106" s="100">
        <f t="shared" si="35"/>
        <v>31</v>
      </c>
      <c r="B2106" s="151" t="s">
        <v>1844</v>
      </c>
      <c r="C2106" s="152" t="s">
        <v>1854</v>
      </c>
      <c r="D2106" s="103"/>
      <c r="E2106" s="104">
        <v>5000</v>
      </c>
    </row>
    <row r="2107" spans="1:5" x14ac:dyDescent="0.25">
      <c r="A2107" s="100">
        <f t="shared" si="35"/>
        <v>32</v>
      </c>
      <c r="B2107" s="151" t="s">
        <v>1845</v>
      </c>
      <c r="C2107" s="152" t="s">
        <v>1855</v>
      </c>
      <c r="D2107" s="103"/>
      <c r="E2107" s="104">
        <v>32500</v>
      </c>
    </row>
    <row r="2108" spans="1:5" x14ac:dyDescent="0.25">
      <c r="A2108" s="100">
        <f t="shared" si="35"/>
        <v>33</v>
      </c>
      <c r="B2108" s="151" t="s">
        <v>1846</v>
      </c>
      <c r="C2108" s="152" t="s">
        <v>1856</v>
      </c>
      <c r="D2108" s="103"/>
      <c r="E2108" s="104">
        <v>12500</v>
      </c>
    </row>
    <row r="2109" spans="1:5" x14ac:dyDescent="0.25">
      <c r="A2109" s="100">
        <f t="shared" si="35"/>
        <v>34</v>
      </c>
      <c r="B2109" s="151" t="s">
        <v>1847</v>
      </c>
      <c r="C2109" s="152" t="s">
        <v>1857</v>
      </c>
      <c r="D2109" s="103"/>
      <c r="E2109" s="104">
        <v>5000</v>
      </c>
    </row>
    <row r="2110" spans="1:5" x14ac:dyDescent="0.25">
      <c r="A2110" s="100">
        <f t="shared" si="35"/>
        <v>35</v>
      </c>
      <c r="B2110" s="151" t="s">
        <v>1848</v>
      </c>
      <c r="C2110" s="152" t="s">
        <v>1858</v>
      </c>
      <c r="D2110" s="103"/>
      <c r="E2110" s="104">
        <v>22500</v>
      </c>
    </row>
    <row r="2111" spans="1:5" x14ac:dyDescent="0.25">
      <c r="A2111" s="100">
        <f t="shared" si="35"/>
        <v>36</v>
      </c>
      <c r="B2111" s="151" t="s">
        <v>1849</v>
      </c>
      <c r="C2111" s="152" t="s">
        <v>1859</v>
      </c>
      <c r="D2111" s="103"/>
      <c r="E2111" s="104">
        <v>5000</v>
      </c>
    </row>
    <row r="2112" spans="1:5" x14ac:dyDescent="0.25">
      <c r="A2112" s="100">
        <f t="shared" si="35"/>
        <v>37</v>
      </c>
      <c r="B2112" s="151" t="s">
        <v>1867</v>
      </c>
      <c r="C2112" s="152" t="s">
        <v>1860</v>
      </c>
      <c r="D2112" s="103"/>
      <c r="E2112" s="104">
        <v>12500</v>
      </c>
    </row>
    <row r="2113" spans="1:5" x14ac:dyDescent="0.25">
      <c r="A2113" s="100">
        <f t="shared" si="35"/>
        <v>38</v>
      </c>
      <c r="B2113" s="151" t="s">
        <v>1868</v>
      </c>
      <c r="C2113" s="152" t="s">
        <v>1861</v>
      </c>
      <c r="D2113" s="103"/>
      <c r="E2113" s="104">
        <v>5000</v>
      </c>
    </row>
    <row r="2114" spans="1:5" x14ac:dyDescent="0.25">
      <c r="A2114" s="100">
        <f t="shared" si="35"/>
        <v>39</v>
      </c>
      <c r="B2114" s="151" t="s">
        <v>1869</v>
      </c>
      <c r="C2114" s="152" t="s">
        <v>1862</v>
      </c>
      <c r="D2114" s="103"/>
      <c r="E2114" s="104">
        <v>5000</v>
      </c>
    </row>
    <row r="2115" spans="1:5" x14ac:dyDescent="0.25">
      <c r="A2115" s="100">
        <f t="shared" si="35"/>
        <v>40</v>
      </c>
      <c r="B2115" s="151" t="s">
        <v>1870</v>
      </c>
      <c r="C2115" s="152" t="s">
        <v>1863</v>
      </c>
      <c r="D2115" s="103"/>
      <c r="E2115" s="104">
        <v>22500</v>
      </c>
    </row>
    <row r="2116" spans="1:5" x14ac:dyDescent="0.25">
      <c r="A2116" s="100">
        <f t="shared" si="35"/>
        <v>41</v>
      </c>
      <c r="B2116" s="151" t="s">
        <v>1871</v>
      </c>
      <c r="C2116" s="152" t="s">
        <v>1864</v>
      </c>
      <c r="D2116" s="103"/>
      <c r="E2116" s="104">
        <v>5000</v>
      </c>
    </row>
    <row r="2117" spans="1:5" x14ac:dyDescent="0.25">
      <c r="A2117" s="100">
        <f t="shared" si="35"/>
        <v>42</v>
      </c>
      <c r="B2117" s="151" t="s">
        <v>1872</v>
      </c>
      <c r="C2117" s="152" t="s">
        <v>1865</v>
      </c>
      <c r="D2117" s="103"/>
      <c r="E2117" s="104">
        <v>12500</v>
      </c>
    </row>
    <row r="2118" spans="1:5" x14ac:dyDescent="0.25">
      <c r="A2118" s="100">
        <f t="shared" si="35"/>
        <v>43</v>
      </c>
      <c r="B2118" s="151" t="s">
        <v>1873</v>
      </c>
      <c r="C2118" s="152" t="s">
        <v>1866</v>
      </c>
      <c r="D2118" s="103"/>
      <c r="E2118" s="104">
        <v>22500</v>
      </c>
    </row>
    <row r="2119" spans="1:5" x14ac:dyDescent="0.25">
      <c r="A2119" s="100">
        <f t="shared" si="35"/>
        <v>44</v>
      </c>
      <c r="B2119" s="151" t="s">
        <v>1874</v>
      </c>
      <c r="C2119" s="152" t="s">
        <v>1875</v>
      </c>
      <c r="D2119" s="103"/>
      <c r="E2119" s="104">
        <v>5000</v>
      </c>
    </row>
    <row r="2120" spans="1:5" x14ac:dyDescent="0.25">
      <c r="A2120" s="153"/>
      <c r="B2120" s="151"/>
      <c r="C2120" s="152"/>
      <c r="D2120" s="103"/>
      <c r="E2120" s="104"/>
    </row>
    <row r="2121" spans="1:5" ht="15.75" thickBot="1" x14ac:dyDescent="0.3">
      <c r="A2121" s="105"/>
      <c r="B2121" s="240" t="s">
        <v>10</v>
      </c>
      <c r="C2121" s="241"/>
      <c r="D2121" s="242"/>
      <c r="E2121" s="106">
        <f>SUM(E2076:E2119)</f>
        <v>737500</v>
      </c>
    </row>
    <row r="2122" spans="1:5" x14ac:dyDescent="0.25">
      <c r="A2122" s="95"/>
      <c r="B2122" s="130"/>
      <c r="C2122" s="130"/>
      <c r="E2122" s="131"/>
    </row>
    <row r="2123" spans="1:5" x14ac:dyDescent="0.25">
      <c r="A2123" s="94"/>
      <c r="B2123" s="94"/>
      <c r="C2123" s="95"/>
      <c r="D2123" s="108" t="s">
        <v>1791</v>
      </c>
      <c r="E2123" s="94"/>
    </row>
    <row r="2124" spans="1:5" x14ac:dyDescent="0.25">
      <c r="D2124" s="108" t="s">
        <v>83</v>
      </c>
    </row>
    <row r="2174" spans="1:5" x14ac:dyDescent="0.25">
      <c r="A2174" s="93" t="s">
        <v>0</v>
      </c>
      <c r="B2174" s="129"/>
      <c r="C2174" s="129"/>
      <c r="D2174" s="129"/>
      <c r="E2174" s="129"/>
    </row>
    <row r="2175" spans="1:5" x14ac:dyDescent="0.25">
      <c r="A2175" s="93" t="s">
        <v>1</v>
      </c>
      <c r="B2175" s="94"/>
      <c r="C2175" s="95"/>
      <c r="D2175" s="94"/>
      <c r="E2175" s="94"/>
    </row>
    <row r="2176" spans="1:5" x14ac:dyDescent="0.25">
      <c r="A2176" s="93"/>
      <c r="B2176" s="94"/>
      <c r="C2176" s="95"/>
      <c r="D2176" s="94"/>
      <c r="E2176" s="94"/>
    </row>
    <row r="2177" spans="1:5" x14ac:dyDescent="0.25">
      <c r="A2177" s="96" t="s">
        <v>84</v>
      </c>
      <c r="B2177" s="96"/>
      <c r="C2177" s="96"/>
      <c r="D2177" s="96"/>
      <c r="E2177" s="96"/>
    </row>
    <row r="2178" spans="1:5" x14ac:dyDescent="0.25">
      <c r="A2178" s="238" t="s">
        <v>100</v>
      </c>
      <c r="B2178" s="239"/>
      <c r="C2178" s="239"/>
      <c r="D2178" s="239"/>
      <c r="E2178" s="239"/>
    </row>
    <row r="2179" spans="1:5" x14ac:dyDescent="0.25">
      <c r="A2179" s="95"/>
      <c r="B2179" s="95"/>
      <c r="C2179" s="95"/>
      <c r="D2179" s="95"/>
      <c r="E2179" s="95"/>
    </row>
    <row r="2180" spans="1:5" ht="15.75" thickBot="1" x14ac:dyDescent="0.3">
      <c r="A2180" s="94"/>
      <c r="B2180" s="94"/>
      <c r="C2180" s="95"/>
      <c r="D2180" s="94"/>
      <c r="E2180" s="109" t="s">
        <v>1876</v>
      </c>
    </row>
    <row r="2181" spans="1:5" x14ac:dyDescent="0.25">
      <c r="A2181" s="97" t="s">
        <v>16</v>
      </c>
      <c r="B2181" s="98" t="s">
        <v>79</v>
      </c>
      <c r="C2181" s="98" t="s">
        <v>80</v>
      </c>
      <c r="D2181" s="98" t="s">
        <v>77</v>
      </c>
      <c r="E2181" s="99" t="s">
        <v>10</v>
      </c>
    </row>
    <row r="2182" spans="1:5" x14ac:dyDescent="0.25">
      <c r="A2182" s="100">
        <v>1</v>
      </c>
      <c r="B2182" s="151" t="s">
        <v>1878</v>
      </c>
      <c r="C2182" s="152" t="s">
        <v>1880</v>
      </c>
      <c r="D2182" s="103"/>
      <c r="E2182" s="104">
        <v>22500</v>
      </c>
    </row>
    <row r="2183" spans="1:5" x14ac:dyDescent="0.25">
      <c r="A2183" s="100">
        <f>A2182+1</f>
        <v>2</v>
      </c>
      <c r="B2183" s="151" t="s">
        <v>1879</v>
      </c>
      <c r="C2183" s="152" t="s">
        <v>1881</v>
      </c>
      <c r="D2183" s="103"/>
      <c r="E2183" s="104">
        <v>5000</v>
      </c>
    </row>
    <row r="2184" spans="1:5" x14ac:dyDescent="0.25">
      <c r="A2184" s="100">
        <f t="shared" ref="A2184:A2202" si="36">A2183+1</f>
        <v>3</v>
      </c>
      <c r="B2184" s="151" t="s">
        <v>1892</v>
      </c>
      <c r="C2184" s="152" t="s">
        <v>1882</v>
      </c>
      <c r="D2184" s="103"/>
      <c r="E2184" s="104">
        <v>5000</v>
      </c>
    </row>
    <row r="2185" spans="1:5" x14ac:dyDescent="0.25">
      <c r="A2185" s="100">
        <f t="shared" si="36"/>
        <v>4</v>
      </c>
      <c r="B2185" s="151" t="s">
        <v>1893</v>
      </c>
      <c r="C2185" s="152" t="s">
        <v>1883</v>
      </c>
      <c r="D2185" s="103"/>
      <c r="E2185" s="104">
        <v>12500</v>
      </c>
    </row>
    <row r="2186" spans="1:5" x14ac:dyDescent="0.25">
      <c r="A2186" s="100">
        <f t="shared" si="36"/>
        <v>5</v>
      </c>
      <c r="B2186" s="151" t="s">
        <v>1894</v>
      </c>
      <c r="C2186" s="152" t="s">
        <v>1884</v>
      </c>
      <c r="D2186" s="103"/>
      <c r="E2186" s="104">
        <v>22500</v>
      </c>
    </row>
    <row r="2187" spans="1:5" x14ac:dyDescent="0.25">
      <c r="A2187" s="100">
        <f t="shared" si="36"/>
        <v>6</v>
      </c>
      <c r="B2187" s="151" t="s">
        <v>1895</v>
      </c>
      <c r="C2187" s="152" t="s">
        <v>1885</v>
      </c>
      <c r="D2187" s="103"/>
      <c r="E2187" s="104">
        <v>5000</v>
      </c>
    </row>
    <row r="2188" spans="1:5" x14ac:dyDescent="0.25">
      <c r="A2188" s="100">
        <f t="shared" si="36"/>
        <v>7</v>
      </c>
      <c r="B2188" s="151" t="s">
        <v>1896</v>
      </c>
      <c r="C2188" s="152" t="s">
        <v>1886</v>
      </c>
      <c r="D2188" s="103"/>
      <c r="E2188" s="104">
        <v>5000</v>
      </c>
    </row>
    <row r="2189" spans="1:5" x14ac:dyDescent="0.25">
      <c r="A2189" s="100">
        <f t="shared" si="36"/>
        <v>8</v>
      </c>
      <c r="B2189" s="151" t="s">
        <v>1897</v>
      </c>
      <c r="C2189" s="152" t="s">
        <v>1887</v>
      </c>
      <c r="D2189" s="103"/>
      <c r="E2189" s="104">
        <v>5000</v>
      </c>
    </row>
    <row r="2190" spans="1:5" x14ac:dyDescent="0.25">
      <c r="A2190" s="100">
        <f t="shared" si="36"/>
        <v>9</v>
      </c>
      <c r="B2190" s="151" t="s">
        <v>1898</v>
      </c>
      <c r="C2190" s="152" t="s">
        <v>1888</v>
      </c>
      <c r="D2190" s="103"/>
      <c r="E2190" s="104">
        <v>20000</v>
      </c>
    </row>
    <row r="2191" spans="1:5" x14ac:dyDescent="0.25">
      <c r="A2191" s="100">
        <f t="shared" si="36"/>
        <v>10</v>
      </c>
      <c r="B2191" s="151" t="s">
        <v>1899</v>
      </c>
      <c r="C2191" s="152" t="s">
        <v>1889</v>
      </c>
      <c r="D2191" s="103"/>
      <c r="E2191" s="104">
        <v>5000</v>
      </c>
    </row>
    <row r="2192" spans="1:5" x14ac:dyDescent="0.25">
      <c r="A2192" s="100">
        <f t="shared" si="36"/>
        <v>11</v>
      </c>
      <c r="B2192" s="151" t="s">
        <v>594</v>
      </c>
      <c r="C2192" s="152" t="s">
        <v>1890</v>
      </c>
      <c r="D2192" s="103"/>
      <c r="E2192" s="104">
        <v>5000</v>
      </c>
    </row>
    <row r="2193" spans="1:5" x14ac:dyDescent="0.25">
      <c r="A2193" s="100">
        <f t="shared" si="36"/>
        <v>12</v>
      </c>
      <c r="B2193" s="151" t="s">
        <v>1900</v>
      </c>
      <c r="C2193" s="152" t="s">
        <v>1891</v>
      </c>
      <c r="D2193" s="103"/>
      <c r="E2193" s="104">
        <v>5000</v>
      </c>
    </row>
    <row r="2194" spans="1:5" x14ac:dyDescent="0.25">
      <c r="A2194" s="100">
        <f t="shared" si="36"/>
        <v>13</v>
      </c>
      <c r="B2194" s="151" t="s">
        <v>1901</v>
      </c>
      <c r="C2194" s="152" t="s">
        <v>1908</v>
      </c>
      <c r="D2194" s="103"/>
      <c r="E2194" s="104">
        <v>5000</v>
      </c>
    </row>
    <row r="2195" spans="1:5" x14ac:dyDescent="0.25">
      <c r="A2195" s="100">
        <f t="shared" si="36"/>
        <v>14</v>
      </c>
      <c r="B2195" s="151" t="s">
        <v>510</v>
      </c>
      <c r="C2195" s="152" t="s">
        <v>1909</v>
      </c>
      <c r="D2195" s="103"/>
      <c r="E2195" s="104">
        <v>12500</v>
      </c>
    </row>
    <row r="2196" spans="1:5" x14ac:dyDescent="0.25">
      <c r="A2196" s="100">
        <f t="shared" si="36"/>
        <v>15</v>
      </c>
      <c r="B2196" s="151" t="s">
        <v>1902</v>
      </c>
      <c r="C2196" s="152" t="s">
        <v>1910</v>
      </c>
      <c r="D2196" s="103"/>
      <c r="E2196" s="104">
        <v>42500</v>
      </c>
    </row>
    <row r="2197" spans="1:5" x14ac:dyDescent="0.25">
      <c r="A2197" s="100">
        <f t="shared" si="36"/>
        <v>16</v>
      </c>
      <c r="B2197" s="151" t="s">
        <v>1903</v>
      </c>
      <c r="C2197" s="152" t="s">
        <v>1911</v>
      </c>
      <c r="D2197" s="103"/>
      <c r="E2197" s="104">
        <v>5000</v>
      </c>
    </row>
    <row r="2198" spans="1:5" x14ac:dyDescent="0.25">
      <c r="A2198" s="100">
        <f t="shared" si="36"/>
        <v>17</v>
      </c>
      <c r="B2198" s="151" t="s">
        <v>1904</v>
      </c>
      <c r="C2198" s="152" t="s">
        <v>1912</v>
      </c>
      <c r="D2198" s="103"/>
      <c r="E2198" s="104">
        <v>5000</v>
      </c>
    </row>
    <row r="2199" spans="1:5" x14ac:dyDescent="0.25">
      <c r="A2199" s="100">
        <f t="shared" si="36"/>
        <v>18</v>
      </c>
      <c r="B2199" s="151" t="s">
        <v>1535</v>
      </c>
      <c r="C2199" s="152" t="s">
        <v>1913</v>
      </c>
      <c r="D2199" s="103"/>
      <c r="E2199" s="104">
        <v>5000</v>
      </c>
    </row>
    <row r="2200" spans="1:5" x14ac:dyDescent="0.25">
      <c r="A2200" s="100">
        <f t="shared" si="36"/>
        <v>19</v>
      </c>
      <c r="B2200" s="151" t="s">
        <v>1905</v>
      </c>
      <c r="C2200" s="152" t="s">
        <v>1914</v>
      </c>
      <c r="D2200" s="103"/>
      <c r="E2200" s="104">
        <v>22500</v>
      </c>
    </row>
    <row r="2201" spans="1:5" x14ac:dyDescent="0.25">
      <c r="A2201" s="100">
        <f t="shared" si="36"/>
        <v>20</v>
      </c>
      <c r="B2201" s="151" t="s">
        <v>1906</v>
      </c>
      <c r="C2201" s="152" t="s">
        <v>1915</v>
      </c>
      <c r="D2201" s="103"/>
      <c r="E2201" s="104">
        <v>5000</v>
      </c>
    </row>
    <row r="2202" spans="1:5" x14ac:dyDescent="0.25">
      <c r="A2202" s="100">
        <f t="shared" si="36"/>
        <v>21</v>
      </c>
      <c r="B2202" s="151" t="s">
        <v>1907</v>
      </c>
      <c r="C2202" s="152" t="s">
        <v>1916</v>
      </c>
      <c r="D2202" s="103"/>
      <c r="E2202" s="104">
        <v>5000</v>
      </c>
    </row>
    <row r="2203" spans="1:5" x14ac:dyDescent="0.25">
      <c r="A2203" s="153"/>
      <c r="B2203" s="151"/>
      <c r="C2203" s="152"/>
      <c r="D2203" s="103"/>
      <c r="E2203" s="104"/>
    </row>
    <row r="2204" spans="1:5" ht="15.75" thickBot="1" x14ac:dyDescent="0.3">
      <c r="A2204" s="105"/>
      <c r="B2204" s="240" t="s">
        <v>10</v>
      </c>
      <c r="C2204" s="241"/>
      <c r="D2204" s="242"/>
      <c r="E2204" s="106">
        <f>SUM(E2182:E2202)</f>
        <v>225000</v>
      </c>
    </row>
    <row r="2205" spans="1:5" x14ac:dyDescent="0.25">
      <c r="A2205" s="95"/>
      <c r="B2205" s="130"/>
      <c r="C2205" s="130"/>
      <c r="E2205" s="131"/>
    </row>
    <row r="2206" spans="1:5" x14ac:dyDescent="0.25">
      <c r="A2206" s="94"/>
      <c r="B2206" s="94"/>
      <c r="C2206" s="95"/>
      <c r="D2206" s="108" t="s">
        <v>1877</v>
      </c>
      <c r="E2206" s="94"/>
    </row>
    <row r="2207" spans="1:5" x14ac:dyDescent="0.25">
      <c r="D2207" s="108" t="s">
        <v>83</v>
      </c>
    </row>
    <row r="2227" spans="1:5" x14ac:dyDescent="0.25">
      <c r="A2227" s="93" t="s">
        <v>0</v>
      </c>
      <c r="B2227" s="129"/>
      <c r="C2227" s="129"/>
      <c r="D2227" s="129"/>
      <c r="E2227" s="129"/>
    </row>
    <row r="2228" spans="1:5" x14ac:dyDescent="0.25">
      <c r="A2228" s="93" t="s">
        <v>1</v>
      </c>
      <c r="B2228" s="94"/>
      <c r="C2228" s="95"/>
      <c r="D2228" s="94"/>
      <c r="E2228" s="94"/>
    </row>
    <row r="2229" spans="1:5" x14ac:dyDescent="0.25">
      <c r="A2229" s="93"/>
      <c r="B2229" s="94"/>
      <c r="C2229" s="95"/>
      <c r="D2229" s="94"/>
      <c r="E2229" s="94"/>
    </row>
    <row r="2230" spans="1:5" x14ac:dyDescent="0.25">
      <c r="A2230" s="96" t="s">
        <v>84</v>
      </c>
      <c r="B2230" s="96"/>
      <c r="C2230" s="96"/>
      <c r="D2230" s="96"/>
      <c r="E2230" s="96"/>
    </row>
    <row r="2231" spans="1:5" x14ac:dyDescent="0.25">
      <c r="A2231" s="238" t="s">
        <v>100</v>
      </c>
      <c r="B2231" s="239"/>
      <c r="C2231" s="239"/>
      <c r="D2231" s="239"/>
      <c r="E2231" s="239"/>
    </row>
    <row r="2232" spans="1:5" x14ac:dyDescent="0.25">
      <c r="A2232" s="95"/>
      <c r="B2232" s="95"/>
      <c r="C2232" s="95"/>
      <c r="D2232" s="95"/>
      <c r="E2232" s="95"/>
    </row>
    <row r="2233" spans="1:5" ht="15.75" thickBot="1" x14ac:dyDescent="0.3">
      <c r="A2233" s="94"/>
      <c r="B2233" s="94"/>
      <c r="C2233" s="95"/>
      <c r="D2233" s="94"/>
      <c r="E2233" s="109" t="s">
        <v>1917</v>
      </c>
    </row>
    <row r="2234" spans="1:5" x14ac:dyDescent="0.25">
      <c r="A2234" s="97" t="s">
        <v>16</v>
      </c>
      <c r="B2234" s="98" t="s">
        <v>79</v>
      </c>
      <c r="C2234" s="98" t="s">
        <v>80</v>
      </c>
      <c r="D2234" s="98" t="s">
        <v>77</v>
      </c>
      <c r="E2234" s="99" t="s">
        <v>10</v>
      </c>
    </row>
    <row r="2235" spans="1:5" x14ac:dyDescent="0.25">
      <c r="A2235" s="100">
        <v>1</v>
      </c>
      <c r="B2235" s="151" t="s">
        <v>1919</v>
      </c>
      <c r="C2235" s="152" t="s">
        <v>1922</v>
      </c>
      <c r="D2235" s="103"/>
      <c r="E2235" s="104">
        <v>5000</v>
      </c>
    </row>
    <row r="2236" spans="1:5" x14ac:dyDescent="0.25">
      <c r="A2236" s="100">
        <f>A2235+1</f>
        <v>2</v>
      </c>
      <c r="B2236" s="151" t="s">
        <v>1920</v>
      </c>
      <c r="C2236" s="152" t="s">
        <v>1923</v>
      </c>
      <c r="D2236" s="103"/>
      <c r="E2236" s="104">
        <v>42500</v>
      </c>
    </row>
    <row r="2237" spans="1:5" x14ac:dyDescent="0.25">
      <c r="A2237" s="100">
        <f t="shared" ref="A2237:A2257" si="37">A2236+1</f>
        <v>3</v>
      </c>
      <c r="B2237" s="151" t="s">
        <v>1925</v>
      </c>
      <c r="C2237" s="152" t="s">
        <v>1926</v>
      </c>
      <c r="D2237" s="103"/>
      <c r="E2237" s="104">
        <v>5000</v>
      </c>
    </row>
    <row r="2238" spans="1:5" x14ac:dyDescent="0.25">
      <c r="A2238" s="100">
        <f t="shared" si="37"/>
        <v>4</v>
      </c>
      <c r="B2238" s="151" t="s">
        <v>1921</v>
      </c>
      <c r="C2238" s="152" t="s">
        <v>1924</v>
      </c>
      <c r="D2238" s="103"/>
      <c r="E2238" s="104">
        <v>42500</v>
      </c>
    </row>
    <row r="2239" spans="1:5" x14ac:dyDescent="0.25">
      <c r="A2239" s="100">
        <f t="shared" si="37"/>
        <v>5</v>
      </c>
      <c r="B2239" s="151" t="s">
        <v>1927</v>
      </c>
      <c r="C2239" s="152" t="s">
        <v>1932</v>
      </c>
      <c r="D2239" s="103"/>
      <c r="E2239" s="104">
        <v>32500</v>
      </c>
    </row>
    <row r="2240" spans="1:5" x14ac:dyDescent="0.25">
      <c r="A2240" s="100">
        <f t="shared" si="37"/>
        <v>6</v>
      </c>
      <c r="B2240" s="151" t="s">
        <v>1928</v>
      </c>
      <c r="C2240" s="152" t="s">
        <v>1933</v>
      </c>
      <c r="D2240" s="103"/>
      <c r="E2240" s="104">
        <v>5000</v>
      </c>
    </row>
    <row r="2241" spans="1:5" x14ac:dyDescent="0.25">
      <c r="A2241" s="100">
        <f t="shared" si="37"/>
        <v>7</v>
      </c>
      <c r="B2241" s="151" t="s">
        <v>1929</v>
      </c>
      <c r="C2241" s="152" t="s">
        <v>1934</v>
      </c>
      <c r="D2241" s="103"/>
      <c r="E2241" s="104">
        <v>5000</v>
      </c>
    </row>
    <row r="2242" spans="1:5" x14ac:dyDescent="0.25">
      <c r="A2242" s="100">
        <f t="shared" si="37"/>
        <v>8</v>
      </c>
      <c r="B2242" s="151" t="s">
        <v>1930</v>
      </c>
      <c r="C2242" s="152" t="s">
        <v>1935</v>
      </c>
      <c r="D2242" s="103"/>
      <c r="E2242" s="104">
        <v>67500</v>
      </c>
    </row>
    <row r="2243" spans="1:5" x14ac:dyDescent="0.25">
      <c r="A2243" s="100">
        <f t="shared" si="37"/>
        <v>9</v>
      </c>
      <c r="B2243" s="151" t="s">
        <v>1931</v>
      </c>
      <c r="C2243" s="152" t="s">
        <v>1936</v>
      </c>
      <c r="D2243" s="103"/>
      <c r="E2243" s="104">
        <v>12500</v>
      </c>
    </row>
    <row r="2244" spans="1:5" x14ac:dyDescent="0.25">
      <c r="A2244" s="100">
        <f t="shared" si="37"/>
        <v>10</v>
      </c>
      <c r="B2244" s="151" t="s">
        <v>801</v>
      </c>
      <c r="C2244" s="152" t="s">
        <v>1937</v>
      </c>
      <c r="D2244" s="103"/>
      <c r="E2244" s="104">
        <v>12500</v>
      </c>
    </row>
    <row r="2245" spans="1:5" x14ac:dyDescent="0.25">
      <c r="A2245" s="100">
        <f t="shared" si="37"/>
        <v>11</v>
      </c>
      <c r="B2245" s="151" t="s">
        <v>1949</v>
      </c>
      <c r="C2245" s="152" t="s">
        <v>1938</v>
      </c>
      <c r="D2245" s="103"/>
      <c r="E2245" s="104">
        <v>5000</v>
      </c>
    </row>
    <row r="2246" spans="1:5" x14ac:dyDescent="0.25">
      <c r="A2246" s="100">
        <f t="shared" si="37"/>
        <v>12</v>
      </c>
      <c r="B2246" s="151" t="s">
        <v>429</v>
      </c>
      <c r="C2246" s="152" t="s">
        <v>1939</v>
      </c>
      <c r="D2246" s="103"/>
      <c r="E2246" s="104">
        <v>5000</v>
      </c>
    </row>
    <row r="2247" spans="1:5" x14ac:dyDescent="0.25">
      <c r="A2247" s="100">
        <f t="shared" si="37"/>
        <v>13</v>
      </c>
      <c r="B2247" s="151" t="s">
        <v>1950</v>
      </c>
      <c r="C2247" s="152" t="s">
        <v>1940</v>
      </c>
      <c r="D2247" s="103"/>
      <c r="E2247" s="104">
        <v>5000</v>
      </c>
    </row>
    <row r="2248" spans="1:5" x14ac:dyDescent="0.25">
      <c r="A2248" s="100">
        <f t="shared" si="37"/>
        <v>14</v>
      </c>
      <c r="B2248" s="151" t="s">
        <v>1951</v>
      </c>
      <c r="C2248" s="152" t="s">
        <v>1941</v>
      </c>
      <c r="D2248" s="103"/>
      <c r="E2248" s="104">
        <v>12500</v>
      </c>
    </row>
    <row r="2249" spans="1:5" x14ac:dyDescent="0.25">
      <c r="A2249" s="100">
        <f t="shared" si="37"/>
        <v>15</v>
      </c>
      <c r="B2249" s="151" t="s">
        <v>1952</v>
      </c>
      <c r="C2249" s="152" t="s">
        <v>1942</v>
      </c>
      <c r="D2249" s="103"/>
      <c r="E2249" s="104">
        <v>5000</v>
      </c>
    </row>
    <row r="2250" spans="1:5" x14ac:dyDescent="0.25">
      <c r="A2250" s="100">
        <f t="shared" si="37"/>
        <v>16</v>
      </c>
      <c r="B2250" s="151" t="s">
        <v>1953</v>
      </c>
      <c r="C2250" s="152" t="s">
        <v>1943</v>
      </c>
      <c r="D2250" s="103"/>
      <c r="E2250" s="104">
        <v>5000</v>
      </c>
    </row>
    <row r="2251" spans="1:5" x14ac:dyDescent="0.25">
      <c r="A2251" s="100">
        <f t="shared" si="37"/>
        <v>17</v>
      </c>
      <c r="B2251" s="151" t="s">
        <v>1666</v>
      </c>
      <c r="C2251" s="152" t="s">
        <v>1944</v>
      </c>
      <c r="D2251" s="103"/>
      <c r="E2251" s="104">
        <v>5000</v>
      </c>
    </row>
    <row r="2252" spans="1:5" x14ac:dyDescent="0.25">
      <c r="A2252" s="100">
        <f t="shared" si="37"/>
        <v>18</v>
      </c>
      <c r="B2252" s="151" t="s">
        <v>1954</v>
      </c>
      <c r="C2252" s="152" t="s">
        <v>1945</v>
      </c>
      <c r="D2252" s="103"/>
      <c r="E2252" s="104">
        <v>12500</v>
      </c>
    </row>
    <row r="2253" spans="1:5" x14ac:dyDescent="0.25">
      <c r="A2253" s="100">
        <f t="shared" si="37"/>
        <v>19</v>
      </c>
      <c r="B2253" s="151" t="s">
        <v>1955</v>
      </c>
      <c r="C2253" s="152" t="s">
        <v>1946</v>
      </c>
      <c r="D2253" s="103"/>
      <c r="E2253" s="104">
        <v>5000</v>
      </c>
    </row>
    <row r="2254" spans="1:5" x14ac:dyDescent="0.25">
      <c r="A2254" s="100">
        <f t="shared" si="37"/>
        <v>20</v>
      </c>
      <c r="B2254" s="151" t="s">
        <v>1956</v>
      </c>
      <c r="C2254" s="152" t="s">
        <v>1947</v>
      </c>
      <c r="D2254" s="103"/>
      <c r="E2254" s="104">
        <v>32500</v>
      </c>
    </row>
    <row r="2255" spans="1:5" x14ac:dyDescent="0.25">
      <c r="A2255" s="100">
        <f t="shared" si="37"/>
        <v>21</v>
      </c>
      <c r="B2255" s="151" t="s">
        <v>599</v>
      </c>
      <c r="C2255" s="152" t="s">
        <v>590</v>
      </c>
      <c r="D2255" s="103"/>
      <c r="E2255" s="104">
        <v>5000</v>
      </c>
    </row>
    <row r="2256" spans="1:5" x14ac:dyDescent="0.25">
      <c r="A2256" s="100">
        <f t="shared" si="37"/>
        <v>22</v>
      </c>
      <c r="B2256" s="151" t="s">
        <v>1957</v>
      </c>
      <c r="C2256" s="152" t="s">
        <v>1948</v>
      </c>
      <c r="D2256" s="103"/>
      <c r="E2256" s="104">
        <v>122500</v>
      </c>
    </row>
    <row r="2257" spans="1:5" x14ac:dyDescent="0.25">
      <c r="A2257" s="100">
        <f t="shared" si="37"/>
        <v>23</v>
      </c>
      <c r="B2257" s="151" t="s">
        <v>1958</v>
      </c>
      <c r="C2257" s="152" t="s">
        <v>1959</v>
      </c>
      <c r="D2257" s="103"/>
      <c r="E2257" s="104">
        <v>5000</v>
      </c>
    </row>
    <row r="2258" spans="1:5" x14ac:dyDescent="0.25">
      <c r="A2258" s="153"/>
      <c r="B2258" s="151"/>
      <c r="C2258" s="152"/>
      <c r="D2258" s="103"/>
      <c r="E2258" s="104"/>
    </row>
    <row r="2259" spans="1:5" ht="15.75" thickBot="1" x14ac:dyDescent="0.3">
      <c r="A2259" s="105"/>
      <c r="B2259" s="240" t="s">
        <v>10</v>
      </c>
      <c r="C2259" s="241"/>
      <c r="D2259" s="242"/>
      <c r="E2259" s="106">
        <f>SUM(E2235:E2257)</f>
        <v>455000</v>
      </c>
    </row>
    <row r="2260" spans="1:5" x14ac:dyDescent="0.25">
      <c r="A2260" s="95"/>
      <c r="B2260" s="130"/>
      <c r="C2260" s="130"/>
      <c r="E2260" s="131"/>
    </row>
    <row r="2261" spans="1:5" x14ac:dyDescent="0.25">
      <c r="A2261" s="94"/>
      <c r="B2261" s="94"/>
      <c r="C2261" s="95"/>
      <c r="D2261" s="108" t="s">
        <v>1918</v>
      </c>
      <c r="E2261" s="94"/>
    </row>
    <row r="2262" spans="1:5" x14ac:dyDescent="0.25">
      <c r="D2262" s="108" t="s">
        <v>83</v>
      </c>
    </row>
    <row r="2280" spans="1:5" x14ac:dyDescent="0.25">
      <c r="A2280" s="93" t="s">
        <v>0</v>
      </c>
      <c r="B2280" s="129"/>
      <c r="C2280" s="129"/>
      <c r="D2280" s="129"/>
      <c r="E2280" s="129"/>
    </row>
    <row r="2281" spans="1:5" x14ac:dyDescent="0.25">
      <c r="A2281" s="93" t="s">
        <v>1</v>
      </c>
      <c r="B2281" s="94"/>
      <c r="C2281" s="95"/>
      <c r="D2281" s="94"/>
      <c r="E2281" s="94"/>
    </row>
    <row r="2282" spans="1:5" x14ac:dyDescent="0.25">
      <c r="A2282" s="93"/>
      <c r="B2282" s="94"/>
      <c r="C2282" s="95"/>
      <c r="D2282" s="94"/>
      <c r="E2282" s="94"/>
    </row>
    <row r="2283" spans="1:5" x14ac:dyDescent="0.25">
      <c r="A2283" s="96" t="s">
        <v>84</v>
      </c>
      <c r="B2283" s="96"/>
      <c r="C2283" s="96"/>
      <c r="D2283" s="96"/>
      <c r="E2283" s="96"/>
    </row>
    <row r="2284" spans="1:5" x14ac:dyDescent="0.25">
      <c r="A2284" s="238" t="s">
        <v>100</v>
      </c>
      <c r="B2284" s="239"/>
      <c r="C2284" s="239"/>
      <c r="D2284" s="239"/>
      <c r="E2284" s="239"/>
    </row>
    <row r="2285" spans="1:5" x14ac:dyDescent="0.25">
      <c r="A2285" s="95"/>
      <c r="B2285" s="95"/>
      <c r="C2285" s="95"/>
      <c r="D2285" s="95"/>
      <c r="E2285" s="95"/>
    </row>
    <row r="2286" spans="1:5" ht="15.75" thickBot="1" x14ac:dyDescent="0.3">
      <c r="A2286" s="94"/>
      <c r="B2286" s="94"/>
      <c r="C2286" s="95"/>
      <c r="D2286" s="94"/>
      <c r="E2286" s="109" t="s">
        <v>1960</v>
      </c>
    </row>
    <row r="2287" spans="1:5" x14ac:dyDescent="0.25">
      <c r="A2287" s="97" t="s">
        <v>16</v>
      </c>
      <c r="B2287" s="98" t="s">
        <v>79</v>
      </c>
      <c r="C2287" s="98" t="s">
        <v>80</v>
      </c>
      <c r="D2287" s="98" t="s">
        <v>77</v>
      </c>
      <c r="E2287" s="99" t="s">
        <v>10</v>
      </c>
    </row>
    <row r="2288" spans="1:5" x14ac:dyDescent="0.25">
      <c r="A2288" s="100">
        <v>1</v>
      </c>
      <c r="B2288" s="151" t="s">
        <v>1678</v>
      </c>
      <c r="C2288" s="152" t="s">
        <v>1964</v>
      </c>
      <c r="D2288" s="103"/>
      <c r="E2288" s="104">
        <v>82500</v>
      </c>
    </row>
    <row r="2289" spans="1:5" x14ac:dyDescent="0.25">
      <c r="A2289" s="100">
        <f>A2288+1</f>
        <v>2</v>
      </c>
      <c r="B2289" s="151" t="s">
        <v>623</v>
      </c>
      <c r="C2289" s="152" t="s">
        <v>1965</v>
      </c>
      <c r="D2289" s="103"/>
      <c r="E2289" s="104">
        <v>12500</v>
      </c>
    </row>
    <row r="2290" spans="1:5" x14ac:dyDescent="0.25">
      <c r="A2290" s="100">
        <f t="shared" ref="A2290:A2313" si="38">A2289+1</f>
        <v>3</v>
      </c>
      <c r="B2290" s="151" t="s">
        <v>1962</v>
      </c>
      <c r="C2290" s="152" t="s">
        <v>1966</v>
      </c>
      <c r="D2290" s="103"/>
      <c r="E2290" s="104">
        <v>12500</v>
      </c>
    </row>
    <row r="2291" spans="1:5" x14ac:dyDescent="0.25">
      <c r="A2291" s="100">
        <f t="shared" si="38"/>
        <v>4</v>
      </c>
      <c r="B2291" s="151" t="s">
        <v>1963</v>
      </c>
      <c r="C2291" s="152" t="s">
        <v>1967</v>
      </c>
      <c r="D2291" s="103"/>
      <c r="E2291" s="104">
        <v>5000</v>
      </c>
    </row>
    <row r="2292" spans="1:5" x14ac:dyDescent="0.25">
      <c r="A2292" s="100">
        <f t="shared" si="38"/>
        <v>5</v>
      </c>
      <c r="B2292" s="151" t="s">
        <v>1975</v>
      </c>
      <c r="C2292" s="152" t="s">
        <v>1968</v>
      </c>
      <c r="D2292" s="103"/>
      <c r="E2292" s="104">
        <v>52500</v>
      </c>
    </row>
    <row r="2293" spans="1:5" x14ac:dyDescent="0.25">
      <c r="A2293" s="100">
        <f t="shared" si="38"/>
        <v>6</v>
      </c>
      <c r="B2293" s="151" t="s">
        <v>1976</v>
      </c>
      <c r="C2293" s="152" t="s">
        <v>1969</v>
      </c>
      <c r="D2293" s="103"/>
      <c r="E2293" s="104">
        <v>10000</v>
      </c>
    </row>
    <row r="2294" spans="1:5" x14ac:dyDescent="0.25">
      <c r="A2294" s="100">
        <f t="shared" si="38"/>
        <v>7</v>
      </c>
      <c r="B2294" s="151" t="s">
        <v>1977</v>
      </c>
      <c r="C2294" s="152" t="s">
        <v>1970</v>
      </c>
      <c r="D2294" s="103"/>
      <c r="E2294" s="104">
        <v>5000</v>
      </c>
    </row>
    <row r="2295" spans="1:5" x14ac:dyDescent="0.25">
      <c r="A2295" s="100">
        <f t="shared" si="38"/>
        <v>8</v>
      </c>
      <c r="B2295" s="151" t="s">
        <v>119</v>
      </c>
      <c r="C2295" s="152" t="s">
        <v>1971</v>
      </c>
      <c r="D2295" s="103"/>
      <c r="E2295" s="104">
        <v>5000</v>
      </c>
    </row>
    <row r="2296" spans="1:5" x14ac:dyDescent="0.25">
      <c r="A2296" s="100">
        <f t="shared" si="38"/>
        <v>9</v>
      </c>
      <c r="B2296" s="151" t="s">
        <v>1978</v>
      </c>
      <c r="C2296" s="152" t="s">
        <v>1972</v>
      </c>
      <c r="D2296" s="103"/>
      <c r="E2296" s="104">
        <v>5000</v>
      </c>
    </row>
    <row r="2297" spans="1:5" x14ac:dyDescent="0.25">
      <c r="A2297" s="100">
        <f t="shared" si="38"/>
        <v>10</v>
      </c>
      <c r="B2297" s="151" t="s">
        <v>1979</v>
      </c>
      <c r="C2297" s="152" t="s">
        <v>1973</v>
      </c>
      <c r="D2297" s="103"/>
      <c r="E2297" s="104">
        <v>22500</v>
      </c>
    </row>
    <row r="2298" spans="1:5" x14ac:dyDescent="0.25">
      <c r="A2298" s="100">
        <f t="shared" si="38"/>
        <v>11</v>
      </c>
      <c r="B2298" s="151" t="s">
        <v>1980</v>
      </c>
      <c r="C2298" s="152" t="s">
        <v>1974</v>
      </c>
      <c r="D2298" s="103"/>
      <c r="E2298" s="104">
        <v>5000</v>
      </c>
    </row>
    <row r="2299" spans="1:5" x14ac:dyDescent="0.25">
      <c r="A2299" s="100">
        <f t="shared" si="38"/>
        <v>12</v>
      </c>
      <c r="B2299" s="151" t="s">
        <v>1981</v>
      </c>
      <c r="C2299" s="152" t="s">
        <v>1991</v>
      </c>
      <c r="D2299" s="103"/>
      <c r="E2299" s="104">
        <v>12500</v>
      </c>
    </row>
    <row r="2300" spans="1:5" x14ac:dyDescent="0.25">
      <c r="A2300" s="100">
        <f t="shared" si="38"/>
        <v>13</v>
      </c>
      <c r="B2300" s="151" t="s">
        <v>1982</v>
      </c>
      <c r="C2300" s="152" t="s">
        <v>1992</v>
      </c>
      <c r="D2300" s="103"/>
      <c r="E2300" s="104">
        <v>12500</v>
      </c>
    </row>
    <row r="2301" spans="1:5" x14ac:dyDescent="0.25">
      <c r="A2301" s="100">
        <f t="shared" si="38"/>
        <v>14</v>
      </c>
      <c r="B2301" s="151" t="s">
        <v>1983</v>
      </c>
      <c r="C2301" s="152" t="s">
        <v>1993</v>
      </c>
      <c r="D2301" s="103"/>
      <c r="E2301" s="104">
        <v>5000</v>
      </c>
    </row>
    <row r="2302" spans="1:5" x14ac:dyDescent="0.25">
      <c r="A2302" s="100">
        <f t="shared" si="38"/>
        <v>15</v>
      </c>
      <c r="B2302" s="151" t="s">
        <v>1984</v>
      </c>
      <c r="C2302" s="152" t="s">
        <v>1994</v>
      </c>
      <c r="D2302" s="103"/>
      <c r="E2302" s="104">
        <v>12500</v>
      </c>
    </row>
    <row r="2303" spans="1:5" x14ac:dyDescent="0.25">
      <c r="A2303" s="100">
        <f t="shared" si="38"/>
        <v>16</v>
      </c>
      <c r="B2303" s="151" t="s">
        <v>1985</v>
      </c>
      <c r="C2303" s="152" t="s">
        <v>1995</v>
      </c>
      <c r="D2303" s="103"/>
      <c r="E2303" s="104">
        <v>5000</v>
      </c>
    </row>
    <row r="2304" spans="1:5" x14ac:dyDescent="0.25">
      <c r="A2304" s="100">
        <f t="shared" si="38"/>
        <v>17</v>
      </c>
      <c r="B2304" s="151" t="s">
        <v>1986</v>
      </c>
      <c r="C2304" s="152" t="s">
        <v>1996</v>
      </c>
      <c r="D2304" s="103"/>
      <c r="E2304" s="104">
        <v>5000</v>
      </c>
    </row>
    <row r="2305" spans="1:5" x14ac:dyDescent="0.25">
      <c r="A2305" s="100">
        <f t="shared" si="38"/>
        <v>18</v>
      </c>
      <c r="B2305" s="151" t="s">
        <v>996</v>
      </c>
      <c r="C2305" s="152" t="s">
        <v>1247</v>
      </c>
      <c r="D2305" s="103"/>
      <c r="E2305" s="104">
        <v>10000</v>
      </c>
    </row>
    <row r="2306" spans="1:5" x14ac:dyDescent="0.25">
      <c r="A2306" s="100">
        <f t="shared" si="38"/>
        <v>19</v>
      </c>
      <c r="B2306" s="151" t="s">
        <v>1987</v>
      </c>
      <c r="C2306" s="152" t="s">
        <v>1997</v>
      </c>
      <c r="D2306" s="103"/>
      <c r="E2306" s="104">
        <v>12500</v>
      </c>
    </row>
    <row r="2307" spans="1:5" x14ac:dyDescent="0.25">
      <c r="A2307" s="100">
        <f t="shared" si="38"/>
        <v>20</v>
      </c>
      <c r="B2307" s="151" t="s">
        <v>1988</v>
      </c>
      <c r="C2307" s="152" t="s">
        <v>1998</v>
      </c>
      <c r="D2307" s="103"/>
      <c r="E2307" s="104">
        <v>5000</v>
      </c>
    </row>
    <row r="2308" spans="1:5" x14ac:dyDescent="0.25">
      <c r="A2308" s="100">
        <f t="shared" si="38"/>
        <v>21</v>
      </c>
      <c r="B2308" s="151" t="s">
        <v>1989</v>
      </c>
      <c r="C2308" s="152" t="s">
        <v>1999</v>
      </c>
      <c r="D2308" s="103"/>
      <c r="E2308" s="104">
        <v>5000</v>
      </c>
    </row>
    <row r="2309" spans="1:5" x14ac:dyDescent="0.25">
      <c r="A2309" s="100">
        <f t="shared" si="38"/>
        <v>22</v>
      </c>
      <c r="B2309" s="151" t="s">
        <v>1990</v>
      </c>
      <c r="C2309" s="152" t="s">
        <v>2000</v>
      </c>
      <c r="D2309" s="103"/>
      <c r="E2309" s="104">
        <v>22500</v>
      </c>
    </row>
    <row r="2310" spans="1:5" x14ac:dyDescent="0.25">
      <c r="A2310" s="100">
        <f t="shared" si="38"/>
        <v>23</v>
      </c>
      <c r="B2310" s="151" t="s">
        <v>2005</v>
      </c>
      <c r="C2310" s="152" t="s">
        <v>2001</v>
      </c>
      <c r="D2310" s="103"/>
      <c r="E2310" s="104">
        <v>22500</v>
      </c>
    </row>
    <row r="2311" spans="1:5" x14ac:dyDescent="0.25">
      <c r="A2311" s="100">
        <f t="shared" si="38"/>
        <v>24</v>
      </c>
      <c r="B2311" s="151" t="s">
        <v>2006</v>
      </c>
      <c r="C2311" s="152" t="s">
        <v>2002</v>
      </c>
      <c r="D2311" s="103"/>
      <c r="E2311" s="104">
        <v>12500</v>
      </c>
    </row>
    <row r="2312" spans="1:5" x14ac:dyDescent="0.25">
      <c r="A2312" s="100">
        <f t="shared" si="38"/>
        <v>25</v>
      </c>
      <c r="B2312" s="151" t="s">
        <v>2007</v>
      </c>
      <c r="C2312" s="152" t="s">
        <v>2003</v>
      </c>
      <c r="D2312" s="103"/>
      <c r="E2312" s="104">
        <v>5000</v>
      </c>
    </row>
    <row r="2313" spans="1:5" x14ac:dyDescent="0.25">
      <c r="A2313" s="100">
        <f t="shared" si="38"/>
        <v>26</v>
      </c>
      <c r="B2313" s="151" t="s">
        <v>2008</v>
      </c>
      <c r="C2313" s="152" t="s">
        <v>2004</v>
      </c>
      <c r="D2313" s="103"/>
      <c r="E2313" s="155">
        <v>12500</v>
      </c>
    </row>
    <row r="2314" spans="1:5" x14ac:dyDescent="0.25">
      <c r="A2314" s="153"/>
      <c r="B2314" s="151"/>
      <c r="C2314" s="152"/>
      <c r="D2314" s="154"/>
      <c r="E2314" s="155"/>
    </row>
    <row r="2315" spans="1:5" ht="15.75" thickBot="1" x14ac:dyDescent="0.3">
      <c r="A2315" s="105"/>
      <c r="B2315" s="240" t="s">
        <v>10</v>
      </c>
      <c r="C2315" s="241"/>
      <c r="D2315" s="242"/>
      <c r="E2315" s="106">
        <f>SUM(E2288:E2313)</f>
        <v>377500</v>
      </c>
    </row>
    <row r="2316" spans="1:5" x14ac:dyDescent="0.25">
      <c r="A2316" s="95"/>
      <c r="B2316" s="130"/>
      <c r="C2316" s="130"/>
      <c r="E2316" s="131"/>
    </row>
    <row r="2317" spans="1:5" x14ac:dyDescent="0.25">
      <c r="A2317" s="94"/>
      <c r="B2317" s="94"/>
      <c r="C2317" s="95"/>
      <c r="D2317" s="108" t="s">
        <v>1961</v>
      </c>
      <c r="E2317" s="94"/>
    </row>
    <row r="2318" spans="1:5" x14ac:dyDescent="0.25">
      <c r="D2318" s="108" t="s">
        <v>83</v>
      </c>
    </row>
    <row r="2333" spans="1:5" x14ac:dyDescent="0.25">
      <c r="A2333" s="93" t="s">
        <v>0</v>
      </c>
      <c r="B2333" s="129"/>
      <c r="C2333" s="129"/>
      <c r="D2333" s="129"/>
      <c r="E2333" s="129"/>
    </row>
    <row r="2334" spans="1:5" x14ac:dyDescent="0.25">
      <c r="A2334" s="93" t="s">
        <v>1</v>
      </c>
      <c r="B2334" s="94"/>
      <c r="C2334" s="95"/>
      <c r="D2334" s="94"/>
      <c r="E2334" s="94"/>
    </row>
    <row r="2335" spans="1:5" x14ac:dyDescent="0.25">
      <c r="A2335" s="93"/>
      <c r="B2335" s="94"/>
      <c r="C2335" s="95"/>
      <c r="D2335" s="94"/>
      <c r="E2335" s="94"/>
    </row>
    <row r="2336" spans="1:5" x14ac:dyDescent="0.25">
      <c r="A2336" s="96" t="s">
        <v>84</v>
      </c>
      <c r="B2336" s="96"/>
      <c r="C2336" s="96"/>
      <c r="D2336" s="96"/>
      <c r="E2336" s="96"/>
    </row>
    <row r="2337" spans="1:5" x14ac:dyDescent="0.25">
      <c r="A2337" s="238" t="s">
        <v>100</v>
      </c>
      <c r="B2337" s="239"/>
      <c r="C2337" s="239"/>
      <c r="D2337" s="239"/>
      <c r="E2337" s="239"/>
    </row>
    <row r="2338" spans="1:5" x14ac:dyDescent="0.25">
      <c r="A2338" s="95"/>
      <c r="B2338" s="95"/>
      <c r="C2338" s="95"/>
      <c r="D2338" s="95"/>
      <c r="E2338" s="95"/>
    </row>
    <row r="2339" spans="1:5" ht="15.75" thickBot="1" x14ac:dyDescent="0.3">
      <c r="A2339" s="94"/>
      <c r="B2339" s="94"/>
      <c r="C2339" s="95"/>
      <c r="D2339" s="94"/>
      <c r="E2339" s="109" t="s">
        <v>2009</v>
      </c>
    </row>
    <row r="2340" spans="1:5" x14ac:dyDescent="0.25">
      <c r="A2340" s="97" t="s">
        <v>16</v>
      </c>
      <c r="B2340" s="98" t="s">
        <v>79</v>
      </c>
      <c r="C2340" s="98" t="s">
        <v>80</v>
      </c>
      <c r="D2340" s="98" t="s">
        <v>77</v>
      </c>
      <c r="E2340" s="99" t="s">
        <v>10</v>
      </c>
    </row>
    <row r="2341" spans="1:5" x14ac:dyDescent="0.25">
      <c r="A2341" s="100">
        <v>1</v>
      </c>
      <c r="B2341" s="151" t="s">
        <v>2011</v>
      </c>
      <c r="C2341" s="152" t="s">
        <v>2014</v>
      </c>
      <c r="D2341" s="103"/>
      <c r="E2341" s="104">
        <v>5000</v>
      </c>
    </row>
    <row r="2342" spans="1:5" x14ac:dyDescent="0.25">
      <c r="A2342" s="100">
        <f>A2341+1</f>
        <v>2</v>
      </c>
      <c r="B2342" s="151" t="s">
        <v>2012</v>
      </c>
      <c r="C2342" s="152" t="s">
        <v>2015</v>
      </c>
      <c r="D2342" s="103"/>
      <c r="E2342" s="104">
        <v>12500</v>
      </c>
    </row>
    <row r="2343" spans="1:5" x14ac:dyDescent="0.25">
      <c r="A2343" s="100">
        <f t="shared" ref="A2343:A2349" si="39">A2342+1</f>
        <v>3</v>
      </c>
      <c r="B2343" s="151" t="s">
        <v>2013</v>
      </c>
      <c r="C2343" s="152" t="s">
        <v>2016</v>
      </c>
      <c r="D2343" s="103"/>
      <c r="E2343" s="104">
        <v>102500</v>
      </c>
    </row>
    <row r="2344" spans="1:5" x14ac:dyDescent="0.25">
      <c r="A2344" s="100">
        <f t="shared" si="39"/>
        <v>4</v>
      </c>
      <c r="B2344" s="151" t="s">
        <v>2018</v>
      </c>
      <c r="C2344" s="152" t="s">
        <v>2017</v>
      </c>
      <c r="D2344" s="103"/>
      <c r="E2344" s="104">
        <v>117500</v>
      </c>
    </row>
    <row r="2345" spans="1:5" x14ac:dyDescent="0.25">
      <c r="A2345" s="100">
        <f t="shared" si="39"/>
        <v>5</v>
      </c>
      <c r="B2345" s="151" t="s">
        <v>2019</v>
      </c>
      <c r="C2345" s="152" t="s">
        <v>2021</v>
      </c>
      <c r="D2345" s="103"/>
      <c r="E2345" s="104">
        <v>5000</v>
      </c>
    </row>
    <row r="2346" spans="1:5" x14ac:dyDescent="0.25">
      <c r="A2346" s="100">
        <f t="shared" si="39"/>
        <v>6</v>
      </c>
      <c r="B2346" s="151" t="s">
        <v>1328</v>
      </c>
      <c r="C2346" s="152" t="s">
        <v>2022</v>
      </c>
      <c r="D2346" s="103"/>
      <c r="E2346" s="104">
        <v>12500</v>
      </c>
    </row>
    <row r="2347" spans="1:5" x14ac:dyDescent="0.25">
      <c r="A2347" s="100">
        <f t="shared" si="39"/>
        <v>7</v>
      </c>
      <c r="B2347" s="151" t="s">
        <v>2020</v>
      </c>
      <c r="C2347" s="152" t="s">
        <v>2023</v>
      </c>
      <c r="D2347" s="103"/>
      <c r="E2347" s="104">
        <v>12500</v>
      </c>
    </row>
    <row r="2348" spans="1:5" x14ac:dyDescent="0.25">
      <c r="A2348" s="100">
        <f t="shared" si="39"/>
        <v>8</v>
      </c>
      <c r="B2348" s="151" t="s">
        <v>1603</v>
      </c>
      <c r="C2348" s="152" t="s">
        <v>2024</v>
      </c>
      <c r="D2348" s="103"/>
      <c r="E2348" s="104">
        <v>5000</v>
      </c>
    </row>
    <row r="2349" spans="1:5" x14ac:dyDescent="0.25">
      <c r="A2349" s="100">
        <f t="shared" si="39"/>
        <v>9</v>
      </c>
      <c r="B2349" s="151" t="s">
        <v>1603</v>
      </c>
      <c r="C2349" s="152" t="s">
        <v>2025</v>
      </c>
      <c r="D2349" s="103"/>
      <c r="E2349" s="104">
        <v>5000</v>
      </c>
    </row>
    <row r="2350" spans="1:5" x14ac:dyDescent="0.25">
      <c r="A2350" s="153"/>
      <c r="B2350" s="151"/>
      <c r="C2350" s="152"/>
      <c r="D2350" s="154"/>
      <c r="E2350" s="155"/>
    </row>
    <row r="2351" spans="1:5" ht="15.75" thickBot="1" x14ac:dyDescent="0.3">
      <c r="A2351" s="105"/>
      <c r="B2351" s="240" t="s">
        <v>10</v>
      </c>
      <c r="C2351" s="241"/>
      <c r="D2351" s="242"/>
      <c r="E2351" s="106">
        <f>SUM(E2341:E2349)</f>
        <v>277500</v>
      </c>
    </row>
    <row r="2352" spans="1:5" x14ac:dyDescent="0.25">
      <c r="A2352" s="95"/>
      <c r="B2352" s="130"/>
      <c r="C2352" s="130"/>
      <c r="E2352" s="131"/>
    </row>
    <row r="2353" spans="1:5" x14ac:dyDescent="0.25">
      <c r="A2353" s="94"/>
      <c r="B2353" s="94"/>
      <c r="C2353" s="95"/>
      <c r="D2353" s="108" t="s">
        <v>2010</v>
      </c>
      <c r="E2353" s="94"/>
    </row>
    <row r="2354" spans="1:5" x14ac:dyDescent="0.25">
      <c r="D2354" s="108" t="s">
        <v>83</v>
      </c>
    </row>
    <row r="2386" spans="1:5" x14ac:dyDescent="0.25">
      <c r="A2386" s="93" t="s">
        <v>0</v>
      </c>
      <c r="B2386" s="129"/>
      <c r="C2386" s="129"/>
      <c r="D2386" s="129"/>
      <c r="E2386" s="129"/>
    </row>
    <row r="2387" spans="1:5" x14ac:dyDescent="0.25">
      <c r="A2387" s="93" t="s">
        <v>1</v>
      </c>
      <c r="B2387" s="94"/>
      <c r="C2387" s="95"/>
      <c r="D2387" s="94"/>
      <c r="E2387" s="94"/>
    </row>
    <row r="2388" spans="1:5" x14ac:dyDescent="0.25">
      <c r="A2388" s="93"/>
      <c r="B2388" s="94"/>
      <c r="C2388" s="95"/>
      <c r="D2388" s="94"/>
      <c r="E2388" s="94"/>
    </row>
    <row r="2389" spans="1:5" x14ac:dyDescent="0.25">
      <c r="A2389" s="96" t="s">
        <v>84</v>
      </c>
      <c r="B2389" s="96"/>
      <c r="C2389" s="96"/>
      <c r="D2389" s="96"/>
      <c r="E2389" s="96"/>
    </row>
    <row r="2390" spans="1:5" x14ac:dyDescent="0.25">
      <c r="A2390" s="238" t="s">
        <v>100</v>
      </c>
      <c r="B2390" s="239"/>
      <c r="C2390" s="239"/>
      <c r="D2390" s="239"/>
      <c r="E2390" s="239"/>
    </row>
    <row r="2391" spans="1:5" x14ac:dyDescent="0.25">
      <c r="A2391" s="95"/>
      <c r="B2391" s="95"/>
      <c r="C2391" s="95"/>
      <c r="D2391" s="95"/>
      <c r="E2391" s="95"/>
    </row>
    <row r="2392" spans="1:5" ht="15.75" thickBot="1" x14ac:dyDescent="0.3">
      <c r="A2392" s="94"/>
      <c r="B2392" s="94"/>
      <c r="C2392" s="95"/>
      <c r="D2392" s="94"/>
      <c r="E2392" s="109" t="s">
        <v>2026</v>
      </c>
    </row>
    <row r="2393" spans="1:5" x14ac:dyDescent="0.25">
      <c r="A2393" s="97" t="s">
        <v>16</v>
      </c>
      <c r="B2393" s="98" t="s">
        <v>79</v>
      </c>
      <c r="C2393" s="98" t="s">
        <v>80</v>
      </c>
      <c r="D2393" s="98" t="s">
        <v>77</v>
      </c>
      <c r="E2393" s="99" t="s">
        <v>10</v>
      </c>
    </row>
    <row r="2394" spans="1:5" x14ac:dyDescent="0.25">
      <c r="A2394" s="100">
        <v>1</v>
      </c>
      <c r="B2394" s="151" t="s">
        <v>2028</v>
      </c>
      <c r="C2394" s="152" t="s">
        <v>2029</v>
      </c>
      <c r="D2394" s="103"/>
      <c r="E2394" s="104">
        <v>5000</v>
      </c>
    </row>
    <row r="2395" spans="1:5" x14ac:dyDescent="0.25">
      <c r="A2395" s="100">
        <f>A2394+1</f>
        <v>2</v>
      </c>
      <c r="B2395" s="151" t="s">
        <v>435</v>
      </c>
      <c r="C2395" s="152" t="s">
        <v>440</v>
      </c>
      <c r="D2395" s="103"/>
      <c r="E2395" s="104">
        <v>12500</v>
      </c>
    </row>
    <row r="2396" spans="1:5" x14ac:dyDescent="0.25">
      <c r="A2396" s="100">
        <f t="shared" ref="A2396:A2423" si="40">A2395+1</f>
        <v>3</v>
      </c>
      <c r="B2396" s="151" t="s">
        <v>2030</v>
      </c>
      <c r="C2396" s="152" t="s">
        <v>2037</v>
      </c>
      <c r="D2396" s="103"/>
      <c r="E2396" s="156">
        <v>5000</v>
      </c>
    </row>
    <row r="2397" spans="1:5" x14ac:dyDescent="0.25">
      <c r="A2397" s="100">
        <f t="shared" si="40"/>
        <v>4</v>
      </c>
      <c r="B2397" s="151" t="s">
        <v>2031</v>
      </c>
      <c r="C2397" s="152" t="s">
        <v>2038</v>
      </c>
      <c r="D2397" s="103"/>
      <c r="E2397" s="156">
        <v>12500</v>
      </c>
    </row>
    <row r="2398" spans="1:5" x14ac:dyDescent="0.25">
      <c r="A2398" s="100">
        <f t="shared" si="40"/>
        <v>5</v>
      </c>
      <c r="B2398" s="151" t="s">
        <v>2032</v>
      </c>
      <c r="C2398" s="152" t="s">
        <v>2039</v>
      </c>
      <c r="D2398" s="103"/>
      <c r="E2398" s="156">
        <v>12500</v>
      </c>
    </row>
    <row r="2399" spans="1:5" x14ac:dyDescent="0.25">
      <c r="A2399" s="100">
        <f t="shared" si="40"/>
        <v>6</v>
      </c>
      <c r="B2399" s="151" t="s">
        <v>2033</v>
      </c>
      <c r="C2399" s="152" t="s">
        <v>2040</v>
      </c>
      <c r="D2399" s="103"/>
      <c r="E2399" s="156">
        <v>5000</v>
      </c>
    </row>
    <row r="2400" spans="1:5" x14ac:dyDescent="0.25">
      <c r="A2400" s="100">
        <f t="shared" si="40"/>
        <v>7</v>
      </c>
      <c r="B2400" s="151" t="s">
        <v>2034</v>
      </c>
      <c r="C2400" s="152" t="s">
        <v>2041</v>
      </c>
      <c r="D2400" s="103"/>
      <c r="E2400" s="104">
        <v>12500</v>
      </c>
    </row>
    <row r="2401" spans="1:5" x14ac:dyDescent="0.25">
      <c r="A2401" s="100">
        <f t="shared" si="40"/>
        <v>8</v>
      </c>
      <c r="B2401" s="151" t="s">
        <v>1069</v>
      </c>
      <c r="C2401" s="152" t="s">
        <v>1065</v>
      </c>
      <c r="D2401" s="103"/>
      <c r="E2401" s="104">
        <v>5000</v>
      </c>
    </row>
    <row r="2402" spans="1:5" x14ac:dyDescent="0.25">
      <c r="A2402" s="100">
        <f t="shared" si="40"/>
        <v>9</v>
      </c>
      <c r="B2402" s="151" t="s">
        <v>2035</v>
      </c>
      <c r="C2402" s="152" t="s">
        <v>2042</v>
      </c>
      <c r="D2402" s="103"/>
      <c r="E2402" s="104">
        <v>5000</v>
      </c>
    </row>
    <row r="2403" spans="1:5" x14ac:dyDescent="0.25">
      <c r="A2403" s="100">
        <f t="shared" si="40"/>
        <v>10</v>
      </c>
      <c r="B2403" s="151" t="s">
        <v>2036</v>
      </c>
      <c r="C2403" s="152" t="s">
        <v>2043</v>
      </c>
      <c r="D2403" s="103"/>
      <c r="E2403" s="104">
        <v>60000</v>
      </c>
    </row>
    <row r="2404" spans="1:5" x14ac:dyDescent="0.25">
      <c r="A2404" s="100">
        <f t="shared" si="40"/>
        <v>11</v>
      </c>
      <c r="B2404" s="151" t="s">
        <v>2048</v>
      </c>
      <c r="C2404" s="152" t="s">
        <v>2044</v>
      </c>
      <c r="D2404" s="103"/>
      <c r="E2404" s="104">
        <v>12500</v>
      </c>
    </row>
    <row r="2405" spans="1:5" x14ac:dyDescent="0.25">
      <c r="A2405" s="100">
        <f t="shared" si="40"/>
        <v>12</v>
      </c>
      <c r="B2405" s="151" t="s">
        <v>2049</v>
      </c>
      <c r="C2405" s="152" t="s">
        <v>2045</v>
      </c>
      <c r="D2405" s="103"/>
      <c r="E2405" s="104">
        <v>12500</v>
      </c>
    </row>
    <row r="2406" spans="1:5" x14ac:dyDescent="0.25">
      <c r="A2406" s="100">
        <f t="shared" si="40"/>
        <v>13</v>
      </c>
      <c r="B2406" s="151" t="s">
        <v>2050</v>
      </c>
      <c r="C2406" s="152" t="s">
        <v>2046</v>
      </c>
      <c r="D2406" s="103"/>
      <c r="E2406" s="104">
        <v>32500</v>
      </c>
    </row>
    <row r="2407" spans="1:5" x14ac:dyDescent="0.25">
      <c r="A2407" s="100">
        <f t="shared" si="40"/>
        <v>14</v>
      </c>
      <c r="B2407" s="151" t="s">
        <v>2051</v>
      </c>
      <c r="C2407" s="152" t="s">
        <v>2047</v>
      </c>
      <c r="D2407" s="103"/>
      <c r="E2407" s="104">
        <v>5000</v>
      </c>
    </row>
    <row r="2408" spans="1:5" x14ac:dyDescent="0.25">
      <c r="A2408" s="100">
        <f t="shared" si="40"/>
        <v>15</v>
      </c>
      <c r="B2408" s="151" t="s">
        <v>2052</v>
      </c>
      <c r="C2408" s="152" t="s">
        <v>2056</v>
      </c>
      <c r="D2408" s="103"/>
      <c r="E2408" s="104">
        <v>5000</v>
      </c>
    </row>
    <row r="2409" spans="1:5" x14ac:dyDescent="0.25">
      <c r="A2409" s="100">
        <f t="shared" si="40"/>
        <v>16</v>
      </c>
      <c r="B2409" s="151" t="s">
        <v>2053</v>
      </c>
      <c r="C2409" s="152" t="s">
        <v>2057</v>
      </c>
      <c r="D2409" s="103"/>
      <c r="E2409" s="104">
        <v>22500</v>
      </c>
    </row>
    <row r="2410" spans="1:5" x14ac:dyDescent="0.25">
      <c r="A2410" s="100">
        <f t="shared" si="40"/>
        <v>17</v>
      </c>
      <c r="B2410" s="151" t="s">
        <v>2054</v>
      </c>
      <c r="C2410" s="152" t="s">
        <v>2058</v>
      </c>
      <c r="D2410" s="103"/>
      <c r="E2410" s="104">
        <v>5000</v>
      </c>
    </row>
    <row r="2411" spans="1:5" x14ac:dyDescent="0.25">
      <c r="A2411" s="100">
        <f t="shared" si="40"/>
        <v>18</v>
      </c>
      <c r="B2411" s="151" t="s">
        <v>2055</v>
      </c>
      <c r="C2411" s="152" t="s">
        <v>2059</v>
      </c>
      <c r="D2411" s="103"/>
      <c r="E2411" s="104">
        <v>5000</v>
      </c>
    </row>
    <row r="2412" spans="1:5" x14ac:dyDescent="0.25">
      <c r="A2412" s="100">
        <f t="shared" si="40"/>
        <v>19</v>
      </c>
      <c r="B2412" s="151" t="s">
        <v>2066</v>
      </c>
      <c r="C2412" s="152" t="s">
        <v>2060</v>
      </c>
      <c r="D2412" s="103"/>
      <c r="E2412" s="104">
        <v>5000</v>
      </c>
    </row>
    <row r="2413" spans="1:5" x14ac:dyDescent="0.25">
      <c r="A2413" s="100">
        <f t="shared" si="40"/>
        <v>20</v>
      </c>
      <c r="B2413" s="151" t="s">
        <v>2067</v>
      </c>
      <c r="C2413" s="152" t="s">
        <v>2061</v>
      </c>
      <c r="D2413" s="103"/>
      <c r="E2413" s="104">
        <v>5000</v>
      </c>
    </row>
    <row r="2414" spans="1:5" x14ac:dyDescent="0.25">
      <c r="A2414" s="100">
        <f t="shared" si="40"/>
        <v>21</v>
      </c>
      <c r="B2414" s="151" t="s">
        <v>2068</v>
      </c>
      <c r="C2414" s="152" t="s">
        <v>2062</v>
      </c>
      <c r="D2414" s="103"/>
      <c r="E2414" s="104">
        <v>12500</v>
      </c>
    </row>
    <row r="2415" spans="1:5" x14ac:dyDescent="0.25">
      <c r="A2415" s="100">
        <f t="shared" si="40"/>
        <v>22</v>
      </c>
      <c r="B2415" s="151" t="s">
        <v>2069</v>
      </c>
      <c r="C2415" s="152" t="s">
        <v>2063</v>
      </c>
      <c r="D2415" s="103"/>
      <c r="E2415" s="104">
        <v>5000</v>
      </c>
    </row>
    <row r="2416" spans="1:5" x14ac:dyDescent="0.25">
      <c r="A2416" s="100">
        <f t="shared" si="40"/>
        <v>23</v>
      </c>
      <c r="B2416" s="151" t="s">
        <v>2070</v>
      </c>
      <c r="C2416" s="152" t="s">
        <v>2064</v>
      </c>
      <c r="D2416" s="103"/>
      <c r="E2416" s="104">
        <v>5000</v>
      </c>
    </row>
    <row r="2417" spans="1:5" x14ac:dyDescent="0.25">
      <c r="A2417" s="100">
        <f t="shared" si="40"/>
        <v>24</v>
      </c>
      <c r="B2417" s="151" t="s">
        <v>2071</v>
      </c>
      <c r="C2417" s="152" t="s">
        <v>2065</v>
      </c>
      <c r="D2417" s="103"/>
      <c r="E2417" s="104">
        <v>5000</v>
      </c>
    </row>
    <row r="2418" spans="1:5" x14ac:dyDescent="0.25">
      <c r="A2418" s="100">
        <f t="shared" si="40"/>
        <v>25</v>
      </c>
      <c r="B2418" s="151" t="s">
        <v>2072</v>
      </c>
      <c r="C2418" s="152" t="s">
        <v>2076</v>
      </c>
      <c r="D2418" s="103"/>
      <c r="E2418" s="104">
        <v>12500</v>
      </c>
    </row>
    <row r="2419" spans="1:5" x14ac:dyDescent="0.25">
      <c r="A2419" s="100">
        <f t="shared" si="40"/>
        <v>26</v>
      </c>
      <c r="B2419" s="151" t="s">
        <v>2073</v>
      </c>
      <c r="C2419" s="152" t="s">
        <v>2077</v>
      </c>
      <c r="D2419" s="103"/>
      <c r="E2419" s="104">
        <v>5000</v>
      </c>
    </row>
    <row r="2420" spans="1:5" x14ac:dyDescent="0.25">
      <c r="A2420" s="100">
        <f t="shared" si="40"/>
        <v>27</v>
      </c>
      <c r="B2420" s="151" t="s">
        <v>2074</v>
      </c>
      <c r="C2420" s="152" t="s">
        <v>2078</v>
      </c>
      <c r="D2420" s="103"/>
      <c r="E2420" s="104">
        <v>10000</v>
      </c>
    </row>
    <row r="2421" spans="1:5" x14ac:dyDescent="0.25">
      <c r="A2421" s="100">
        <f t="shared" si="40"/>
        <v>28</v>
      </c>
      <c r="B2421" s="151" t="s">
        <v>2075</v>
      </c>
      <c r="C2421" s="152" t="s">
        <v>2079</v>
      </c>
      <c r="D2421" s="103"/>
      <c r="E2421" s="104">
        <v>22500</v>
      </c>
    </row>
    <row r="2422" spans="1:5" x14ac:dyDescent="0.25">
      <c r="A2422" s="100">
        <f t="shared" si="40"/>
        <v>29</v>
      </c>
      <c r="B2422" s="151" t="s">
        <v>2082</v>
      </c>
      <c r="C2422" s="152" t="s">
        <v>2080</v>
      </c>
      <c r="D2422" s="103"/>
      <c r="E2422" s="104">
        <v>5000</v>
      </c>
    </row>
    <row r="2423" spans="1:5" x14ac:dyDescent="0.25">
      <c r="A2423" s="100">
        <f t="shared" si="40"/>
        <v>30</v>
      </c>
      <c r="B2423" s="151" t="s">
        <v>2083</v>
      </c>
      <c r="C2423" s="152" t="s">
        <v>2081</v>
      </c>
      <c r="D2423" s="103"/>
      <c r="E2423" s="104">
        <v>5000</v>
      </c>
    </row>
    <row r="2424" spans="1:5" x14ac:dyDescent="0.25">
      <c r="A2424" s="153"/>
      <c r="B2424" s="151"/>
      <c r="C2424" s="152"/>
      <c r="D2424" s="154"/>
      <c r="E2424" s="155"/>
    </row>
    <row r="2425" spans="1:5" ht="15.75" thickBot="1" x14ac:dyDescent="0.3">
      <c r="A2425" s="105"/>
      <c r="B2425" s="240" t="s">
        <v>10</v>
      </c>
      <c r="C2425" s="241"/>
      <c r="D2425" s="242"/>
      <c r="E2425" s="106">
        <f>SUM(E2394:E2423)</f>
        <v>332500</v>
      </c>
    </row>
    <row r="2426" spans="1:5" x14ac:dyDescent="0.25">
      <c r="A2426" s="95"/>
      <c r="B2426" s="130"/>
      <c r="C2426" s="130"/>
      <c r="E2426" s="131"/>
    </row>
    <row r="2427" spans="1:5" x14ac:dyDescent="0.25">
      <c r="A2427" s="94"/>
      <c r="B2427" s="94"/>
      <c r="C2427" s="95"/>
      <c r="D2427" s="108" t="s">
        <v>2027</v>
      </c>
      <c r="E2427" s="94"/>
    </row>
    <row r="2428" spans="1:5" x14ac:dyDescent="0.25">
      <c r="D2428" s="108" t="s">
        <v>83</v>
      </c>
    </row>
    <row r="2430" spans="1:5" x14ac:dyDescent="0.25">
      <c r="E2430" s="84"/>
    </row>
    <row r="2439" spans="1:5" x14ac:dyDescent="0.25">
      <c r="A2439" s="93" t="s">
        <v>0</v>
      </c>
      <c r="B2439" s="129"/>
      <c r="C2439" s="129"/>
      <c r="D2439" s="129"/>
      <c r="E2439" s="129"/>
    </row>
    <row r="2440" spans="1:5" x14ac:dyDescent="0.25">
      <c r="A2440" s="93" t="s">
        <v>1</v>
      </c>
      <c r="B2440" s="94"/>
      <c r="C2440" s="95"/>
      <c r="D2440" s="94"/>
      <c r="E2440" s="94"/>
    </row>
    <row r="2441" spans="1:5" x14ac:dyDescent="0.25">
      <c r="A2441" s="93"/>
      <c r="B2441" s="94"/>
      <c r="C2441" s="95"/>
      <c r="D2441" s="94"/>
      <c r="E2441" s="94"/>
    </row>
    <row r="2442" spans="1:5" x14ac:dyDescent="0.25">
      <c r="A2442" s="96" t="s">
        <v>84</v>
      </c>
      <c r="B2442" s="96"/>
      <c r="C2442" s="96"/>
      <c r="D2442" s="96"/>
      <c r="E2442" s="96"/>
    </row>
    <row r="2443" spans="1:5" x14ac:dyDescent="0.25">
      <c r="A2443" s="238" t="s">
        <v>100</v>
      </c>
      <c r="B2443" s="239"/>
      <c r="C2443" s="239"/>
      <c r="D2443" s="239"/>
      <c r="E2443" s="239"/>
    </row>
    <row r="2444" spans="1:5" x14ac:dyDescent="0.25">
      <c r="A2444" s="95"/>
      <c r="B2444" s="95"/>
      <c r="C2444" s="95"/>
      <c r="D2444" s="95"/>
      <c r="E2444" s="95"/>
    </row>
    <row r="2445" spans="1:5" ht="15.75" thickBot="1" x14ac:dyDescent="0.3">
      <c r="A2445" s="94"/>
      <c r="B2445" s="94"/>
      <c r="C2445" s="95"/>
      <c r="D2445" s="94"/>
      <c r="E2445" s="109" t="s">
        <v>2084</v>
      </c>
    </row>
    <row r="2446" spans="1:5" x14ac:dyDescent="0.25">
      <c r="A2446" s="97" t="s">
        <v>16</v>
      </c>
      <c r="B2446" s="98" t="s">
        <v>79</v>
      </c>
      <c r="C2446" s="98" t="s">
        <v>80</v>
      </c>
      <c r="D2446" s="98" t="s">
        <v>77</v>
      </c>
      <c r="E2446" s="99" t="s">
        <v>10</v>
      </c>
    </row>
    <row r="2447" spans="1:5" x14ac:dyDescent="0.25">
      <c r="A2447" s="100">
        <v>1</v>
      </c>
      <c r="B2447" s="151" t="s">
        <v>2086</v>
      </c>
      <c r="C2447" s="152" t="s">
        <v>2088</v>
      </c>
      <c r="D2447" s="103"/>
      <c r="E2447" s="104">
        <v>20000</v>
      </c>
    </row>
    <row r="2448" spans="1:5" x14ac:dyDescent="0.25">
      <c r="A2448" s="100">
        <f>A2447+1</f>
        <v>2</v>
      </c>
      <c r="B2448" s="151" t="s">
        <v>2087</v>
      </c>
      <c r="C2448" s="152" t="s">
        <v>2089</v>
      </c>
      <c r="D2448" s="103"/>
      <c r="E2448" s="104">
        <v>5000</v>
      </c>
    </row>
    <row r="2449" spans="1:5" x14ac:dyDescent="0.25">
      <c r="A2449" s="100">
        <f t="shared" ref="A2449:A2485" si="41">A2448+1</f>
        <v>3</v>
      </c>
      <c r="B2449" s="151" t="s">
        <v>1101</v>
      </c>
      <c r="C2449" s="152" t="s">
        <v>1104</v>
      </c>
      <c r="D2449" s="103"/>
      <c r="E2449" s="156">
        <v>5000</v>
      </c>
    </row>
    <row r="2450" spans="1:5" x14ac:dyDescent="0.25">
      <c r="A2450" s="100">
        <f t="shared" si="41"/>
        <v>4</v>
      </c>
      <c r="B2450" s="151" t="s">
        <v>2094</v>
      </c>
      <c r="C2450" s="152" t="s">
        <v>2090</v>
      </c>
      <c r="D2450" s="103"/>
      <c r="E2450" s="156">
        <v>5000</v>
      </c>
    </row>
    <row r="2451" spans="1:5" x14ac:dyDescent="0.25">
      <c r="A2451" s="100">
        <f t="shared" si="41"/>
        <v>5</v>
      </c>
      <c r="B2451" s="151" t="s">
        <v>1697</v>
      </c>
      <c r="C2451" s="152" t="s">
        <v>1690</v>
      </c>
      <c r="D2451" s="103"/>
      <c r="E2451" s="156">
        <v>12500</v>
      </c>
    </row>
    <row r="2452" spans="1:5" x14ac:dyDescent="0.25">
      <c r="A2452" s="100">
        <f t="shared" si="41"/>
        <v>6</v>
      </c>
      <c r="B2452" s="151" t="s">
        <v>2095</v>
      </c>
      <c r="C2452" s="152" t="s">
        <v>2091</v>
      </c>
      <c r="D2452" s="103"/>
      <c r="E2452" s="156">
        <v>5000</v>
      </c>
    </row>
    <row r="2453" spans="1:5" x14ac:dyDescent="0.25">
      <c r="A2453" s="100">
        <f t="shared" si="41"/>
        <v>7</v>
      </c>
      <c r="B2453" s="151" t="s">
        <v>2096</v>
      </c>
      <c r="C2453" s="152" t="s">
        <v>2099</v>
      </c>
      <c r="D2453" s="103"/>
      <c r="E2453" s="104">
        <v>5000</v>
      </c>
    </row>
    <row r="2454" spans="1:5" x14ac:dyDescent="0.25">
      <c r="A2454" s="100">
        <f t="shared" si="41"/>
        <v>8</v>
      </c>
      <c r="B2454" s="151" t="s">
        <v>2097</v>
      </c>
      <c r="C2454" s="152" t="s">
        <v>2092</v>
      </c>
      <c r="D2454" s="103"/>
      <c r="E2454" s="104">
        <v>12500</v>
      </c>
    </row>
    <row r="2455" spans="1:5" x14ac:dyDescent="0.25">
      <c r="A2455" s="100">
        <f t="shared" si="41"/>
        <v>9</v>
      </c>
      <c r="B2455" s="151" t="s">
        <v>2098</v>
      </c>
      <c r="C2455" s="152" t="s">
        <v>2093</v>
      </c>
      <c r="D2455" s="103"/>
      <c r="E2455" s="104">
        <v>22500</v>
      </c>
    </row>
    <row r="2456" spans="1:5" x14ac:dyDescent="0.25">
      <c r="A2456" s="100">
        <f t="shared" si="41"/>
        <v>10</v>
      </c>
      <c r="B2456" s="151" t="s">
        <v>2100</v>
      </c>
      <c r="C2456" s="152" t="s">
        <v>2107</v>
      </c>
      <c r="D2456" s="103"/>
      <c r="E2456" s="104">
        <v>5000</v>
      </c>
    </row>
    <row r="2457" spans="1:5" x14ac:dyDescent="0.25">
      <c r="A2457" s="100">
        <f t="shared" si="41"/>
        <v>11</v>
      </c>
      <c r="B2457" s="151" t="s">
        <v>2101</v>
      </c>
      <c r="C2457" s="152" t="s">
        <v>2108</v>
      </c>
      <c r="D2457" s="103"/>
      <c r="E2457" s="104">
        <v>5000</v>
      </c>
    </row>
    <row r="2458" spans="1:5" x14ac:dyDescent="0.25">
      <c r="A2458" s="100">
        <f t="shared" si="41"/>
        <v>12</v>
      </c>
      <c r="B2458" s="151" t="s">
        <v>2102</v>
      </c>
      <c r="C2458" s="152" t="s">
        <v>2109</v>
      </c>
      <c r="D2458" s="103"/>
      <c r="E2458" s="104">
        <v>5000</v>
      </c>
    </row>
    <row r="2459" spans="1:5" x14ac:dyDescent="0.25">
      <c r="A2459" s="100">
        <f t="shared" si="41"/>
        <v>13</v>
      </c>
      <c r="B2459" s="151" t="s">
        <v>2103</v>
      </c>
      <c r="C2459" s="152" t="s">
        <v>2110</v>
      </c>
      <c r="D2459" s="103"/>
      <c r="E2459" s="104">
        <v>5000</v>
      </c>
    </row>
    <row r="2460" spans="1:5" x14ac:dyDescent="0.25">
      <c r="A2460" s="100">
        <f t="shared" si="41"/>
        <v>14</v>
      </c>
      <c r="B2460" s="151" t="s">
        <v>1516</v>
      </c>
      <c r="C2460" s="152" t="s">
        <v>1523</v>
      </c>
      <c r="D2460" s="103"/>
      <c r="E2460" s="104">
        <v>30000</v>
      </c>
    </row>
    <row r="2461" spans="1:5" x14ac:dyDescent="0.25">
      <c r="A2461" s="100">
        <f t="shared" si="41"/>
        <v>15</v>
      </c>
      <c r="B2461" s="151" t="s">
        <v>2104</v>
      </c>
      <c r="C2461" s="152" t="s">
        <v>2111</v>
      </c>
      <c r="D2461" s="103"/>
      <c r="E2461" s="104">
        <v>5000</v>
      </c>
    </row>
    <row r="2462" spans="1:5" x14ac:dyDescent="0.25">
      <c r="A2462" s="100">
        <f t="shared" si="41"/>
        <v>16</v>
      </c>
      <c r="B2462" s="151" t="s">
        <v>2105</v>
      </c>
      <c r="C2462" s="152" t="s">
        <v>2112</v>
      </c>
      <c r="D2462" s="103"/>
      <c r="E2462" s="104">
        <v>5000</v>
      </c>
    </row>
    <row r="2463" spans="1:5" x14ac:dyDescent="0.25">
      <c r="A2463" s="100">
        <f t="shared" si="41"/>
        <v>17</v>
      </c>
      <c r="B2463" s="151" t="s">
        <v>2106</v>
      </c>
      <c r="C2463" s="152" t="s">
        <v>2113</v>
      </c>
      <c r="D2463" s="103"/>
      <c r="E2463" s="104">
        <v>5000</v>
      </c>
    </row>
    <row r="2464" spans="1:5" x14ac:dyDescent="0.25">
      <c r="A2464" s="100">
        <f t="shared" si="41"/>
        <v>18</v>
      </c>
      <c r="B2464" s="151" t="s">
        <v>1183</v>
      </c>
      <c r="C2464" s="152" t="s">
        <v>1195</v>
      </c>
      <c r="D2464" s="103"/>
      <c r="E2464" s="104">
        <v>12500</v>
      </c>
    </row>
    <row r="2465" spans="1:5" x14ac:dyDescent="0.25">
      <c r="A2465" s="100">
        <f t="shared" si="41"/>
        <v>19</v>
      </c>
      <c r="B2465" s="151" t="s">
        <v>2120</v>
      </c>
      <c r="C2465" s="152" t="s">
        <v>2114</v>
      </c>
      <c r="D2465" s="103"/>
      <c r="E2465" s="104">
        <v>90000</v>
      </c>
    </row>
    <row r="2466" spans="1:5" x14ac:dyDescent="0.25">
      <c r="A2466" s="100">
        <f t="shared" si="41"/>
        <v>20</v>
      </c>
      <c r="B2466" s="151" t="s">
        <v>2121</v>
      </c>
      <c r="C2466" s="152" t="s">
        <v>2115</v>
      </c>
      <c r="D2466" s="103"/>
      <c r="E2466" s="104">
        <v>5000</v>
      </c>
    </row>
    <row r="2467" spans="1:5" x14ac:dyDescent="0.25">
      <c r="A2467" s="100">
        <f t="shared" si="41"/>
        <v>21</v>
      </c>
      <c r="B2467" s="151" t="s">
        <v>2122</v>
      </c>
      <c r="C2467" s="152" t="s">
        <v>2116</v>
      </c>
      <c r="D2467" s="103"/>
      <c r="E2467" s="104">
        <v>5000</v>
      </c>
    </row>
    <row r="2468" spans="1:5" x14ac:dyDescent="0.25">
      <c r="A2468" s="100">
        <f t="shared" si="41"/>
        <v>22</v>
      </c>
      <c r="B2468" s="151" t="s">
        <v>2123</v>
      </c>
      <c r="C2468" s="152" t="s">
        <v>2117</v>
      </c>
      <c r="D2468" s="103"/>
      <c r="E2468" s="104">
        <v>5000</v>
      </c>
    </row>
    <row r="2469" spans="1:5" x14ac:dyDescent="0.25">
      <c r="A2469" s="100">
        <f t="shared" si="41"/>
        <v>23</v>
      </c>
      <c r="B2469" s="151" t="s">
        <v>2124</v>
      </c>
      <c r="C2469" s="152" t="s">
        <v>2118</v>
      </c>
      <c r="D2469" s="103"/>
      <c r="E2469" s="104">
        <v>5000</v>
      </c>
    </row>
    <row r="2470" spans="1:5" x14ac:dyDescent="0.25">
      <c r="A2470" s="100">
        <f t="shared" si="41"/>
        <v>24</v>
      </c>
      <c r="B2470" s="151" t="s">
        <v>2125</v>
      </c>
      <c r="C2470" s="152" t="s">
        <v>2119</v>
      </c>
      <c r="D2470" s="103"/>
      <c r="E2470" s="104">
        <v>32500</v>
      </c>
    </row>
    <row r="2471" spans="1:5" x14ac:dyDescent="0.25">
      <c r="A2471" s="100">
        <f t="shared" si="41"/>
        <v>25</v>
      </c>
      <c r="B2471" s="151" t="s">
        <v>135</v>
      </c>
      <c r="C2471" s="152" t="s">
        <v>2135</v>
      </c>
      <c r="D2471" s="103"/>
      <c r="E2471" s="104">
        <v>12500</v>
      </c>
    </row>
    <row r="2472" spans="1:5" x14ac:dyDescent="0.25">
      <c r="A2472" s="100">
        <f t="shared" si="41"/>
        <v>26</v>
      </c>
      <c r="B2472" s="151" t="s">
        <v>2126</v>
      </c>
      <c r="C2472" s="152" t="s">
        <v>2136</v>
      </c>
      <c r="D2472" s="103"/>
      <c r="E2472" s="104">
        <v>5000</v>
      </c>
    </row>
    <row r="2473" spans="1:5" x14ac:dyDescent="0.25">
      <c r="A2473" s="100">
        <f t="shared" si="41"/>
        <v>27</v>
      </c>
      <c r="B2473" s="151" t="s">
        <v>2127</v>
      </c>
      <c r="C2473" s="152" t="s">
        <v>2137</v>
      </c>
      <c r="D2473" s="103"/>
      <c r="E2473" s="104">
        <v>12500</v>
      </c>
    </row>
    <row r="2474" spans="1:5" x14ac:dyDescent="0.25">
      <c r="A2474" s="100">
        <f t="shared" si="41"/>
        <v>28</v>
      </c>
      <c r="B2474" s="151" t="s">
        <v>1090</v>
      </c>
      <c r="C2474" s="152" t="s">
        <v>1087</v>
      </c>
      <c r="D2474" s="103"/>
      <c r="E2474" s="104">
        <v>5000</v>
      </c>
    </row>
    <row r="2475" spans="1:5" x14ac:dyDescent="0.25">
      <c r="A2475" s="100">
        <f t="shared" si="41"/>
        <v>29</v>
      </c>
      <c r="B2475" s="151" t="s">
        <v>2128</v>
      </c>
      <c r="C2475" s="152" t="s">
        <v>2138</v>
      </c>
      <c r="D2475" s="103"/>
      <c r="E2475" s="104">
        <v>12500</v>
      </c>
    </row>
    <row r="2476" spans="1:5" x14ac:dyDescent="0.25">
      <c r="A2476" s="100">
        <f t="shared" si="41"/>
        <v>30</v>
      </c>
      <c r="B2476" s="151" t="s">
        <v>2129</v>
      </c>
      <c r="C2476" s="152" t="s">
        <v>2139</v>
      </c>
      <c r="D2476" s="103"/>
      <c r="E2476" s="104">
        <v>5000</v>
      </c>
    </row>
    <row r="2477" spans="1:5" x14ac:dyDescent="0.25">
      <c r="A2477" s="100">
        <f t="shared" si="41"/>
        <v>31</v>
      </c>
      <c r="B2477" s="151" t="s">
        <v>2130</v>
      </c>
      <c r="C2477" s="152" t="s">
        <v>2140</v>
      </c>
      <c r="D2477" s="103"/>
      <c r="E2477" s="104">
        <v>5000</v>
      </c>
    </row>
    <row r="2478" spans="1:5" x14ac:dyDescent="0.25">
      <c r="A2478" s="100">
        <f t="shared" si="41"/>
        <v>32</v>
      </c>
      <c r="B2478" s="151" t="s">
        <v>2131</v>
      </c>
      <c r="C2478" s="152" t="s">
        <v>2141</v>
      </c>
      <c r="D2478" s="103"/>
      <c r="E2478" s="104">
        <v>5000</v>
      </c>
    </row>
    <row r="2479" spans="1:5" x14ac:dyDescent="0.25">
      <c r="A2479" s="100">
        <f t="shared" si="41"/>
        <v>33</v>
      </c>
      <c r="B2479" s="151" t="s">
        <v>2132</v>
      </c>
      <c r="C2479" s="152" t="s">
        <v>2142</v>
      </c>
      <c r="D2479" s="103"/>
      <c r="E2479" s="104">
        <v>5000</v>
      </c>
    </row>
    <row r="2480" spans="1:5" x14ac:dyDescent="0.25">
      <c r="A2480" s="100">
        <f t="shared" si="41"/>
        <v>34</v>
      </c>
      <c r="B2480" s="151" t="s">
        <v>2133</v>
      </c>
      <c r="C2480" s="152" t="s">
        <v>2143</v>
      </c>
      <c r="D2480" s="103"/>
      <c r="E2480" s="104">
        <v>5000</v>
      </c>
    </row>
    <row r="2481" spans="1:5" x14ac:dyDescent="0.25">
      <c r="A2481" s="100">
        <f t="shared" si="41"/>
        <v>35</v>
      </c>
      <c r="B2481" s="151" t="s">
        <v>2134</v>
      </c>
      <c r="C2481" s="152" t="s">
        <v>2144</v>
      </c>
      <c r="D2481" s="103"/>
      <c r="E2481" s="104">
        <v>12500</v>
      </c>
    </row>
    <row r="2482" spans="1:5" x14ac:dyDescent="0.25">
      <c r="A2482" s="100">
        <f t="shared" si="41"/>
        <v>36</v>
      </c>
      <c r="B2482" s="151" t="s">
        <v>2149</v>
      </c>
      <c r="C2482" s="152" t="s">
        <v>2145</v>
      </c>
      <c r="D2482" s="103"/>
      <c r="E2482" s="104">
        <v>22500</v>
      </c>
    </row>
    <row r="2483" spans="1:5" x14ac:dyDescent="0.25">
      <c r="A2483" s="100">
        <f t="shared" si="41"/>
        <v>37</v>
      </c>
      <c r="B2483" s="151" t="s">
        <v>2150</v>
      </c>
      <c r="C2483" s="152" t="s">
        <v>2146</v>
      </c>
      <c r="D2483" s="103"/>
      <c r="E2483" s="104">
        <v>5000</v>
      </c>
    </row>
    <row r="2484" spans="1:5" x14ac:dyDescent="0.25">
      <c r="A2484" s="100">
        <f t="shared" si="41"/>
        <v>38</v>
      </c>
      <c r="B2484" s="151" t="s">
        <v>1028</v>
      </c>
      <c r="C2484" s="152" t="s">
        <v>2147</v>
      </c>
      <c r="D2484" s="103"/>
      <c r="E2484" s="104">
        <v>12500</v>
      </c>
    </row>
    <row r="2485" spans="1:5" x14ac:dyDescent="0.25">
      <c r="A2485" s="100">
        <f t="shared" si="41"/>
        <v>39</v>
      </c>
      <c r="B2485" s="151" t="s">
        <v>2151</v>
      </c>
      <c r="C2485" s="152" t="s">
        <v>2148</v>
      </c>
      <c r="D2485" s="103"/>
      <c r="E2485" s="104">
        <v>5000</v>
      </c>
    </row>
    <row r="2486" spans="1:5" x14ac:dyDescent="0.25">
      <c r="A2486" s="100"/>
      <c r="B2486" s="151"/>
      <c r="C2486" s="152"/>
      <c r="D2486" s="154"/>
      <c r="E2486" s="155"/>
    </row>
    <row r="2487" spans="1:5" ht="15.75" thickBot="1" x14ac:dyDescent="0.3">
      <c r="A2487" s="105"/>
      <c r="B2487" s="240" t="s">
        <v>10</v>
      </c>
      <c r="C2487" s="241"/>
      <c r="D2487" s="242"/>
      <c r="E2487" s="106">
        <f>SUM(E2447:E2485)</f>
        <v>442500</v>
      </c>
    </row>
    <row r="2488" spans="1:5" x14ac:dyDescent="0.25">
      <c r="A2488" s="95"/>
      <c r="B2488" s="130"/>
      <c r="C2488" s="130"/>
      <c r="E2488" s="131"/>
    </row>
    <row r="2489" spans="1:5" x14ac:dyDescent="0.25">
      <c r="A2489" s="94"/>
      <c r="B2489" s="94"/>
      <c r="C2489" s="95"/>
      <c r="D2489" s="108" t="s">
        <v>2085</v>
      </c>
      <c r="E2489" s="94"/>
    </row>
    <row r="2490" spans="1:5" x14ac:dyDescent="0.25">
      <c r="D2490" s="108" t="s">
        <v>83</v>
      </c>
    </row>
    <row r="2492" spans="1:5" x14ac:dyDescent="0.25">
      <c r="A2492" s="93" t="s">
        <v>0</v>
      </c>
      <c r="B2492" s="129"/>
      <c r="C2492" s="129"/>
      <c r="D2492" s="129"/>
      <c r="E2492" s="129"/>
    </row>
    <row r="2493" spans="1:5" x14ac:dyDescent="0.25">
      <c r="A2493" s="93" t="s">
        <v>1</v>
      </c>
      <c r="B2493" s="94"/>
      <c r="C2493" s="95"/>
      <c r="D2493" s="94"/>
      <c r="E2493" s="94"/>
    </row>
    <row r="2494" spans="1:5" x14ac:dyDescent="0.25">
      <c r="A2494" s="93"/>
      <c r="B2494" s="94"/>
      <c r="C2494" s="95"/>
      <c r="D2494" s="94"/>
      <c r="E2494" s="94"/>
    </row>
    <row r="2495" spans="1:5" x14ac:dyDescent="0.25">
      <c r="A2495" s="96" t="s">
        <v>84</v>
      </c>
      <c r="B2495" s="96"/>
      <c r="C2495" s="96"/>
      <c r="D2495" s="96"/>
      <c r="E2495" s="96"/>
    </row>
    <row r="2496" spans="1:5" x14ac:dyDescent="0.25">
      <c r="A2496" s="238" t="s">
        <v>100</v>
      </c>
      <c r="B2496" s="239"/>
      <c r="C2496" s="239"/>
      <c r="D2496" s="239"/>
      <c r="E2496" s="239"/>
    </row>
    <row r="2497" spans="1:5" x14ac:dyDescent="0.25">
      <c r="A2497" s="95"/>
      <c r="B2497" s="95"/>
      <c r="C2497" s="95"/>
      <c r="D2497" s="95"/>
      <c r="E2497" s="95"/>
    </row>
    <row r="2498" spans="1:5" ht="15.75" thickBot="1" x14ac:dyDescent="0.3">
      <c r="A2498" s="94"/>
      <c r="B2498" s="94"/>
      <c r="C2498" s="95"/>
      <c r="D2498" s="94"/>
      <c r="E2498" s="109" t="s">
        <v>2152</v>
      </c>
    </row>
    <row r="2499" spans="1:5" x14ac:dyDescent="0.25">
      <c r="A2499" s="97" t="s">
        <v>16</v>
      </c>
      <c r="B2499" s="98" t="s">
        <v>79</v>
      </c>
      <c r="C2499" s="98" t="s">
        <v>80</v>
      </c>
      <c r="D2499" s="98" t="s">
        <v>77</v>
      </c>
      <c r="E2499" s="99" t="s">
        <v>10</v>
      </c>
    </row>
    <row r="2500" spans="1:5" x14ac:dyDescent="0.25">
      <c r="A2500" s="100">
        <v>1</v>
      </c>
      <c r="B2500" s="151" t="s">
        <v>2154</v>
      </c>
      <c r="C2500" s="152" t="s">
        <v>2173</v>
      </c>
      <c r="D2500" s="103"/>
      <c r="E2500" s="104">
        <v>5000</v>
      </c>
    </row>
    <row r="2501" spans="1:5" x14ac:dyDescent="0.25">
      <c r="A2501" s="100">
        <f>A2500+1</f>
        <v>2</v>
      </c>
      <c r="B2501" s="151" t="s">
        <v>2155</v>
      </c>
      <c r="C2501" s="152" t="s">
        <v>2174</v>
      </c>
      <c r="D2501" s="103"/>
      <c r="E2501" s="104">
        <v>12500</v>
      </c>
    </row>
    <row r="2502" spans="1:5" x14ac:dyDescent="0.25">
      <c r="A2502" s="100">
        <f t="shared" ref="A2502:A2546" si="42">A2501+1</f>
        <v>3</v>
      </c>
      <c r="B2502" s="151" t="s">
        <v>2156</v>
      </c>
      <c r="C2502" s="152" t="s">
        <v>2175</v>
      </c>
      <c r="D2502" s="103"/>
      <c r="E2502" s="156">
        <v>5000</v>
      </c>
    </row>
    <row r="2503" spans="1:5" x14ac:dyDescent="0.25">
      <c r="A2503" s="100">
        <f t="shared" si="42"/>
        <v>4</v>
      </c>
      <c r="B2503" s="151" t="s">
        <v>2157</v>
      </c>
      <c r="C2503" s="152" t="s">
        <v>2176</v>
      </c>
      <c r="D2503" s="103"/>
      <c r="E2503" s="156">
        <v>5000</v>
      </c>
    </row>
    <row r="2504" spans="1:5" x14ac:dyDescent="0.25">
      <c r="A2504" s="100">
        <f t="shared" si="42"/>
        <v>5</v>
      </c>
      <c r="B2504" s="151" t="s">
        <v>2158</v>
      </c>
      <c r="C2504" s="152" t="s">
        <v>2177</v>
      </c>
      <c r="D2504" s="103"/>
      <c r="E2504" s="156">
        <v>30000</v>
      </c>
    </row>
    <row r="2505" spans="1:5" x14ac:dyDescent="0.25">
      <c r="A2505" s="100">
        <f t="shared" si="42"/>
        <v>6</v>
      </c>
      <c r="B2505" s="151" t="s">
        <v>2159</v>
      </c>
      <c r="C2505" s="152" t="s">
        <v>140</v>
      </c>
      <c r="D2505" s="103"/>
      <c r="E2505" s="156">
        <v>5000</v>
      </c>
    </row>
    <row r="2506" spans="1:5" x14ac:dyDescent="0.25">
      <c r="A2506" s="100">
        <f t="shared" si="42"/>
        <v>7</v>
      </c>
      <c r="B2506" s="151" t="s">
        <v>1374</v>
      </c>
      <c r="C2506" s="152" t="s">
        <v>1385</v>
      </c>
      <c r="D2506" s="103"/>
      <c r="E2506" s="156">
        <v>5000</v>
      </c>
    </row>
    <row r="2507" spans="1:5" x14ac:dyDescent="0.25">
      <c r="A2507" s="100">
        <f t="shared" si="42"/>
        <v>8</v>
      </c>
      <c r="B2507" s="151" t="s">
        <v>2160</v>
      </c>
      <c r="C2507" s="152" t="s">
        <v>2178</v>
      </c>
      <c r="D2507" s="103"/>
      <c r="E2507" s="156">
        <v>5000</v>
      </c>
    </row>
    <row r="2508" spans="1:5" x14ac:dyDescent="0.25">
      <c r="A2508" s="100">
        <f t="shared" si="42"/>
        <v>9</v>
      </c>
      <c r="B2508" s="151" t="s">
        <v>1135</v>
      </c>
      <c r="C2508" s="152" t="s">
        <v>1141</v>
      </c>
      <c r="D2508" s="103"/>
      <c r="E2508" s="156">
        <v>5000</v>
      </c>
    </row>
    <row r="2509" spans="1:5" x14ac:dyDescent="0.25">
      <c r="A2509" s="100">
        <f t="shared" si="42"/>
        <v>10</v>
      </c>
      <c r="B2509" s="151" t="s">
        <v>235</v>
      </c>
      <c r="C2509" s="152" t="s">
        <v>241</v>
      </c>
      <c r="D2509" s="103"/>
      <c r="E2509" s="156">
        <v>5000</v>
      </c>
    </row>
    <row r="2510" spans="1:5" x14ac:dyDescent="0.25">
      <c r="A2510" s="100">
        <f t="shared" si="42"/>
        <v>11</v>
      </c>
      <c r="B2510" s="151" t="s">
        <v>2162</v>
      </c>
      <c r="C2510" s="152" t="s">
        <v>2179</v>
      </c>
      <c r="D2510" s="103"/>
      <c r="E2510" s="156">
        <v>5000</v>
      </c>
    </row>
    <row r="2511" spans="1:5" x14ac:dyDescent="0.25">
      <c r="A2511" s="100">
        <f t="shared" si="42"/>
        <v>12</v>
      </c>
      <c r="B2511" s="151" t="s">
        <v>2161</v>
      </c>
      <c r="C2511" s="152" t="s">
        <v>2180</v>
      </c>
      <c r="D2511" s="103"/>
      <c r="E2511" s="156">
        <v>5000</v>
      </c>
    </row>
    <row r="2512" spans="1:5" x14ac:dyDescent="0.25">
      <c r="A2512" s="100">
        <f t="shared" si="42"/>
        <v>13</v>
      </c>
      <c r="B2512" s="151" t="s">
        <v>2154</v>
      </c>
      <c r="C2512" s="152" t="s">
        <v>2181</v>
      </c>
      <c r="D2512" s="103"/>
      <c r="E2512" s="156">
        <v>5000</v>
      </c>
    </row>
    <row r="2513" spans="1:5" x14ac:dyDescent="0.25">
      <c r="A2513" s="100">
        <f t="shared" si="42"/>
        <v>14</v>
      </c>
      <c r="B2513" s="151" t="s">
        <v>2163</v>
      </c>
      <c r="C2513" s="152" t="s">
        <v>2182</v>
      </c>
      <c r="D2513" s="103"/>
      <c r="E2513" s="156">
        <v>5000</v>
      </c>
    </row>
    <row r="2514" spans="1:5" x14ac:dyDescent="0.25">
      <c r="A2514" s="100">
        <f t="shared" si="42"/>
        <v>15</v>
      </c>
      <c r="B2514" s="151" t="s">
        <v>2164</v>
      </c>
      <c r="C2514" s="152" t="s">
        <v>2183</v>
      </c>
      <c r="D2514" s="103"/>
      <c r="E2514" s="156">
        <v>5000</v>
      </c>
    </row>
    <row r="2515" spans="1:5" x14ac:dyDescent="0.25">
      <c r="A2515" s="100">
        <f t="shared" si="42"/>
        <v>16</v>
      </c>
      <c r="B2515" s="151" t="s">
        <v>1254</v>
      </c>
      <c r="C2515" s="152" t="s">
        <v>1227</v>
      </c>
      <c r="D2515" s="103"/>
      <c r="E2515" s="156">
        <v>5000</v>
      </c>
    </row>
    <row r="2516" spans="1:5" x14ac:dyDescent="0.25">
      <c r="A2516" s="100">
        <f t="shared" si="42"/>
        <v>17</v>
      </c>
      <c r="B2516" s="151" t="s">
        <v>2165</v>
      </c>
      <c r="C2516" s="152" t="s">
        <v>2184</v>
      </c>
      <c r="D2516" s="103"/>
      <c r="E2516" s="156">
        <v>5000</v>
      </c>
    </row>
    <row r="2517" spans="1:5" x14ac:dyDescent="0.25">
      <c r="A2517" s="100">
        <f t="shared" si="42"/>
        <v>18</v>
      </c>
      <c r="B2517" s="151" t="s">
        <v>2166</v>
      </c>
      <c r="C2517" s="152" t="s">
        <v>398</v>
      </c>
      <c r="D2517" s="103"/>
      <c r="E2517" s="156">
        <v>5000</v>
      </c>
    </row>
    <row r="2518" spans="1:5" x14ac:dyDescent="0.25">
      <c r="A2518" s="100">
        <f t="shared" si="42"/>
        <v>19</v>
      </c>
      <c r="B2518" s="151" t="s">
        <v>2167</v>
      </c>
      <c r="C2518" s="152" t="s">
        <v>2185</v>
      </c>
      <c r="D2518" s="103"/>
      <c r="E2518" s="156">
        <v>5000</v>
      </c>
    </row>
    <row r="2519" spans="1:5" x14ac:dyDescent="0.25">
      <c r="A2519" s="100">
        <f t="shared" si="42"/>
        <v>20</v>
      </c>
      <c r="B2519" s="151" t="s">
        <v>2168</v>
      </c>
      <c r="C2519" s="152" t="s">
        <v>2186</v>
      </c>
      <c r="D2519" s="103"/>
      <c r="E2519" s="156">
        <v>12500</v>
      </c>
    </row>
    <row r="2520" spans="1:5" x14ac:dyDescent="0.25">
      <c r="A2520" s="100">
        <f t="shared" si="42"/>
        <v>21</v>
      </c>
      <c r="B2520" s="151" t="s">
        <v>2169</v>
      </c>
      <c r="C2520" s="152" t="s">
        <v>2187</v>
      </c>
      <c r="D2520" s="103"/>
      <c r="E2520" s="156">
        <v>12500</v>
      </c>
    </row>
    <row r="2521" spans="1:5" x14ac:dyDescent="0.25">
      <c r="A2521" s="100">
        <f t="shared" si="42"/>
        <v>22</v>
      </c>
      <c r="B2521" s="151" t="s">
        <v>2170</v>
      </c>
      <c r="C2521" s="152" t="s">
        <v>2188</v>
      </c>
      <c r="D2521" s="103"/>
      <c r="E2521" s="156">
        <v>5000</v>
      </c>
    </row>
    <row r="2522" spans="1:5" x14ac:dyDescent="0.25">
      <c r="A2522" s="100">
        <f t="shared" si="42"/>
        <v>23</v>
      </c>
      <c r="B2522" s="151" t="s">
        <v>2171</v>
      </c>
      <c r="C2522" s="152" t="s">
        <v>2189</v>
      </c>
      <c r="D2522" s="103"/>
      <c r="E2522" s="156">
        <v>5000</v>
      </c>
    </row>
    <row r="2523" spans="1:5" x14ac:dyDescent="0.25">
      <c r="A2523" s="100">
        <f t="shared" si="42"/>
        <v>24</v>
      </c>
      <c r="B2523" s="151" t="s">
        <v>2172</v>
      </c>
      <c r="C2523" s="152" t="s">
        <v>2190</v>
      </c>
      <c r="D2523" s="103"/>
      <c r="E2523" s="156">
        <v>12500</v>
      </c>
    </row>
    <row r="2524" spans="1:5" x14ac:dyDescent="0.25">
      <c r="A2524" s="100">
        <f t="shared" si="42"/>
        <v>25</v>
      </c>
      <c r="B2524" s="151" t="s">
        <v>2191</v>
      </c>
      <c r="C2524" s="152" t="s">
        <v>2204</v>
      </c>
      <c r="D2524" s="103"/>
      <c r="E2524" s="104">
        <v>12500</v>
      </c>
    </row>
    <row r="2525" spans="1:5" x14ac:dyDescent="0.25">
      <c r="A2525" s="100">
        <f t="shared" si="42"/>
        <v>26</v>
      </c>
      <c r="B2525" s="151" t="s">
        <v>2192</v>
      </c>
      <c r="C2525" s="152" t="s">
        <v>2205</v>
      </c>
      <c r="D2525" s="103"/>
      <c r="E2525" s="104">
        <v>142500</v>
      </c>
    </row>
    <row r="2526" spans="1:5" x14ac:dyDescent="0.25">
      <c r="A2526" s="100">
        <f t="shared" si="42"/>
        <v>27</v>
      </c>
      <c r="B2526" s="151" t="s">
        <v>2218</v>
      </c>
      <c r="C2526" s="152" t="s">
        <v>2206</v>
      </c>
      <c r="D2526" s="103"/>
      <c r="E2526" s="104">
        <v>5000</v>
      </c>
    </row>
    <row r="2527" spans="1:5" x14ac:dyDescent="0.25">
      <c r="A2527" s="100">
        <f t="shared" si="42"/>
        <v>28</v>
      </c>
      <c r="B2527" s="151" t="s">
        <v>2193</v>
      </c>
      <c r="C2527" s="152" t="s">
        <v>2207</v>
      </c>
      <c r="D2527" s="103"/>
      <c r="E2527" s="104">
        <v>5000</v>
      </c>
    </row>
    <row r="2528" spans="1:5" x14ac:dyDescent="0.25">
      <c r="A2528" s="100">
        <f t="shared" si="42"/>
        <v>29</v>
      </c>
      <c r="B2528" s="151" t="s">
        <v>2194</v>
      </c>
      <c r="C2528" s="152" t="s">
        <v>2208</v>
      </c>
      <c r="D2528" s="103"/>
      <c r="E2528" s="104">
        <v>52500</v>
      </c>
    </row>
    <row r="2529" spans="1:5" x14ac:dyDescent="0.25">
      <c r="A2529" s="100">
        <f t="shared" si="42"/>
        <v>30</v>
      </c>
      <c r="B2529" s="151" t="s">
        <v>186</v>
      </c>
      <c r="C2529" s="152" t="s">
        <v>176</v>
      </c>
      <c r="D2529" s="103"/>
      <c r="E2529" s="104">
        <v>5000</v>
      </c>
    </row>
    <row r="2530" spans="1:5" x14ac:dyDescent="0.25">
      <c r="A2530" s="100">
        <f t="shared" si="42"/>
        <v>31</v>
      </c>
      <c r="B2530" s="151" t="s">
        <v>2195</v>
      </c>
      <c r="C2530" s="152" t="s">
        <v>2209</v>
      </c>
      <c r="D2530" s="103"/>
      <c r="E2530" s="104">
        <v>22500</v>
      </c>
    </row>
    <row r="2531" spans="1:5" x14ac:dyDescent="0.25">
      <c r="A2531" s="100">
        <f t="shared" si="42"/>
        <v>32</v>
      </c>
      <c r="B2531" s="151" t="s">
        <v>784</v>
      </c>
      <c r="C2531" s="152" t="s">
        <v>1151</v>
      </c>
      <c r="D2531" s="103"/>
      <c r="E2531" s="104">
        <v>5000</v>
      </c>
    </row>
    <row r="2532" spans="1:5" x14ac:dyDescent="0.25">
      <c r="A2532" s="100">
        <f t="shared" si="42"/>
        <v>33</v>
      </c>
      <c r="B2532" s="151" t="s">
        <v>2196</v>
      </c>
      <c r="C2532" s="152" t="s">
        <v>2210</v>
      </c>
      <c r="D2532" s="103"/>
      <c r="E2532" s="104">
        <v>5000</v>
      </c>
    </row>
    <row r="2533" spans="1:5" x14ac:dyDescent="0.25">
      <c r="A2533" s="100">
        <f t="shared" si="42"/>
        <v>34</v>
      </c>
      <c r="B2533" s="151" t="s">
        <v>2197</v>
      </c>
      <c r="C2533" s="152" t="s">
        <v>2211</v>
      </c>
      <c r="D2533" s="103"/>
      <c r="E2533" s="104">
        <v>5000</v>
      </c>
    </row>
    <row r="2534" spans="1:5" x14ac:dyDescent="0.25">
      <c r="A2534" s="100">
        <f t="shared" si="42"/>
        <v>35</v>
      </c>
      <c r="B2534" s="151" t="s">
        <v>983</v>
      </c>
      <c r="C2534" s="152" t="s">
        <v>986</v>
      </c>
      <c r="D2534" s="103"/>
      <c r="E2534" s="104">
        <v>5000</v>
      </c>
    </row>
    <row r="2535" spans="1:5" x14ac:dyDescent="0.25">
      <c r="A2535" s="100">
        <f t="shared" si="42"/>
        <v>36</v>
      </c>
      <c r="B2535" s="151" t="s">
        <v>2198</v>
      </c>
      <c r="C2535" s="152" t="s">
        <v>2212</v>
      </c>
      <c r="D2535" s="103"/>
      <c r="E2535" s="104">
        <v>5000</v>
      </c>
    </row>
    <row r="2536" spans="1:5" x14ac:dyDescent="0.25">
      <c r="A2536" s="100">
        <f t="shared" si="42"/>
        <v>37</v>
      </c>
      <c r="B2536" s="151" t="s">
        <v>2199</v>
      </c>
      <c r="C2536" s="152" t="s">
        <v>2213</v>
      </c>
      <c r="D2536" s="103"/>
      <c r="E2536" s="104">
        <v>5000</v>
      </c>
    </row>
    <row r="2537" spans="1:5" x14ac:dyDescent="0.25">
      <c r="A2537" s="100">
        <f t="shared" si="42"/>
        <v>38</v>
      </c>
      <c r="B2537" s="151" t="s">
        <v>993</v>
      </c>
      <c r="C2537" s="152" t="s">
        <v>988</v>
      </c>
      <c r="D2537" s="103"/>
      <c r="E2537" s="104">
        <v>5000</v>
      </c>
    </row>
    <row r="2538" spans="1:5" x14ac:dyDescent="0.25">
      <c r="A2538" s="100">
        <f t="shared" si="42"/>
        <v>39</v>
      </c>
      <c r="B2538" s="151" t="s">
        <v>2200</v>
      </c>
      <c r="C2538" s="152" t="s">
        <v>2214</v>
      </c>
      <c r="D2538" s="103"/>
      <c r="E2538" s="104">
        <v>5000</v>
      </c>
    </row>
    <row r="2539" spans="1:5" x14ac:dyDescent="0.25">
      <c r="A2539" s="100">
        <f t="shared" si="42"/>
        <v>40</v>
      </c>
      <c r="B2539" s="151" t="s">
        <v>2201</v>
      </c>
      <c r="C2539" s="152" t="s">
        <v>2215</v>
      </c>
      <c r="D2539" s="103"/>
      <c r="E2539" s="104">
        <v>12500</v>
      </c>
    </row>
    <row r="2540" spans="1:5" x14ac:dyDescent="0.25">
      <c r="A2540" s="100">
        <f t="shared" si="42"/>
        <v>41</v>
      </c>
      <c r="B2540" s="151" t="s">
        <v>2202</v>
      </c>
      <c r="C2540" s="152" t="s">
        <v>2217</v>
      </c>
      <c r="D2540" s="103"/>
      <c r="E2540" s="104">
        <v>5000</v>
      </c>
    </row>
    <row r="2541" spans="1:5" x14ac:dyDescent="0.25">
      <c r="A2541" s="100">
        <f t="shared" si="42"/>
        <v>42</v>
      </c>
      <c r="B2541" s="151" t="s">
        <v>2203</v>
      </c>
      <c r="C2541" s="152" t="s">
        <v>2216</v>
      </c>
      <c r="D2541" s="103"/>
      <c r="E2541" s="104">
        <v>12500</v>
      </c>
    </row>
    <row r="2542" spans="1:5" x14ac:dyDescent="0.25">
      <c r="A2542" s="100">
        <f t="shared" si="42"/>
        <v>43</v>
      </c>
      <c r="B2542" s="151" t="s">
        <v>2223</v>
      </c>
      <c r="C2542" s="152" t="s">
        <v>2219</v>
      </c>
      <c r="D2542" s="103"/>
      <c r="E2542" s="104">
        <v>32500</v>
      </c>
    </row>
    <row r="2543" spans="1:5" x14ac:dyDescent="0.25">
      <c r="A2543" s="100">
        <f t="shared" si="42"/>
        <v>44</v>
      </c>
      <c r="B2543" s="151" t="s">
        <v>2086</v>
      </c>
      <c r="C2543" s="152" t="s">
        <v>2220</v>
      </c>
      <c r="D2543" s="103"/>
      <c r="E2543" s="104">
        <v>22500</v>
      </c>
    </row>
    <row r="2544" spans="1:5" x14ac:dyDescent="0.25">
      <c r="A2544" s="100">
        <f t="shared" si="42"/>
        <v>45</v>
      </c>
      <c r="B2544" s="151" t="s">
        <v>1006</v>
      </c>
      <c r="C2544" s="152" t="s">
        <v>1097</v>
      </c>
      <c r="D2544" s="103"/>
      <c r="E2544" s="104">
        <v>5000</v>
      </c>
    </row>
    <row r="2545" spans="1:5" x14ac:dyDescent="0.25">
      <c r="A2545" s="100">
        <f t="shared" si="42"/>
        <v>46</v>
      </c>
      <c r="B2545" s="151" t="s">
        <v>997</v>
      </c>
      <c r="C2545" s="152" t="s">
        <v>2221</v>
      </c>
      <c r="D2545" s="103"/>
      <c r="E2545" s="104">
        <v>5000</v>
      </c>
    </row>
    <row r="2546" spans="1:5" x14ac:dyDescent="0.25">
      <c r="A2546" s="100">
        <f t="shared" si="42"/>
        <v>47</v>
      </c>
      <c r="B2546" s="151" t="s">
        <v>2224</v>
      </c>
      <c r="C2546" s="152" t="s">
        <v>2222</v>
      </c>
      <c r="D2546" s="103"/>
      <c r="E2546" s="104">
        <v>5000</v>
      </c>
    </row>
    <row r="2547" spans="1:5" x14ac:dyDescent="0.25">
      <c r="A2547" s="100"/>
      <c r="B2547" s="151"/>
      <c r="C2547" s="152"/>
      <c r="D2547" s="154"/>
      <c r="E2547" s="155"/>
    </row>
    <row r="2548" spans="1:5" ht="15.75" thickBot="1" x14ac:dyDescent="0.3">
      <c r="A2548" s="105"/>
      <c r="B2548" s="240" t="s">
        <v>10</v>
      </c>
      <c r="C2548" s="241"/>
      <c r="D2548" s="242"/>
      <c r="E2548" s="106">
        <f>SUM(E2500:E2546)</f>
        <v>560000</v>
      </c>
    </row>
    <row r="2549" spans="1:5" x14ac:dyDescent="0.25">
      <c r="A2549" s="95"/>
      <c r="B2549" s="130"/>
      <c r="C2549" s="130"/>
      <c r="E2549" s="131"/>
    </row>
    <row r="2550" spans="1:5" x14ac:dyDescent="0.25">
      <c r="A2550" s="94"/>
      <c r="B2550" s="94"/>
      <c r="C2550" s="95"/>
      <c r="D2550" s="108" t="s">
        <v>2153</v>
      </c>
      <c r="E2550" s="94"/>
    </row>
    <row r="2551" spans="1:5" x14ac:dyDescent="0.25">
      <c r="D2551" s="108" t="s">
        <v>83</v>
      </c>
    </row>
    <row r="2556" spans="1:5" x14ac:dyDescent="0.25">
      <c r="E2556" s="84"/>
    </row>
    <row r="2598" spans="1:5" x14ac:dyDescent="0.25">
      <c r="A2598" s="93" t="s">
        <v>0</v>
      </c>
      <c r="B2598" s="129"/>
      <c r="C2598" s="129"/>
      <c r="D2598" s="129"/>
      <c r="E2598" s="129"/>
    </row>
    <row r="2599" spans="1:5" x14ac:dyDescent="0.25">
      <c r="A2599" s="93" t="s">
        <v>1</v>
      </c>
      <c r="B2599" s="94"/>
      <c r="C2599" s="95"/>
      <c r="D2599" s="94"/>
      <c r="E2599" s="94"/>
    </row>
    <row r="2600" spans="1:5" x14ac:dyDescent="0.25">
      <c r="A2600" s="93"/>
      <c r="B2600" s="94"/>
      <c r="C2600" s="95"/>
      <c r="D2600" s="94"/>
      <c r="E2600" s="94"/>
    </row>
    <row r="2601" spans="1:5" x14ac:dyDescent="0.25">
      <c r="A2601" s="96" t="s">
        <v>84</v>
      </c>
      <c r="B2601" s="96"/>
      <c r="C2601" s="96"/>
      <c r="D2601" s="96"/>
      <c r="E2601" s="96"/>
    </row>
    <row r="2602" spans="1:5" x14ac:dyDescent="0.25">
      <c r="A2602" s="238" t="s">
        <v>100</v>
      </c>
      <c r="B2602" s="239"/>
      <c r="C2602" s="239"/>
      <c r="D2602" s="239"/>
      <c r="E2602" s="239"/>
    </row>
    <row r="2603" spans="1:5" x14ac:dyDescent="0.25">
      <c r="A2603" s="95"/>
      <c r="B2603" s="95"/>
      <c r="C2603" s="95"/>
      <c r="D2603" s="95"/>
      <c r="E2603" s="95"/>
    </row>
    <row r="2604" spans="1:5" ht="15.75" thickBot="1" x14ac:dyDescent="0.3">
      <c r="A2604" s="94"/>
      <c r="B2604" s="94"/>
      <c r="C2604" s="95"/>
      <c r="D2604" s="94"/>
      <c r="E2604" s="109" t="s">
        <v>2225</v>
      </c>
    </row>
    <row r="2605" spans="1:5" x14ac:dyDescent="0.25">
      <c r="A2605" s="97" t="s">
        <v>16</v>
      </c>
      <c r="B2605" s="98" t="s">
        <v>79</v>
      </c>
      <c r="C2605" s="98" t="s">
        <v>80</v>
      </c>
      <c r="D2605" s="98" t="s">
        <v>77</v>
      </c>
      <c r="E2605" s="99" t="s">
        <v>10</v>
      </c>
    </row>
    <row r="2606" spans="1:5" x14ac:dyDescent="0.25">
      <c r="A2606" s="100">
        <v>1</v>
      </c>
      <c r="B2606" s="151" t="s">
        <v>2227</v>
      </c>
      <c r="C2606" s="152" t="s">
        <v>2235</v>
      </c>
      <c r="D2606" s="103"/>
      <c r="E2606" s="104">
        <v>32500</v>
      </c>
    </row>
    <row r="2607" spans="1:5" x14ac:dyDescent="0.25">
      <c r="A2607" s="100">
        <f>A2606+1</f>
        <v>2</v>
      </c>
      <c r="B2607" s="151" t="s">
        <v>911</v>
      </c>
      <c r="C2607" s="152" t="s">
        <v>915</v>
      </c>
      <c r="D2607" s="103"/>
      <c r="E2607" s="104">
        <v>5000</v>
      </c>
    </row>
    <row r="2608" spans="1:5" x14ac:dyDescent="0.25">
      <c r="A2608" s="100">
        <f t="shared" ref="A2608:A2628" si="43">A2607+1</f>
        <v>3</v>
      </c>
      <c r="B2608" s="151" t="s">
        <v>2228</v>
      </c>
      <c r="C2608" s="152" t="s">
        <v>2236</v>
      </c>
      <c r="D2608" s="103"/>
      <c r="E2608" s="156">
        <v>5000</v>
      </c>
    </row>
    <row r="2609" spans="1:5" x14ac:dyDescent="0.25">
      <c r="A2609" s="100">
        <f t="shared" si="43"/>
        <v>4</v>
      </c>
      <c r="B2609" s="151" t="s">
        <v>2229</v>
      </c>
      <c r="C2609" s="152" t="s">
        <v>2237</v>
      </c>
      <c r="D2609" s="103"/>
      <c r="E2609" s="156">
        <v>42500</v>
      </c>
    </row>
    <row r="2610" spans="1:5" x14ac:dyDescent="0.25">
      <c r="A2610" s="100">
        <f t="shared" si="43"/>
        <v>5</v>
      </c>
      <c r="B2610" s="151" t="s">
        <v>2230</v>
      </c>
      <c r="C2610" s="152" t="s">
        <v>2238</v>
      </c>
      <c r="D2610" s="103"/>
      <c r="E2610" s="156">
        <v>5000</v>
      </c>
    </row>
    <row r="2611" spans="1:5" x14ac:dyDescent="0.25">
      <c r="A2611" s="100">
        <f t="shared" si="43"/>
        <v>6</v>
      </c>
      <c r="B2611" s="151" t="s">
        <v>2231</v>
      </c>
      <c r="C2611" s="152" t="s">
        <v>2239</v>
      </c>
      <c r="D2611" s="103"/>
      <c r="E2611" s="156">
        <v>12500</v>
      </c>
    </row>
    <row r="2612" spans="1:5" x14ac:dyDescent="0.25">
      <c r="A2612" s="100">
        <f t="shared" si="43"/>
        <v>7</v>
      </c>
      <c r="B2612" s="151" t="s">
        <v>2232</v>
      </c>
      <c r="C2612" s="152" t="s">
        <v>2240</v>
      </c>
      <c r="D2612" s="103"/>
      <c r="E2612" s="156">
        <v>32500</v>
      </c>
    </row>
    <row r="2613" spans="1:5" x14ac:dyDescent="0.25">
      <c r="A2613" s="100">
        <f t="shared" si="43"/>
        <v>8</v>
      </c>
      <c r="B2613" s="151" t="s">
        <v>2233</v>
      </c>
      <c r="C2613" s="152" t="s">
        <v>2241</v>
      </c>
      <c r="D2613" s="103"/>
      <c r="E2613" s="156">
        <v>5000</v>
      </c>
    </row>
    <row r="2614" spans="1:5" x14ac:dyDescent="0.25">
      <c r="A2614" s="100">
        <f t="shared" si="43"/>
        <v>9</v>
      </c>
      <c r="B2614" s="151" t="s">
        <v>2244</v>
      </c>
      <c r="C2614" s="152" t="s">
        <v>2242</v>
      </c>
      <c r="D2614" s="103"/>
      <c r="E2614" s="156">
        <v>82500</v>
      </c>
    </row>
    <row r="2615" spans="1:5" x14ac:dyDescent="0.25">
      <c r="A2615" s="100">
        <f t="shared" si="43"/>
        <v>10</v>
      </c>
      <c r="B2615" s="151" t="s">
        <v>2234</v>
      </c>
      <c r="C2615" s="152" t="s">
        <v>2243</v>
      </c>
      <c r="D2615" s="103"/>
      <c r="E2615" s="156">
        <v>5000</v>
      </c>
    </row>
    <row r="2616" spans="1:5" x14ac:dyDescent="0.25">
      <c r="A2616" s="100">
        <f t="shared" si="43"/>
        <v>11</v>
      </c>
      <c r="B2616" s="151" t="s">
        <v>299</v>
      </c>
      <c r="C2616" s="152" t="s">
        <v>286</v>
      </c>
      <c r="D2616" s="103"/>
      <c r="E2616" s="156">
        <v>5000</v>
      </c>
    </row>
    <row r="2617" spans="1:5" x14ac:dyDescent="0.25">
      <c r="A2617" s="100">
        <f t="shared" si="43"/>
        <v>12</v>
      </c>
      <c r="B2617" s="151" t="s">
        <v>1412</v>
      </c>
      <c r="C2617" s="152" t="s">
        <v>1419</v>
      </c>
      <c r="D2617" s="103"/>
      <c r="E2617" s="156">
        <v>5000</v>
      </c>
    </row>
    <row r="2618" spans="1:5" x14ac:dyDescent="0.25">
      <c r="A2618" s="100">
        <f t="shared" si="43"/>
        <v>13</v>
      </c>
      <c r="B2618" s="151" t="s">
        <v>2245</v>
      </c>
      <c r="C2618" s="152" t="s">
        <v>2249</v>
      </c>
      <c r="D2618" s="103"/>
      <c r="E2618" s="156">
        <v>5000</v>
      </c>
    </row>
    <row r="2619" spans="1:5" x14ac:dyDescent="0.25">
      <c r="A2619" s="100">
        <f t="shared" si="43"/>
        <v>14</v>
      </c>
      <c r="B2619" s="151" t="s">
        <v>1269</v>
      </c>
      <c r="C2619" s="152" t="s">
        <v>1244</v>
      </c>
      <c r="D2619" s="103"/>
      <c r="E2619" s="156">
        <v>5000</v>
      </c>
    </row>
    <row r="2620" spans="1:5" x14ac:dyDescent="0.25">
      <c r="A2620" s="100">
        <f t="shared" si="43"/>
        <v>15</v>
      </c>
      <c r="B2620" s="151" t="s">
        <v>976</v>
      </c>
      <c r="C2620" s="152" t="s">
        <v>2250</v>
      </c>
      <c r="D2620" s="103"/>
      <c r="E2620" s="156">
        <v>50000</v>
      </c>
    </row>
    <row r="2621" spans="1:5" x14ac:dyDescent="0.25">
      <c r="A2621" s="100">
        <f t="shared" si="43"/>
        <v>16</v>
      </c>
      <c r="B2621" s="151" t="s">
        <v>122</v>
      </c>
      <c r="C2621" s="152" t="s">
        <v>130</v>
      </c>
      <c r="D2621" s="103"/>
      <c r="E2621" s="156">
        <v>5000</v>
      </c>
    </row>
    <row r="2622" spans="1:5" x14ac:dyDescent="0.25">
      <c r="A2622" s="100">
        <f t="shared" si="43"/>
        <v>17</v>
      </c>
      <c r="B2622" s="151" t="s">
        <v>2246</v>
      </c>
      <c r="C2622" s="152" t="s">
        <v>2251</v>
      </c>
      <c r="D2622" s="103"/>
      <c r="E2622" s="156">
        <v>5000</v>
      </c>
    </row>
    <row r="2623" spans="1:5" x14ac:dyDescent="0.25">
      <c r="A2623" s="100">
        <f t="shared" si="43"/>
        <v>18</v>
      </c>
      <c r="B2623" s="151" t="s">
        <v>201</v>
      </c>
      <c r="C2623" s="152" t="s">
        <v>213</v>
      </c>
      <c r="D2623" s="103"/>
      <c r="E2623" s="156">
        <v>5000</v>
      </c>
    </row>
    <row r="2624" spans="1:5" x14ac:dyDescent="0.25">
      <c r="A2624" s="100">
        <f t="shared" si="43"/>
        <v>19</v>
      </c>
      <c r="B2624" s="151" t="s">
        <v>512</v>
      </c>
      <c r="C2624" s="152" t="s">
        <v>508</v>
      </c>
      <c r="D2624" s="103"/>
      <c r="E2624" s="156">
        <v>5000</v>
      </c>
    </row>
    <row r="2625" spans="1:5" x14ac:dyDescent="0.25">
      <c r="A2625" s="100">
        <f t="shared" si="43"/>
        <v>20</v>
      </c>
      <c r="B2625" s="151" t="s">
        <v>2247</v>
      </c>
      <c r="C2625" s="152" t="s">
        <v>2252</v>
      </c>
      <c r="D2625" s="103"/>
      <c r="E2625" s="156">
        <v>5000</v>
      </c>
    </row>
    <row r="2626" spans="1:5" x14ac:dyDescent="0.25">
      <c r="A2626" s="100">
        <f t="shared" si="43"/>
        <v>21</v>
      </c>
      <c r="B2626" s="151" t="s">
        <v>737</v>
      </c>
      <c r="C2626" s="152" t="s">
        <v>732</v>
      </c>
      <c r="D2626" s="103"/>
      <c r="E2626" s="156">
        <v>5000</v>
      </c>
    </row>
    <row r="2627" spans="1:5" x14ac:dyDescent="0.25">
      <c r="A2627" s="100">
        <f t="shared" si="43"/>
        <v>22</v>
      </c>
      <c r="B2627" s="151" t="s">
        <v>738</v>
      </c>
      <c r="C2627" s="152" t="s">
        <v>733</v>
      </c>
      <c r="D2627" s="103"/>
      <c r="E2627" s="156">
        <v>5000</v>
      </c>
    </row>
    <row r="2628" spans="1:5" x14ac:dyDescent="0.25">
      <c r="A2628" s="100">
        <f t="shared" si="43"/>
        <v>23</v>
      </c>
      <c r="B2628" s="151" t="s">
        <v>2248</v>
      </c>
      <c r="C2628" s="152" t="s">
        <v>2253</v>
      </c>
      <c r="D2628" s="103"/>
      <c r="E2628" s="156">
        <v>5000</v>
      </c>
    </row>
    <row r="2629" spans="1:5" x14ac:dyDescent="0.25">
      <c r="A2629" s="100"/>
      <c r="B2629" s="151"/>
      <c r="C2629" s="152"/>
      <c r="D2629" s="154"/>
      <c r="E2629" s="155"/>
    </row>
    <row r="2630" spans="1:5" ht="15.75" thickBot="1" x14ac:dyDescent="0.3">
      <c r="A2630" s="105"/>
      <c r="B2630" s="240" t="s">
        <v>10</v>
      </c>
      <c r="C2630" s="241"/>
      <c r="D2630" s="242"/>
      <c r="E2630" s="106">
        <f>SUM(E2606:E2628)</f>
        <v>337500</v>
      </c>
    </row>
    <row r="2631" spans="1:5" x14ac:dyDescent="0.25">
      <c r="A2631" s="95"/>
      <c r="B2631" s="130"/>
      <c r="C2631" s="130"/>
      <c r="E2631" s="131"/>
    </row>
    <row r="2632" spans="1:5" x14ac:dyDescent="0.25">
      <c r="A2632" s="94"/>
      <c r="B2632" s="94"/>
      <c r="C2632" s="95"/>
      <c r="D2632" s="108" t="s">
        <v>2226</v>
      </c>
      <c r="E2632" s="94"/>
    </row>
    <row r="2633" spans="1:5" x14ac:dyDescent="0.25">
      <c r="D2633" s="108" t="s">
        <v>83</v>
      </c>
    </row>
    <row r="2651" spans="1:5" x14ac:dyDescent="0.25">
      <c r="A2651" s="93" t="s">
        <v>0</v>
      </c>
      <c r="B2651" s="129"/>
      <c r="C2651" s="129"/>
      <c r="D2651" s="129"/>
      <c r="E2651" s="129"/>
    </row>
    <row r="2652" spans="1:5" x14ac:dyDescent="0.25">
      <c r="A2652" s="93" t="s">
        <v>1</v>
      </c>
      <c r="B2652" s="94"/>
      <c r="C2652" s="95"/>
      <c r="D2652" s="94"/>
      <c r="E2652" s="94"/>
    </row>
    <row r="2653" spans="1:5" x14ac:dyDescent="0.25">
      <c r="A2653" s="93"/>
      <c r="B2653" s="94"/>
      <c r="C2653" s="95"/>
      <c r="D2653" s="94"/>
      <c r="E2653" s="94"/>
    </row>
    <row r="2654" spans="1:5" x14ac:dyDescent="0.25">
      <c r="A2654" s="96" t="s">
        <v>84</v>
      </c>
      <c r="B2654" s="96"/>
      <c r="C2654" s="96"/>
      <c r="D2654" s="96"/>
      <c r="E2654" s="96"/>
    </row>
    <row r="2655" spans="1:5" x14ac:dyDescent="0.25">
      <c r="A2655" s="238" t="s">
        <v>100</v>
      </c>
      <c r="B2655" s="239"/>
      <c r="C2655" s="239"/>
      <c r="D2655" s="239"/>
      <c r="E2655" s="239"/>
    </row>
    <row r="2656" spans="1:5" x14ac:dyDescent="0.25">
      <c r="A2656" s="95"/>
      <c r="B2656" s="95"/>
      <c r="C2656" s="95"/>
      <c r="D2656" s="95"/>
      <c r="E2656" s="95"/>
    </row>
    <row r="2657" spans="1:5" ht="15.75" thickBot="1" x14ac:dyDescent="0.3">
      <c r="A2657" s="94"/>
      <c r="B2657" s="94"/>
      <c r="C2657" s="95"/>
      <c r="D2657" s="94"/>
      <c r="E2657" s="109" t="s">
        <v>2254</v>
      </c>
    </row>
    <row r="2658" spans="1:5" x14ac:dyDescent="0.25">
      <c r="A2658" s="97" t="s">
        <v>16</v>
      </c>
      <c r="B2658" s="98" t="s">
        <v>79</v>
      </c>
      <c r="C2658" s="98" t="s">
        <v>80</v>
      </c>
      <c r="D2658" s="98" t="s">
        <v>77</v>
      </c>
      <c r="E2658" s="99" t="s">
        <v>10</v>
      </c>
    </row>
    <row r="2659" spans="1:5" x14ac:dyDescent="0.25">
      <c r="A2659" s="100">
        <v>1</v>
      </c>
      <c r="B2659" s="151" t="s">
        <v>2256</v>
      </c>
      <c r="C2659" s="152" t="s">
        <v>2267</v>
      </c>
      <c r="D2659" s="103"/>
      <c r="E2659" s="104">
        <v>22500</v>
      </c>
    </row>
    <row r="2660" spans="1:5" x14ac:dyDescent="0.25">
      <c r="A2660" s="100">
        <f>A2659+1</f>
        <v>2</v>
      </c>
      <c r="B2660" s="151" t="s">
        <v>2257</v>
      </c>
      <c r="C2660" s="152" t="s">
        <v>2268</v>
      </c>
      <c r="D2660" s="103"/>
      <c r="E2660" s="104">
        <v>5000</v>
      </c>
    </row>
    <row r="2661" spans="1:5" x14ac:dyDescent="0.25">
      <c r="A2661" s="100">
        <f t="shared" ref="A2661:A2671" si="44">A2660+1</f>
        <v>3</v>
      </c>
      <c r="B2661" s="151" t="s">
        <v>2258</v>
      </c>
      <c r="C2661" s="152" t="s">
        <v>2269</v>
      </c>
      <c r="D2661" s="103"/>
      <c r="E2661" s="156">
        <v>12500</v>
      </c>
    </row>
    <row r="2662" spans="1:5" x14ac:dyDescent="0.25">
      <c r="A2662" s="100">
        <f t="shared" si="44"/>
        <v>4</v>
      </c>
      <c r="B2662" s="151" t="s">
        <v>2259</v>
      </c>
      <c r="C2662" s="152" t="s">
        <v>2270</v>
      </c>
      <c r="D2662" s="103"/>
      <c r="E2662" s="156">
        <v>12500</v>
      </c>
    </row>
    <row r="2663" spans="1:5" x14ac:dyDescent="0.25">
      <c r="A2663" s="100">
        <f t="shared" si="44"/>
        <v>5</v>
      </c>
      <c r="B2663" s="151" t="s">
        <v>2232</v>
      </c>
      <c r="C2663" s="152" t="s">
        <v>2271</v>
      </c>
      <c r="D2663" s="103"/>
      <c r="E2663" s="156">
        <v>5000</v>
      </c>
    </row>
    <row r="2664" spans="1:5" x14ac:dyDescent="0.25">
      <c r="A2664" s="100">
        <f t="shared" si="44"/>
        <v>6</v>
      </c>
      <c r="B2664" s="151" t="s">
        <v>683</v>
      </c>
      <c r="C2664" s="152" t="s">
        <v>671</v>
      </c>
      <c r="D2664" s="103"/>
      <c r="E2664" s="156">
        <v>12500</v>
      </c>
    </row>
    <row r="2665" spans="1:5" x14ac:dyDescent="0.25">
      <c r="A2665" s="100">
        <f t="shared" si="44"/>
        <v>7</v>
      </c>
      <c r="B2665" s="151" t="s">
        <v>2260</v>
      </c>
      <c r="C2665" s="152" t="s">
        <v>2272</v>
      </c>
      <c r="D2665" s="103"/>
      <c r="E2665" s="156">
        <v>5000</v>
      </c>
    </row>
    <row r="2666" spans="1:5" x14ac:dyDescent="0.25">
      <c r="A2666" s="100">
        <f t="shared" si="44"/>
        <v>8</v>
      </c>
      <c r="B2666" s="151" t="s">
        <v>2261</v>
      </c>
      <c r="C2666" s="152" t="s">
        <v>2273</v>
      </c>
      <c r="D2666" s="103"/>
      <c r="E2666" s="156">
        <v>5000</v>
      </c>
    </row>
    <row r="2667" spans="1:5" x14ac:dyDescent="0.25">
      <c r="A2667" s="100">
        <f t="shared" si="44"/>
        <v>9</v>
      </c>
      <c r="B2667" s="151" t="s">
        <v>2262</v>
      </c>
      <c r="C2667" s="152" t="s">
        <v>2274</v>
      </c>
      <c r="D2667" s="103"/>
      <c r="E2667" s="156">
        <v>12500</v>
      </c>
    </row>
    <row r="2668" spans="1:5" x14ac:dyDescent="0.25">
      <c r="A2668" s="100">
        <f t="shared" si="44"/>
        <v>10</v>
      </c>
      <c r="B2668" s="151" t="s">
        <v>2263</v>
      </c>
      <c r="C2668" s="152" t="s">
        <v>2275</v>
      </c>
      <c r="D2668" s="103"/>
      <c r="E2668" s="156">
        <v>22500</v>
      </c>
    </row>
    <row r="2669" spans="1:5" x14ac:dyDescent="0.25">
      <c r="A2669" s="100">
        <f t="shared" si="44"/>
        <v>11</v>
      </c>
      <c r="B2669" s="151" t="s">
        <v>2264</v>
      </c>
      <c r="C2669" s="152" t="s">
        <v>2276</v>
      </c>
      <c r="D2669" s="103"/>
      <c r="E2669" s="156">
        <v>5000</v>
      </c>
    </row>
    <row r="2670" spans="1:5" x14ac:dyDescent="0.25">
      <c r="A2670" s="100">
        <f t="shared" si="44"/>
        <v>12</v>
      </c>
      <c r="B2670" s="151" t="s">
        <v>2265</v>
      </c>
      <c r="C2670" s="152" t="s">
        <v>2277</v>
      </c>
      <c r="D2670" s="103"/>
      <c r="E2670" s="156">
        <v>5000</v>
      </c>
    </row>
    <row r="2671" spans="1:5" x14ac:dyDescent="0.25">
      <c r="A2671" s="100">
        <f t="shared" si="44"/>
        <v>13</v>
      </c>
      <c r="B2671" s="151" t="s">
        <v>2266</v>
      </c>
      <c r="C2671" s="152" t="s">
        <v>2278</v>
      </c>
      <c r="D2671" s="103"/>
      <c r="E2671" s="156">
        <v>5000</v>
      </c>
    </row>
    <row r="2672" spans="1:5" x14ac:dyDescent="0.25">
      <c r="A2672" s="100"/>
      <c r="B2672" s="151"/>
      <c r="C2672" s="152"/>
      <c r="D2672" s="154"/>
      <c r="E2672" s="155"/>
    </row>
    <row r="2673" spans="1:5" ht="15.75" thickBot="1" x14ac:dyDescent="0.3">
      <c r="A2673" s="105"/>
      <c r="B2673" s="240" t="s">
        <v>10</v>
      </c>
      <c r="C2673" s="241"/>
      <c r="D2673" s="242"/>
      <c r="E2673" s="106">
        <f>SUM(E2659:E2671)</f>
        <v>130000</v>
      </c>
    </row>
    <row r="2674" spans="1:5" x14ac:dyDescent="0.25">
      <c r="A2674" s="95"/>
      <c r="B2674" s="130"/>
      <c r="C2674" s="130"/>
      <c r="E2674" s="131"/>
    </row>
    <row r="2675" spans="1:5" x14ac:dyDescent="0.25">
      <c r="A2675" s="94"/>
      <c r="B2675" s="94"/>
      <c r="C2675" s="95"/>
      <c r="D2675" s="108" t="s">
        <v>2255</v>
      </c>
      <c r="E2675" s="94"/>
    </row>
    <row r="2676" spans="1:5" x14ac:dyDescent="0.25">
      <c r="D2676" s="108" t="s">
        <v>83</v>
      </c>
    </row>
    <row r="2704" spans="1:5" x14ac:dyDescent="0.25">
      <c r="A2704" s="93" t="s">
        <v>0</v>
      </c>
      <c r="B2704" s="129"/>
      <c r="C2704" s="129"/>
      <c r="D2704" s="129"/>
      <c r="E2704" s="129"/>
    </row>
    <row r="2705" spans="1:5" x14ac:dyDescent="0.25">
      <c r="A2705" s="93" t="s">
        <v>1</v>
      </c>
      <c r="B2705" s="94"/>
      <c r="C2705" s="95"/>
      <c r="D2705" s="94"/>
      <c r="E2705" s="94"/>
    </row>
    <row r="2706" spans="1:5" x14ac:dyDescent="0.25">
      <c r="A2706" s="93"/>
      <c r="B2706" s="94"/>
      <c r="C2706" s="95"/>
      <c r="D2706" s="94"/>
      <c r="E2706" s="94"/>
    </row>
    <row r="2707" spans="1:5" x14ac:dyDescent="0.25">
      <c r="A2707" s="96" t="s">
        <v>84</v>
      </c>
      <c r="B2707" s="96"/>
      <c r="C2707" s="96"/>
      <c r="D2707" s="96"/>
      <c r="E2707" s="96"/>
    </row>
    <row r="2708" spans="1:5" x14ac:dyDescent="0.25">
      <c r="A2708" s="238" t="s">
        <v>100</v>
      </c>
      <c r="B2708" s="239"/>
      <c r="C2708" s="239"/>
      <c r="D2708" s="239"/>
      <c r="E2708" s="239"/>
    </row>
    <row r="2709" spans="1:5" x14ac:dyDescent="0.25">
      <c r="A2709" s="95"/>
      <c r="B2709" s="95"/>
      <c r="C2709" s="95"/>
      <c r="D2709" s="95"/>
      <c r="E2709" s="95"/>
    </row>
    <row r="2710" spans="1:5" ht="15.75" thickBot="1" x14ac:dyDescent="0.3">
      <c r="A2710" s="94"/>
      <c r="B2710" s="94"/>
      <c r="C2710" s="95"/>
      <c r="D2710" s="94"/>
      <c r="E2710" s="109" t="s">
        <v>2279</v>
      </c>
    </row>
    <row r="2711" spans="1:5" x14ac:dyDescent="0.25">
      <c r="A2711" s="97" t="s">
        <v>16</v>
      </c>
      <c r="B2711" s="98" t="s">
        <v>79</v>
      </c>
      <c r="C2711" s="98" t="s">
        <v>80</v>
      </c>
      <c r="D2711" s="98" t="s">
        <v>77</v>
      </c>
      <c r="E2711" s="99" t="s">
        <v>10</v>
      </c>
    </row>
    <row r="2712" spans="1:5" x14ac:dyDescent="0.25">
      <c r="A2712" s="100">
        <v>1</v>
      </c>
      <c r="B2712" s="151" t="s">
        <v>2164</v>
      </c>
      <c r="C2712" s="152" t="s">
        <v>2286</v>
      </c>
      <c r="D2712" s="103"/>
      <c r="E2712" s="104">
        <v>42500</v>
      </c>
    </row>
    <row r="2713" spans="1:5" x14ac:dyDescent="0.25">
      <c r="A2713" s="100">
        <f>A2712+1</f>
        <v>2</v>
      </c>
      <c r="B2713" s="151" t="s">
        <v>2281</v>
      </c>
      <c r="C2713" s="152" t="s">
        <v>2287</v>
      </c>
      <c r="D2713" s="103"/>
      <c r="E2713" s="104">
        <v>5000</v>
      </c>
    </row>
    <row r="2714" spans="1:5" x14ac:dyDescent="0.25">
      <c r="A2714" s="100">
        <f t="shared" ref="A2714:A2719" si="45">A2713+1</f>
        <v>3</v>
      </c>
      <c r="B2714" s="151" t="s">
        <v>2282</v>
      </c>
      <c r="C2714" s="152" t="s">
        <v>2288</v>
      </c>
      <c r="D2714" s="103"/>
      <c r="E2714" s="156">
        <v>82500</v>
      </c>
    </row>
    <row r="2715" spans="1:5" x14ac:dyDescent="0.25">
      <c r="A2715" s="100">
        <f t="shared" si="45"/>
        <v>4</v>
      </c>
      <c r="B2715" s="151" t="s">
        <v>979</v>
      </c>
      <c r="C2715" s="152" t="s">
        <v>973</v>
      </c>
      <c r="D2715" s="103"/>
      <c r="E2715" s="156">
        <v>5000</v>
      </c>
    </row>
    <row r="2716" spans="1:5" x14ac:dyDescent="0.25">
      <c r="A2716" s="100">
        <f t="shared" si="45"/>
        <v>5</v>
      </c>
      <c r="B2716" s="151" t="s">
        <v>2283</v>
      </c>
      <c r="C2716" s="152" t="s">
        <v>2289</v>
      </c>
      <c r="D2716" s="103"/>
      <c r="E2716" s="156">
        <v>12500</v>
      </c>
    </row>
    <row r="2717" spans="1:5" x14ac:dyDescent="0.25">
      <c r="A2717" s="100">
        <f t="shared" si="45"/>
        <v>6</v>
      </c>
      <c r="B2717" s="151" t="s">
        <v>2284</v>
      </c>
      <c r="C2717" s="152" t="s">
        <v>2290</v>
      </c>
      <c r="D2717" s="103"/>
      <c r="E2717" s="156">
        <v>5000</v>
      </c>
    </row>
    <row r="2718" spans="1:5" x14ac:dyDescent="0.25">
      <c r="A2718" s="100">
        <f t="shared" si="45"/>
        <v>7</v>
      </c>
      <c r="B2718" s="151" t="s">
        <v>2285</v>
      </c>
      <c r="C2718" s="152" t="s">
        <v>2291</v>
      </c>
      <c r="D2718" s="103"/>
      <c r="E2718" s="156">
        <v>12500</v>
      </c>
    </row>
    <row r="2719" spans="1:5" x14ac:dyDescent="0.25">
      <c r="A2719" s="100">
        <f t="shared" si="45"/>
        <v>8</v>
      </c>
      <c r="B2719" s="151" t="s">
        <v>1677</v>
      </c>
      <c r="C2719" s="152" t="s">
        <v>2292</v>
      </c>
      <c r="D2719" s="103"/>
      <c r="E2719" s="156">
        <v>22500</v>
      </c>
    </row>
    <row r="2720" spans="1:5" x14ac:dyDescent="0.25">
      <c r="A2720" s="100"/>
      <c r="B2720" s="151"/>
      <c r="C2720" s="152"/>
      <c r="D2720" s="154"/>
      <c r="E2720" s="155"/>
    </row>
    <row r="2721" spans="1:5" ht="15.75" thickBot="1" x14ac:dyDescent="0.3">
      <c r="A2721" s="105"/>
      <c r="B2721" s="240" t="s">
        <v>10</v>
      </c>
      <c r="C2721" s="241"/>
      <c r="D2721" s="242"/>
      <c r="E2721" s="106">
        <f>SUM(E2712:E2719)</f>
        <v>187500</v>
      </c>
    </row>
    <row r="2722" spans="1:5" x14ac:dyDescent="0.25">
      <c r="A2722" s="95"/>
      <c r="B2722" s="130"/>
      <c r="C2722" s="130"/>
      <c r="E2722" s="131"/>
    </row>
    <row r="2723" spans="1:5" x14ac:dyDescent="0.25">
      <c r="A2723" s="94"/>
      <c r="B2723" s="94"/>
      <c r="C2723" s="95"/>
      <c r="D2723" s="108" t="s">
        <v>2280</v>
      </c>
      <c r="E2723" s="94"/>
    </row>
    <row r="2724" spans="1:5" x14ac:dyDescent="0.25">
      <c r="D2724" s="108" t="s">
        <v>83</v>
      </c>
    </row>
    <row r="2757" spans="1:5" x14ac:dyDescent="0.25">
      <c r="A2757" s="93" t="s">
        <v>0</v>
      </c>
      <c r="B2757" s="129"/>
      <c r="C2757" s="129"/>
      <c r="D2757" s="129"/>
      <c r="E2757" s="129"/>
    </row>
    <row r="2758" spans="1:5" x14ac:dyDescent="0.25">
      <c r="A2758" s="93" t="s">
        <v>1</v>
      </c>
      <c r="B2758" s="94"/>
      <c r="C2758" s="95"/>
      <c r="D2758" s="94"/>
      <c r="E2758" s="94"/>
    </row>
    <row r="2759" spans="1:5" x14ac:dyDescent="0.25">
      <c r="A2759" s="93"/>
      <c r="B2759" s="94"/>
      <c r="C2759" s="95"/>
      <c r="D2759" s="94"/>
      <c r="E2759" s="94"/>
    </row>
    <row r="2760" spans="1:5" x14ac:dyDescent="0.25">
      <c r="A2760" s="96" t="s">
        <v>84</v>
      </c>
      <c r="B2760" s="96"/>
      <c r="C2760" s="96"/>
      <c r="D2760" s="96"/>
      <c r="E2760" s="96"/>
    </row>
    <row r="2761" spans="1:5" x14ac:dyDescent="0.25">
      <c r="A2761" s="238" t="s">
        <v>100</v>
      </c>
      <c r="B2761" s="239"/>
      <c r="C2761" s="239"/>
      <c r="D2761" s="239"/>
      <c r="E2761" s="239"/>
    </row>
    <row r="2762" spans="1:5" x14ac:dyDescent="0.25">
      <c r="A2762" s="95"/>
      <c r="B2762" s="95"/>
      <c r="C2762" s="95"/>
      <c r="D2762" s="95"/>
      <c r="E2762" s="95"/>
    </row>
    <row r="2763" spans="1:5" ht="15.75" thickBot="1" x14ac:dyDescent="0.3">
      <c r="A2763" s="94"/>
      <c r="B2763" s="94"/>
      <c r="C2763" s="95"/>
      <c r="D2763" s="94"/>
      <c r="E2763" s="109" t="s">
        <v>2293</v>
      </c>
    </row>
    <row r="2764" spans="1:5" x14ac:dyDescent="0.25">
      <c r="A2764" s="97" t="s">
        <v>16</v>
      </c>
      <c r="B2764" s="98" t="s">
        <v>79</v>
      </c>
      <c r="C2764" s="98" t="s">
        <v>80</v>
      </c>
      <c r="D2764" s="98" t="s">
        <v>77</v>
      </c>
      <c r="E2764" s="99" t="s">
        <v>10</v>
      </c>
    </row>
    <row r="2765" spans="1:5" x14ac:dyDescent="0.25">
      <c r="A2765" s="100">
        <v>1</v>
      </c>
      <c r="B2765" s="151" t="s">
        <v>2295</v>
      </c>
      <c r="C2765" s="152" t="s">
        <v>2302</v>
      </c>
      <c r="D2765" s="103"/>
      <c r="E2765" s="104">
        <v>5000</v>
      </c>
    </row>
    <row r="2766" spans="1:5" x14ac:dyDescent="0.25">
      <c r="A2766" s="100">
        <f>A2765+1</f>
        <v>2</v>
      </c>
      <c r="B2766" s="151" t="s">
        <v>135</v>
      </c>
      <c r="C2766" s="152" t="s">
        <v>141</v>
      </c>
      <c r="D2766" s="103"/>
      <c r="E2766" s="104">
        <v>5000</v>
      </c>
    </row>
    <row r="2767" spans="1:5" x14ac:dyDescent="0.25">
      <c r="A2767" s="100">
        <f t="shared" ref="A2767:A2777" si="46">A2766+1</f>
        <v>3</v>
      </c>
      <c r="B2767" s="151" t="s">
        <v>2296</v>
      </c>
      <c r="C2767" s="152" t="s">
        <v>2303</v>
      </c>
      <c r="D2767" s="103"/>
      <c r="E2767" s="156">
        <v>60000</v>
      </c>
    </row>
    <row r="2768" spans="1:5" x14ac:dyDescent="0.25">
      <c r="A2768" s="100">
        <f t="shared" si="46"/>
        <v>4</v>
      </c>
      <c r="B2768" s="151" t="s">
        <v>119</v>
      </c>
      <c r="C2768" s="152" t="s">
        <v>1191</v>
      </c>
      <c r="D2768" s="103"/>
      <c r="E2768" s="156">
        <v>5000</v>
      </c>
    </row>
    <row r="2769" spans="1:5" x14ac:dyDescent="0.25">
      <c r="A2769" s="100">
        <f t="shared" si="46"/>
        <v>5</v>
      </c>
      <c r="B2769" s="151" t="s">
        <v>2297</v>
      </c>
      <c r="C2769" s="152" t="s">
        <v>2304</v>
      </c>
      <c r="D2769" s="103"/>
      <c r="E2769" s="156">
        <v>5000</v>
      </c>
    </row>
    <row r="2770" spans="1:5" x14ac:dyDescent="0.25">
      <c r="A2770" s="100">
        <f t="shared" si="46"/>
        <v>6</v>
      </c>
      <c r="B2770" s="151" t="s">
        <v>2298</v>
      </c>
      <c r="C2770" s="152" t="s">
        <v>793</v>
      </c>
      <c r="D2770" s="103"/>
      <c r="E2770" s="156">
        <v>5000</v>
      </c>
    </row>
    <row r="2771" spans="1:5" x14ac:dyDescent="0.25">
      <c r="A2771" s="100">
        <f t="shared" si="46"/>
        <v>7</v>
      </c>
      <c r="B2771" s="151" t="s">
        <v>2299</v>
      </c>
      <c r="C2771" s="152" t="s">
        <v>2305</v>
      </c>
      <c r="D2771" s="103"/>
      <c r="E2771" s="156">
        <v>12500</v>
      </c>
    </row>
    <row r="2772" spans="1:5" x14ac:dyDescent="0.25">
      <c r="A2772" s="100">
        <f t="shared" si="46"/>
        <v>8</v>
      </c>
      <c r="B2772" s="151" t="s">
        <v>2300</v>
      </c>
      <c r="C2772" s="152" t="s">
        <v>2306</v>
      </c>
      <c r="D2772" s="103"/>
      <c r="E2772" s="156">
        <v>5000</v>
      </c>
    </row>
    <row r="2773" spans="1:5" x14ac:dyDescent="0.25">
      <c r="A2773" s="100">
        <f t="shared" si="46"/>
        <v>9</v>
      </c>
      <c r="B2773" s="151" t="s">
        <v>881</v>
      </c>
      <c r="C2773" s="152" t="s">
        <v>890</v>
      </c>
      <c r="D2773" s="103"/>
      <c r="E2773" s="156">
        <v>5000</v>
      </c>
    </row>
    <row r="2774" spans="1:5" x14ac:dyDescent="0.25">
      <c r="A2774" s="100">
        <f t="shared" si="46"/>
        <v>10</v>
      </c>
      <c r="B2774" s="151" t="s">
        <v>2301</v>
      </c>
      <c r="C2774" s="152" t="s">
        <v>2307</v>
      </c>
      <c r="D2774" s="103"/>
      <c r="E2774" s="156">
        <v>5000</v>
      </c>
    </row>
    <row r="2775" spans="1:5" x14ac:dyDescent="0.25">
      <c r="A2775" s="100">
        <f t="shared" si="46"/>
        <v>11</v>
      </c>
      <c r="B2775" s="151" t="s">
        <v>1270</v>
      </c>
      <c r="C2775" s="152" t="s">
        <v>1245</v>
      </c>
      <c r="D2775" s="103"/>
      <c r="E2775" s="156">
        <v>5000</v>
      </c>
    </row>
    <row r="2776" spans="1:5" x14ac:dyDescent="0.25">
      <c r="A2776" s="100">
        <f t="shared" si="46"/>
        <v>12</v>
      </c>
      <c r="B2776" s="151" t="s">
        <v>1271</v>
      </c>
      <c r="C2776" s="152" t="s">
        <v>1246</v>
      </c>
      <c r="D2776" s="103"/>
      <c r="E2776" s="156">
        <v>5000</v>
      </c>
    </row>
    <row r="2777" spans="1:5" x14ac:dyDescent="0.25">
      <c r="A2777" s="100">
        <f t="shared" si="46"/>
        <v>13</v>
      </c>
      <c r="B2777" s="151" t="s">
        <v>1782</v>
      </c>
      <c r="C2777" s="152" t="s">
        <v>2308</v>
      </c>
      <c r="D2777" s="103"/>
      <c r="E2777" s="156">
        <v>5000</v>
      </c>
    </row>
    <row r="2778" spans="1:5" x14ac:dyDescent="0.25">
      <c r="A2778" s="100"/>
      <c r="B2778" s="151"/>
      <c r="C2778" s="152"/>
      <c r="D2778" s="154"/>
      <c r="E2778" s="155"/>
    </row>
    <row r="2779" spans="1:5" ht="15.75" thickBot="1" x14ac:dyDescent="0.3">
      <c r="A2779" s="105"/>
      <c r="B2779" s="240" t="s">
        <v>10</v>
      </c>
      <c r="C2779" s="241"/>
      <c r="D2779" s="242"/>
      <c r="E2779" s="106">
        <f>SUM(E2765:E2777)</f>
        <v>127500</v>
      </c>
    </row>
    <row r="2780" spans="1:5" x14ac:dyDescent="0.25">
      <c r="A2780" s="95"/>
      <c r="B2780" s="130"/>
      <c r="C2780" s="130"/>
      <c r="E2780" s="131"/>
    </row>
    <row r="2781" spans="1:5" x14ac:dyDescent="0.25">
      <c r="A2781" s="94"/>
      <c r="B2781" s="94"/>
      <c r="C2781" s="95"/>
      <c r="D2781" s="108" t="s">
        <v>2294</v>
      </c>
      <c r="E2781" s="94"/>
    </row>
    <row r="2782" spans="1:5" x14ac:dyDescent="0.25">
      <c r="D2782" s="108" t="s">
        <v>83</v>
      </c>
    </row>
    <row r="2810" spans="1:5" x14ac:dyDescent="0.25">
      <c r="A2810" s="93" t="s">
        <v>0</v>
      </c>
      <c r="B2810" s="129"/>
      <c r="C2810" s="129"/>
      <c r="D2810" s="129"/>
      <c r="E2810" s="129"/>
    </row>
    <row r="2811" spans="1:5" x14ac:dyDescent="0.25">
      <c r="A2811" s="93" t="s">
        <v>1</v>
      </c>
      <c r="B2811" s="94"/>
      <c r="C2811" s="95"/>
      <c r="D2811" s="94"/>
      <c r="E2811" s="94"/>
    </row>
    <row r="2812" spans="1:5" x14ac:dyDescent="0.25">
      <c r="A2812" s="93"/>
      <c r="B2812" s="94"/>
      <c r="C2812" s="95"/>
      <c r="D2812" s="94"/>
      <c r="E2812" s="94"/>
    </row>
    <row r="2813" spans="1:5" x14ac:dyDescent="0.25">
      <c r="A2813" s="96" t="s">
        <v>84</v>
      </c>
      <c r="B2813" s="96"/>
      <c r="C2813" s="96"/>
      <c r="D2813" s="96"/>
      <c r="E2813" s="96"/>
    </row>
    <row r="2814" spans="1:5" x14ac:dyDescent="0.25">
      <c r="A2814" s="238" t="s">
        <v>100</v>
      </c>
      <c r="B2814" s="239"/>
      <c r="C2814" s="239"/>
      <c r="D2814" s="239"/>
      <c r="E2814" s="239"/>
    </row>
    <row r="2815" spans="1:5" x14ac:dyDescent="0.25">
      <c r="A2815" s="95"/>
      <c r="B2815" s="95"/>
      <c r="C2815" s="95"/>
      <c r="D2815" s="95"/>
      <c r="E2815" s="95"/>
    </row>
    <row r="2816" spans="1:5" ht="15.75" thickBot="1" x14ac:dyDescent="0.3">
      <c r="A2816" s="94"/>
      <c r="B2816" s="94"/>
      <c r="C2816" s="95"/>
      <c r="D2816" s="94"/>
      <c r="E2816" s="109" t="s">
        <v>2309</v>
      </c>
    </row>
    <row r="2817" spans="1:5" x14ac:dyDescent="0.25">
      <c r="A2817" s="97" t="s">
        <v>16</v>
      </c>
      <c r="B2817" s="98" t="s">
        <v>79</v>
      </c>
      <c r="C2817" s="98" t="s">
        <v>80</v>
      </c>
      <c r="D2817" s="98" t="s">
        <v>77</v>
      </c>
      <c r="E2817" s="99" t="s">
        <v>10</v>
      </c>
    </row>
    <row r="2818" spans="1:5" x14ac:dyDescent="0.25">
      <c r="A2818" s="100">
        <v>1</v>
      </c>
      <c r="B2818" s="151" t="s">
        <v>2311</v>
      </c>
      <c r="C2818" s="152" t="s">
        <v>2318</v>
      </c>
      <c r="D2818" s="103"/>
      <c r="E2818" s="104">
        <v>32500</v>
      </c>
    </row>
    <row r="2819" spans="1:5" x14ac:dyDescent="0.25">
      <c r="A2819" s="100">
        <f>A2818+1</f>
        <v>2</v>
      </c>
      <c r="B2819" s="151" t="s">
        <v>2312</v>
      </c>
      <c r="C2819" s="152" t="s">
        <v>2319</v>
      </c>
      <c r="D2819" s="103"/>
      <c r="E2819" s="104">
        <v>42500</v>
      </c>
    </row>
    <row r="2820" spans="1:5" x14ac:dyDescent="0.25">
      <c r="A2820" s="100">
        <f t="shared" ref="A2820:A2843" si="47">A2819+1</f>
        <v>3</v>
      </c>
      <c r="B2820" s="151" t="s">
        <v>2313</v>
      </c>
      <c r="C2820" s="152" t="s">
        <v>2320</v>
      </c>
      <c r="D2820" s="103"/>
      <c r="E2820" s="156">
        <v>32500</v>
      </c>
    </row>
    <row r="2821" spans="1:5" x14ac:dyDescent="0.25">
      <c r="A2821" s="100">
        <f t="shared" si="47"/>
        <v>4</v>
      </c>
      <c r="B2821" s="151" t="s">
        <v>2314</v>
      </c>
      <c r="C2821" s="152" t="s">
        <v>2321</v>
      </c>
      <c r="D2821" s="103"/>
      <c r="E2821" s="156">
        <v>5000</v>
      </c>
    </row>
    <row r="2822" spans="1:5" x14ac:dyDescent="0.25">
      <c r="A2822" s="100">
        <f t="shared" si="47"/>
        <v>5</v>
      </c>
      <c r="B2822" s="151" t="s">
        <v>2315</v>
      </c>
      <c r="C2822" s="152" t="s">
        <v>2322</v>
      </c>
      <c r="D2822" s="103"/>
      <c r="E2822" s="156">
        <v>12500</v>
      </c>
    </row>
    <row r="2823" spans="1:5" x14ac:dyDescent="0.25">
      <c r="A2823" s="100">
        <f t="shared" si="47"/>
        <v>6</v>
      </c>
      <c r="B2823" s="151" t="s">
        <v>1259</v>
      </c>
      <c r="C2823" s="152" t="s">
        <v>2323</v>
      </c>
      <c r="D2823" s="103"/>
      <c r="E2823" s="156">
        <v>52500</v>
      </c>
    </row>
    <row r="2824" spans="1:5" x14ac:dyDescent="0.25">
      <c r="A2824" s="100">
        <f t="shared" si="47"/>
        <v>7</v>
      </c>
      <c r="B2824" s="151" t="s">
        <v>2316</v>
      </c>
      <c r="C2824" s="152" t="s">
        <v>2324</v>
      </c>
      <c r="D2824" s="103"/>
      <c r="E2824" s="156">
        <v>5000</v>
      </c>
    </row>
    <row r="2825" spans="1:5" x14ac:dyDescent="0.25">
      <c r="A2825" s="100">
        <f t="shared" si="47"/>
        <v>8</v>
      </c>
      <c r="B2825" s="151" t="s">
        <v>1259</v>
      </c>
      <c r="C2825" s="152" t="s">
        <v>1232</v>
      </c>
      <c r="D2825" s="103"/>
      <c r="E2825" s="156">
        <v>5000</v>
      </c>
    </row>
    <row r="2826" spans="1:5" x14ac:dyDescent="0.25">
      <c r="A2826" s="100">
        <f t="shared" si="47"/>
        <v>9</v>
      </c>
      <c r="B2826" s="151" t="s">
        <v>461</v>
      </c>
      <c r="C2826" s="152" t="s">
        <v>470</v>
      </c>
      <c r="D2826" s="103"/>
      <c r="E2826" s="156">
        <v>5000</v>
      </c>
    </row>
    <row r="2827" spans="1:5" x14ac:dyDescent="0.25">
      <c r="A2827" s="100">
        <f t="shared" si="47"/>
        <v>10</v>
      </c>
      <c r="B2827" s="151" t="s">
        <v>980</v>
      </c>
      <c r="C2827" s="152" t="s">
        <v>975</v>
      </c>
      <c r="D2827" s="103"/>
      <c r="E2827" s="156">
        <v>12500</v>
      </c>
    </row>
    <row r="2828" spans="1:5" x14ac:dyDescent="0.25">
      <c r="A2828" s="100">
        <f t="shared" si="47"/>
        <v>11</v>
      </c>
      <c r="B2828" s="151" t="s">
        <v>2317</v>
      </c>
      <c r="C2828" s="152" t="s">
        <v>2325</v>
      </c>
      <c r="D2828" s="103"/>
      <c r="E2828" s="156">
        <v>22500</v>
      </c>
    </row>
    <row r="2829" spans="1:5" x14ac:dyDescent="0.25">
      <c r="A2829" s="100">
        <f t="shared" si="47"/>
        <v>12</v>
      </c>
      <c r="B2829" s="151" t="s">
        <v>2326</v>
      </c>
      <c r="C2829" s="152" t="s">
        <v>2337</v>
      </c>
      <c r="D2829" s="103"/>
      <c r="E2829" s="156">
        <v>5000</v>
      </c>
    </row>
    <row r="2830" spans="1:5" x14ac:dyDescent="0.25">
      <c r="A2830" s="100">
        <f t="shared" si="47"/>
        <v>13</v>
      </c>
      <c r="B2830" s="151" t="s">
        <v>2327</v>
      </c>
      <c r="C2830" s="152" t="s">
        <v>2338</v>
      </c>
      <c r="D2830" s="103"/>
      <c r="E2830" s="156">
        <v>20000</v>
      </c>
    </row>
    <row r="2831" spans="1:5" x14ac:dyDescent="0.25">
      <c r="A2831" s="100">
        <f t="shared" si="47"/>
        <v>14</v>
      </c>
      <c r="B2831" s="151" t="s">
        <v>1259</v>
      </c>
      <c r="C2831" s="152" t="s">
        <v>2339</v>
      </c>
      <c r="D2831" s="103"/>
      <c r="E2831" s="156">
        <v>22500</v>
      </c>
    </row>
    <row r="2832" spans="1:5" x14ac:dyDescent="0.25">
      <c r="A2832" s="100">
        <f t="shared" si="47"/>
        <v>15</v>
      </c>
      <c r="B2832" s="151" t="s">
        <v>1259</v>
      </c>
      <c r="C2832" s="152" t="s">
        <v>2340</v>
      </c>
      <c r="D2832" s="103"/>
      <c r="E2832" s="156">
        <v>22500</v>
      </c>
    </row>
    <row r="2833" spans="1:5" x14ac:dyDescent="0.25">
      <c r="A2833" s="100">
        <f t="shared" si="47"/>
        <v>16</v>
      </c>
      <c r="B2833" s="151" t="s">
        <v>2328</v>
      </c>
      <c r="C2833" s="152" t="s">
        <v>2341</v>
      </c>
      <c r="D2833" s="103"/>
      <c r="E2833" s="156">
        <v>22500</v>
      </c>
    </row>
    <row r="2834" spans="1:5" x14ac:dyDescent="0.25">
      <c r="A2834" s="100">
        <f t="shared" si="47"/>
        <v>17</v>
      </c>
      <c r="B2834" s="151" t="s">
        <v>2329</v>
      </c>
      <c r="C2834" s="152" t="s">
        <v>2342</v>
      </c>
      <c r="D2834" s="103"/>
      <c r="E2834" s="156">
        <v>7500</v>
      </c>
    </row>
    <row r="2835" spans="1:5" x14ac:dyDescent="0.25">
      <c r="A2835" s="100">
        <f t="shared" si="47"/>
        <v>18</v>
      </c>
      <c r="B2835" s="151" t="s">
        <v>2330</v>
      </c>
      <c r="C2835" s="152" t="s">
        <v>2343</v>
      </c>
      <c r="D2835" s="103"/>
      <c r="E2835" s="156">
        <v>22500</v>
      </c>
    </row>
    <row r="2836" spans="1:5" x14ac:dyDescent="0.25">
      <c r="A2836" s="100">
        <f t="shared" si="47"/>
        <v>19</v>
      </c>
      <c r="B2836" s="151" t="s">
        <v>194</v>
      </c>
      <c r="C2836" s="152" t="s">
        <v>206</v>
      </c>
      <c r="D2836" s="103"/>
      <c r="E2836" s="156">
        <v>12500</v>
      </c>
    </row>
    <row r="2837" spans="1:5" x14ac:dyDescent="0.25">
      <c r="A2837" s="100">
        <f t="shared" si="47"/>
        <v>20</v>
      </c>
      <c r="B2837" s="151" t="s">
        <v>2331</v>
      </c>
      <c r="C2837" s="152" t="s">
        <v>1170</v>
      </c>
      <c r="D2837" s="103"/>
      <c r="E2837" s="156">
        <v>5000</v>
      </c>
    </row>
    <row r="2838" spans="1:5" x14ac:dyDescent="0.25">
      <c r="A2838" s="100">
        <f t="shared" si="47"/>
        <v>21</v>
      </c>
      <c r="B2838" s="151" t="s">
        <v>2332</v>
      </c>
      <c r="C2838" s="152" t="s">
        <v>2344</v>
      </c>
      <c r="D2838" s="103"/>
      <c r="E2838" s="156">
        <v>5000</v>
      </c>
    </row>
    <row r="2839" spans="1:5" x14ac:dyDescent="0.25">
      <c r="A2839" s="100">
        <f t="shared" si="47"/>
        <v>22</v>
      </c>
      <c r="B2839" s="151" t="s">
        <v>2333</v>
      </c>
      <c r="C2839" s="152" t="s">
        <v>2345</v>
      </c>
      <c r="D2839" s="103"/>
      <c r="E2839" s="156">
        <v>32500</v>
      </c>
    </row>
    <row r="2840" spans="1:5" x14ac:dyDescent="0.25">
      <c r="A2840" s="100">
        <f t="shared" si="47"/>
        <v>23</v>
      </c>
      <c r="B2840" s="151" t="s">
        <v>2334</v>
      </c>
      <c r="C2840" s="152" t="s">
        <v>2346</v>
      </c>
      <c r="D2840" s="103"/>
      <c r="E2840" s="156">
        <v>32500</v>
      </c>
    </row>
    <row r="2841" spans="1:5" x14ac:dyDescent="0.25">
      <c r="A2841" s="100">
        <f t="shared" si="47"/>
        <v>24</v>
      </c>
      <c r="B2841" s="151" t="s">
        <v>2335</v>
      </c>
      <c r="C2841" s="152" t="s">
        <v>2347</v>
      </c>
      <c r="D2841" s="103"/>
      <c r="E2841" s="156">
        <v>5000</v>
      </c>
    </row>
    <row r="2842" spans="1:5" x14ac:dyDescent="0.25">
      <c r="A2842" s="100">
        <f t="shared" si="47"/>
        <v>25</v>
      </c>
      <c r="B2842" s="151" t="s">
        <v>2336</v>
      </c>
      <c r="C2842" s="152" t="s">
        <v>2348</v>
      </c>
      <c r="D2842" s="103"/>
      <c r="E2842" s="156">
        <v>22500</v>
      </c>
    </row>
    <row r="2843" spans="1:5" x14ac:dyDescent="0.25">
      <c r="A2843" s="100">
        <f t="shared" si="47"/>
        <v>26</v>
      </c>
      <c r="B2843" s="151" t="s">
        <v>314</v>
      </c>
      <c r="C2843" s="152" t="s">
        <v>1278</v>
      </c>
      <c r="D2843" s="103"/>
      <c r="E2843" s="156">
        <v>5000</v>
      </c>
    </row>
    <row r="2844" spans="1:5" x14ac:dyDescent="0.25">
      <c r="A2844" s="100"/>
      <c r="B2844" s="151"/>
      <c r="C2844" s="152"/>
      <c r="D2844" s="154"/>
      <c r="E2844" s="155"/>
    </row>
    <row r="2845" spans="1:5" ht="15.75" thickBot="1" x14ac:dyDescent="0.3">
      <c r="A2845" s="105"/>
      <c r="B2845" s="240" t="s">
        <v>10</v>
      </c>
      <c r="C2845" s="241"/>
      <c r="D2845" s="242"/>
      <c r="E2845" s="106">
        <f>SUM(E2818:E2843)</f>
        <v>470000</v>
      </c>
    </row>
    <row r="2846" spans="1:5" x14ac:dyDescent="0.25">
      <c r="A2846" s="95"/>
      <c r="B2846" s="130"/>
      <c r="C2846" s="130"/>
      <c r="E2846" s="131"/>
    </row>
    <row r="2847" spans="1:5" x14ac:dyDescent="0.25">
      <c r="A2847" s="94"/>
      <c r="B2847" s="94"/>
      <c r="C2847" s="95"/>
      <c r="D2847" s="108" t="s">
        <v>2310</v>
      </c>
      <c r="E2847" s="94"/>
    </row>
    <row r="2848" spans="1:5" x14ac:dyDescent="0.25">
      <c r="D2848" s="108" t="s">
        <v>83</v>
      </c>
    </row>
    <row r="2863" spans="1:5" x14ac:dyDescent="0.25">
      <c r="A2863" s="93" t="s">
        <v>0</v>
      </c>
      <c r="B2863" s="129"/>
      <c r="C2863" s="129"/>
      <c r="D2863" s="129"/>
      <c r="E2863" s="129"/>
    </row>
    <row r="2864" spans="1:5" x14ac:dyDescent="0.25">
      <c r="A2864" s="93" t="s">
        <v>1</v>
      </c>
      <c r="B2864" s="94"/>
      <c r="C2864" s="95"/>
      <c r="D2864" s="94"/>
      <c r="E2864" s="94"/>
    </row>
    <row r="2865" spans="1:5" x14ac:dyDescent="0.25">
      <c r="A2865" s="93"/>
      <c r="B2865" s="94"/>
      <c r="C2865" s="95"/>
      <c r="D2865" s="94"/>
      <c r="E2865" s="94"/>
    </row>
    <row r="2866" spans="1:5" x14ac:dyDescent="0.25">
      <c r="A2866" s="96" t="s">
        <v>84</v>
      </c>
      <c r="B2866" s="96"/>
      <c r="C2866" s="96"/>
      <c r="D2866" s="96"/>
      <c r="E2866" s="96"/>
    </row>
    <row r="2867" spans="1:5" x14ac:dyDescent="0.25">
      <c r="A2867" s="238" t="s">
        <v>100</v>
      </c>
      <c r="B2867" s="239"/>
      <c r="C2867" s="239"/>
      <c r="D2867" s="239"/>
      <c r="E2867" s="239"/>
    </row>
    <row r="2868" spans="1:5" x14ac:dyDescent="0.25">
      <c r="A2868" s="95"/>
      <c r="B2868" s="95"/>
      <c r="C2868" s="95"/>
      <c r="D2868" s="95"/>
      <c r="E2868" s="95"/>
    </row>
    <row r="2869" spans="1:5" ht="15.75" thickBot="1" x14ac:dyDescent="0.3">
      <c r="A2869" s="94"/>
      <c r="B2869" s="94"/>
      <c r="C2869" s="95"/>
      <c r="D2869" s="94"/>
      <c r="E2869" s="109" t="s">
        <v>2349</v>
      </c>
    </row>
    <row r="2870" spans="1:5" x14ac:dyDescent="0.25">
      <c r="A2870" s="97" t="s">
        <v>16</v>
      </c>
      <c r="B2870" s="98" t="s">
        <v>79</v>
      </c>
      <c r="C2870" s="98" t="s">
        <v>80</v>
      </c>
      <c r="D2870" s="98" t="s">
        <v>77</v>
      </c>
      <c r="E2870" s="99" t="s">
        <v>10</v>
      </c>
    </row>
    <row r="2871" spans="1:5" x14ac:dyDescent="0.25">
      <c r="A2871" s="100">
        <v>1</v>
      </c>
      <c r="B2871" s="151" t="s">
        <v>2351</v>
      </c>
      <c r="C2871" s="152" t="s">
        <v>2360</v>
      </c>
      <c r="D2871" s="103"/>
      <c r="E2871" s="104">
        <v>12500</v>
      </c>
    </row>
    <row r="2872" spans="1:5" x14ac:dyDescent="0.25">
      <c r="A2872" s="100">
        <f>A2871+1</f>
        <v>2</v>
      </c>
      <c r="B2872" s="151" t="s">
        <v>2352</v>
      </c>
      <c r="C2872" s="152" t="s">
        <v>2361</v>
      </c>
      <c r="D2872" s="103"/>
      <c r="E2872" s="104">
        <v>40000</v>
      </c>
    </row>
    <row r="2873" spans="1:5" x14ac:dyDescent="0.25">
      <c r="A2873" s="100">
        <f t="shared" ref="A2873:A2885" si="48">A2872+1</f>
        <v>3</v>
      </c>
      <c r="B2873" s="151" t="s">
        <v>623</v>
      </c>
      <c r="C2873" s="152" t="s">
        <v>2362</v>
      </c>
      <c r="D2873" s="103"/>
      <c r="E2873" s="156">
        <v>60000</v>
      </c>
    </row>
    <row r="2874" spans="1:5" x14ac:dyDescent="0.25">
      <c r="A2874" s="100">
        <f t="shared" si="48"/>
        <v>4</v>
      </c>
      <c r="B2874" s="151" t="s">
        <v>2353</v>
      </c>
      <c r="C2874" s="152" t="s">
        <v>2363</v>
      </c>
      <c r="D2874" s="103"/>
      <c r="E2874" s="156">
        <v>5000</v>
      </c>
    </row>
    <row r="2875" spans="1:5" x14ac:dyDescent="0.25">
      <c r="A2875" s="100">
        <f t="shared" si="48"/>
        <v>5</v>
      </c>
      <c r="B2875" s="151" t="s">
        <v>646</v>
      </c>
      <c r="C2875" s="152" t="s">
        <v>655</v>
      </c>
      <c r="D2875" s="103"/>
      <c r="E2875" s="156">
        <v>5000</v>
      </c>
    </row>
    <row r="2876" spans="1:5" x14ac:dyDescent="0.25">
      <c r="A2876" s="100">
        <f t="shared" si="48"/>
        <v>6</v>
      </c>
      <c r="B2876" s="151" t="s">
        <v>2354</v>
      </c>
      <c r="C2876" s="152" t="s">
        <v>1013</v>
      </c>
      <c r="D2876" s="103"/>
      <c r="E2876" s="156">
        <v>5000</v>
      </c>
    </row>
    <row r="2877" spans="1:5" x14ac:dyDescent="0.25">
      <c r="A2877" s="100">
        <f t="shared" si="48"/>
        <v>7</v>
      </c>
      <c r="B2877" s="151" t="s">
        <v>340</v>
      </c>
      <c r="C2877" s="152" t="s">
        <v>2364</v>
      </c>
      <c r="D2877" s="103"/>
      <c r="E2877" s="156">
        <v>5000</v>
      </c>
    </row>
    <row r="2878" spans="1:5" x14ac:dyDescent="0.25">
      <c r="A2878" s="100">
        <f t="shared" si="48"/>
        <v>8</v>
      </c>
      <c r="B2878" s="151" t="s">
        <v>2355</v>
      </c>
      <c r="C2878" s="152" t="s">
        <v>2365</v>
      </c>
      <c r="D2878" s="103"/>
      <c r="E2878" s="156">
        <v>5000</v>
      </c>
    </row>
    <row r="2879" spans="1:5" x14ac:dyDescent="0.25">
      <c r="A2879" s="100">
        <f t="shared" si="48"/>
        <v>9</v>
      </c>
      <c r="B2879" s="151" t="s">
        <v>1339</v>
      </c>
      <c r="C2879" s="152" t="s">
        <v>1346</v>
      </c>
      <c r="D2879" s="103"/>
      <c r="E2879" s="156">
        <v>7500</v>
      </c>
    </row>
    <row r="2880" spans="1:5" x14ac:dyDescent="0.25">
      <c r="A2880" s="100">
        <f t="shared" si="48"/>
        <v>10</v>
      </c>
      <c r="B2880" s="151" t="s">
        <v>1573</v>
      </c>
      <c r="C2880" s="152" t="s">
        <v>2366</v>
      </c>
      <c r="D2880" s="103"/>
      <c r="E2880" s="156">
        <v>12500</v>
      </c>
    </row>
    <row r="2881" spans="1:5" x14ac:dyDescent="0.25">
      <c r="A2881" s="100">
        <f t="shared" si="48"/>
        <v>11</v>
      </c>
      <c r="B2881" s="151" t="s">
        <v>2356</v>
      </c>
      <c r="C2881" s="152" t="s">
        <v>2367</v>
      </c>
      <c r="D2881" s="103"/>
      <c r="E2881" s="156">
        <v>12500</v>
      </c>
    </row>
    <row r="2882" spans="1:5" x14ac:dyDescent="0.25">
      <c r="A2882" s="100">
        <f t="shared" si="48"/>
        <v>12</v>
      </c>
      <c r="B2882" s="151" t="s">
        <v>996</v>
      </c>
      <c r="C2882" s="152" t="s">
        <v>2368</v>
      </c>
      <c r="D2882" s="103"/>
      <c r="E2882" s="156">
        <v>5000</v>
      </c>
    </row>
    <row r="2883" spans="1:5" x14ac:dyDescent="0.25">
      <c r="A2883" s="100">
        <f t="shared" si="48"/>
        <v>13</v>
      </c>
      <c r="B2883" s="151" t="s">
        <v>2357</v>
      </c>
      <c r="C2883" s="152" t="s">
        <v>2369</v>
      </c>
      <c r="D2883" s="103"/>
      <c r="E2883" s="156">
        <v>5000</v>
      </c>
    </row>
    <row r="2884" spans="1:5" x14ac:dyDescent="0.25">
      <c r="A2884" s="100">
        <f t="shared" si="48"/>
        <v>14</v>
      </c>
      <c r="B2884" s="151" t="s">
        <v>2358</v>
      </c>
      <c r="C2884" s="152" t="s">
        <v>2370</v>
      </c>
      <c r="D2884" s="103"/>
      <c r="E2884" s="156">
        <v>5000</v>
      </c>
    </row>
    <row r="2885" spans="1:5" x14ac:dyDescent="0.25">
      <c r="A2885" s="100">
        <f t="shared" si="48"/>
        <v>15</v>
      </c>
      <c r="B2885" s="151" t="s">
        <v>2359</v>
      </c>
      <c r="C2885" s="152" t="s">
        <v>2371</v>
      </c>
      <c r="D2885" s="103"/>
      <c r="E2885" s="156">
        <v>5000</v>
      </c>
    </row>
    <row r="2886" spans="1:5" x14ac:dyDescent="0.25">
      <c r="A2886" s="100"/>
      <c r="B2886" s="151"/>
      <c r="C2886" s="152"/>
      <c r="D2886" s="154"/>
      <c r="E2886" s="155"/>
    </row>
    <row r="2887" spans="1:5" ht="15.75" thickBot="1" x14ac:dyDescent="0.3">
      <c r="A2887" s="105"/>
      <c r="B2887" s="240" t="s">
        <v>10</v>
      </c>
      <c r="C2887" s="241"/>
      <c r="D2887" s="242"/>
      <c r="E2887" s="106">
        <f>SUM(E2871:E2885)</f>
        <v>190000</v>
      </c>
    </row>
    <row r="2888" spans="1:5" x14ac:dyDescent="0.25">
      <c r="A2888" s="95"/>
      <c r="B2888" s="130"/>
      <c r="C2888" s="130"/>
      <c r="E2888" s="131"/>
    </row>
    <row r="2889" spans="1:5" x14ac:dyDescent="0.25">
      <c r="A2889" s="94"/>
      <c r="B2889" s="94"/>
      <c r="C2889" s="95"/>
      <c r="D2889" s="108" t="s">
        <v>2350</v>
      </c>
      <c r="E2889" s="94"/>
    </row>
    <row r="2890" spans="1:5" x14ac:dyDescent="0.25">
      <c r="D2890" s="108" t="s">
        <v>83</v>
      </c>
    </row>
    <row r="2916" spans="1:5" x14ac:dyDescent="0.25">
      <c r="A2916" s="93" t="s">
        <v>0</v>
      </c>
      <c r="B2916" s="129"/>
      <c r="C2916" s="129"/>
      <c r="D2916" s="129"/>
      <c r="E2916" s="129"/>
    </row>
    <row r="2917" spans="1:5" x14ac:dyDescent="0.25">
      <c r="A2917" s="93" t="s">
        <v>1</v>
      </c>
      <c r="B2917" s="94"/>
      <c r="C2917" s="95"/>
      <c r="D2917" s="94"/>
      <c r="E2917" s="94"/>
    </row>
    <row r="2918" spans="1:5" x14ac:dyDescent="0.25">
      <c r="A2918" s="93"/>
      <c r="B2918" s="94"/>
      <c r="C2918" s="95"/>
      <c r="D2918" s="94"/>
      <c r="E2918" s="94"/>
    </row>
    <row r="2919" spans="1:5" x14ac:dyDescent="0.25">
      <c r="A2919" s="96" t="s">
        <v>84</v>
      </c>
      <c r="B2919" s="96"/>
      <c r="C2919" s="96"/>
      <c r="D2919" s="96"/>
      <c r="E2919" s="96"/>
    </row>
    <row r="2920" spans="1:5" x14ac:dyDescent="0.25">
      <c r="A2920" s="238" t="s">
        <v>101</v>
      </c>
      <c r="B2920" s="239"/>
      <c r="C2920" s="239"/>
      <c r="D2920" s="239"/>
      <c r="E2920" s="239"/>
    </row>
    <row r="2921" spans="1:5" x14ac:dyDescent="0.25">
      <c r="A2921" s="95"/>
      <c r="B2921" s="95"/>
      <c r="C2921" s="95"/>
      <c r="D2921" s="95"/>
      <c r="E2921" s="95"/>
    </row>
    <row r="2922" spans="1:5" ht="15.75" thickBot="1" x14ac:dyDescent="0.3">
      <c r="A2922" s="94"/>
      <c r="B2922" s="94"/>
      <c r="C2922" s="95"/>
      <c r="D2922" s="94"/>
      <c r="E2922" s="109" t="s">
        <v>2372</v>
      </c>
    </row>
    <row r="2923" spans="1:5" x14ac:dyDescent="0.25">
      <c r="A2923" s="97" t="s">
        <v>16</v>
      </c>
      <c r="B2923" s="98" t="s">
        <v>79</v>
      </c>
      <c r="C2923" s="98" t="s">
        <v>80</v>
      </c>
      <c r="D2923" s="98" t="s">
        <v>77</v>
      </c>
      <c r="E2923" s="99" t="s">
        <v>10</v>
      </c>
    </row>
    <row r="2924" spans="1:5" x14ac:dyDescent="0.25">
      <c r="A2924" s="100">
        <v>1</v>
      </c>
      <c r="B2924" s="151" t="s">
        <v>2374</v>
      </c>
      <c r="C2924" s="152" t="s">
        <v>2378</v>
      </c>
      <c r="D2924" s="103"/>
      <c r="E2924" s="104">
        <v>12500</v>
      </c>
    </row>
    <row r="2925" spans="1:5" x14ac:dyDescent="0.25">
      <c r="A2925" s="100">
        <f>A2924+1</f>
        <v>2</v>
      </c>
      <c r="B2925" s="151" t="s">
        <v>2375</v>
      </c>
      <c r="C2925" s="152" t="s">
        <v>2379</v>
      </c>
      <c r="D2925" s="103"/>
      <c r="E2925" s="104">
        <v>12500</v>
      </c>
    </row>
    <row r="2926" spans="1:5" x14ac:dyDescent="0.25">
      <c r="A2926" s="100">
        <f t="shared" ref="A2926:A2943" si="49">A2925+1</f>
        <v>3</v>
      </c>
      <c r="B2926" s="151" t="s">
        <v>539</v>
      </c>
      <c r="C2926" s="152" t="s">
        <v>532</v>
      </c>
      <c r="D2926" s="103"/>
      <c r="E2926" s="156">
        <v>5000</v>
      </c>
    </row>
    <row r="2927" spans="1:5" x14ac:dyDescent="0.25">
      <c r="A2927" s="100">
        <f t="shared" si="49"/>
        <v>4</v>
      </c>
      <c r="B2927" s="151" t="s">
        <v>262</v>
      </c>
      <c r="C2927" s="152" t="s">
        <v>273</v>
      </c>
      <c r="D2927" s="103"/>
      <c r="E2927" s="156">
        <v>5000</v>
      </c>
    </row>
    <row r="2928" spans="1:5" x14ac:dyDescent="0.25">
      <c r="A2928" s="100">
        <f t="shared" si="49"/>
        <v>5</v>
      </c>
      <c r="B2928" s="151" t="s">
        <v>162</v>
      </c>
      <c r="C2928" s="152" t="s">
        <v>171</v>
      </c>
      <c r="D2928" s="103"/>
      <c r="E2928" s="156">
        <v>5000</v>
      </c>
    </row>
    <row r="2929" spans="1:5" x14ac:dyDescent="0.25">
      <c r="A2929" s="100">
        <f t="shared" si="49"/>
        <v>6</v>
      </c>
      <c r="B2929" s="151" t="s">
        <v>2376</v>
      </c>
      <c r="C2929" s="152" t="s">
        <v>560</v>
      </c>
      <c r="D2929" s="103"/>
      <c r="E2929" s="156">
        <v>5000</v>
      </c>
    </row>
    <row r="2930" spans="1:5" x14ac:dyDescent="0.25">
      <c r="A2930" s="100">
        <f t="shared" si="49"/>
        <v>7</v>
      </c>
      <c r="B2930" s="151" t="s">
        <v>312</v>
      </c>
      <c r="C2930" s="152" t="s">
        <v>2380</v>
      </c>
      <c r="D2930" s="103"/>
      <c r="E2930" s="156">
        <v>12500</v>
      </c>
    </row>
    <row r="2931" spans="1:5" x14ac:dyDescent="0.25">
      <c r="A2931" s="100">
        <f t="shared" si="49"/>
        <v>8</v>
      </c>
      <c r="B2931" s="151" t="s">
        <v>108</v>
      </c>
      <c r="C2931" s="152" t="s">
        <v>114</v>
      </c>
      <c r="D2931" s="103"/>
      <c r="E2931" s="156">
        <v>5000</v>
      </c>
    </row>
    <row r="2932" spans="1:5" x14ac:dyDescent="0.25">
      <c r="A2932" s="100">
        <f t="shared" si="49"/>
        <v>9</v>
      </c>
      <c r="B2932" s="151" t="s">
        <v>2377</v>
      </c>
      <c r="C2932" s="152" t="s">
        <v>2381</v>
      </c>
      <c r="D2932" s="103"/>
      <c r="E2932" s="156">
        <v>5000</v>
      </c>
    </row>
    <row r="2933" spans="1:5" x14ac:dyDescent="0.25">
      <c r="A2933" s="100">
        <f t="shared" si="49"/>
        <v>10</v>
      </c>
      <c r="B2933" s="151" t="s">
        <v>2382</v>
      </c>
      <c r="C2933" s="152" t="s">
        <v>2391</v>
      </c>
      <c r="D2933" s="103"/>
      <c r="E2933" s="156">
        <v>5000</v>
      </c>
    </row>
    <row r="2934" spans="1:5" x14ac:dyDescent="0.25">
      <c r="A2934" s="100">
        <f t="shared" si="49"/>
        <v>11</v>
      </c>
      <c r="B2934" s="151" t="s">
        <v>2383</v>
      </c>
      <c r="C2934" s="152" t="s">
        <v>2392</v>
      </c>
      <c r="D2934" s="103"/>
      <c r="E2934" s="156">
        <v>12500</v>
      </c>
    </row>
    <row r="2935" spans="1:5" x14ac:dyDescent="0.25">
      <c r="A2935" s="100">
        <f t="shared" si="49"/>
        <v>12</v>
      </c>
      <c r="B2935" s="151" t="s">
        <v>2384</v>
      </c>
      <c r="C2935" s="152" t="s">
        <v>2393</v>
      </c>
      <c r="D2935" s="103"/>
      <c r="E2935" s="156">
        <v>5000</v>
      </c>
    </row>
    <row r="2936" spans="1:5" x14ac:dyDescent="0.25">
      <c r="A2936" s="100">
        <f t="shared" si="49"/>
        <v>13</v>
      </c>
      <c r="B2936" s="151" t="s">
        <v>2385</v>
      </c>
      <c r="C2936" s="152" t="s">
        <v>2394</v>
      </c>
      <c r="D2936" s="103"/>
      <c r="E2936" s="156">
        <v>5000</v>
      </c>
    </row>
    <row r="2937" spans="1:5" x14ac:dyDescent="0.25">
      <c r="A2937" s="100">
        <f t="shared" si="49"/>
        <v>14</v>
      </c>
      <c r="B2937" s="151" t="s">
        <v>2386</v>
      </c>
      <c r="C2937" s="152" t="s">
        <v>2395</v>
      </c>
      <c r="D2937" s="103"/>
      <c r="E2937" s="156">
        <v>5000</v>
      </c>
    </row>
    <row r="2938" spans="1:5" x14ac:dyDescent="0.25">
      <c r="A2938" s="100">
        <f t="shared" si="49"/>
        <v>15</v>
      </c>
      <c r="B2938" s="151" t="s">
        <v>685</v>
      </c>
      <c r="C2938" s="152" t="s">
        <v>674</v>
      </c>
      <c r="D2938" s="103"/>
      <c r="E2938" s="156">
        <v>5000</v>
      </c>
    </row>
    <row r="2939" spans="1:5" x14ac:dyDescent="0.25">
      <c r="A2939" s="100">
        <f t="shared" si="49"/>
        <v>16</v>
      </c>
      <c r="B2939" s="151" t="s">
        <v>2387</v>
      </c>
      <c r="C2939" s="152" t="s">
        <v>2396</v>
      </c>
      <c r="D2939" s="103"/>
      <c r="E2939" s="156">
        <v>5000</v>
      </c>
    </row>
    <row r="2940" spans="1:5" x14ac:dyDescent="0.25">
      <c r="A2940" s="100">
        <f t="shared" si="49"/>
        <v>17</v>
      </c>
      <c r="B2940" s="151" t="s">
        <v>2388</v>
      </c>
      <c r="C2940" s="152" t="s">
        <v>608</v>
      </c>
      <c r="D2940" s="103"/>
      <c r="E2940" s="156">
        <v>5000</v>
      </c>
    </row>
    <row r="2941" spans="1:5" x14ac:dyDescent="0.25">
      <c r="A2941" s="100">
        <f t="shared" si="49"/>
        <v>18</v>
      </c>
      <c r="B2941" s="151" t="s">
        <v>2389</v>
      </c>
      <c r="C2941" s="152" t="s">
        <v>2397</v>
      </c>
      <c r="D2941" s="103"/>
      <c r="E2941" s="156">
        <v>22500</v>
      </c>
    </row>
    <row r="2942" spans="1:5" x14ac:dyDescent="0.25">
      <c r="A2942" s="100">
        <f t="shared" si="49"/>
        <v>19</v>
      </c>
      <c r="B2942" s="151" t="s">
        <v>405</v>
      </c>
      <c r="C2942" s="152" t="s">
        <v>2398</v>
      </c>
      <c r="D2942" s="103"/>
      <c r="E2942" s="156">
        <v>12500</v>
      </c>
    </row>
    <row r="2943" spans="1:5" x14ac:dyDescent="0.25">
      <c r="A2943" s="100">
        <f t="shared" si="49"/>
        <v>20</v>
      </c>
      <c r="B2943" s="151" t="s">
        <v>2390</v>
      </c>
      <c r="C2943" s="152" t="s">
        <v>2399</v>
      </c>
      <c r="D2943" s="103"/>
      <c r="E2943" s="156">
        <v>22500</v>
      </c>
    </row>
    <row r="2944" spans="1:5" x14ac:dyDescent="0.25">
      <c r="A2944" s="100"/>
      <c r="B2944" s="151"/>
      <c r="C2944" s="152"/>
      <c r="D2944" s="154"/>
      <c r="E2944" s="155"/>
    </row>
    <row r="2945" spans="1:5" ht="15.75" thickBot="1" x14ac:dyDescent="0.3">
      <c r="A2945" s="105"/>
      <c r="B2945" s="240" t="s">
        <v>10</v>
      </c>
      <c r="C2945" s="241"/>
      <c r="D2945" s="242"/>
      <c r="E2945" s="106">
        <f>SUM(E2924:E2943)</f>
        <v>172500</v>
      </c>
    </row>
    <row r="2946" spans="1:5" x14ac:dyDescent="0.25">
      <c r="A2946" s="95"/>
      <c r="B2946" s="130"/>
      <c r="C2946" s="130"/>
      <c r="E2946" s="131"/>
    </row>
    <row r="2947" spans="1:5" x14ac:dyDescent="0.25">
      <c r="A2947" s="94"/>
      <c r="B2947" s="94"/>
      <c r="C2947" s="95"/>
      <c r="D2947" s="108" t="s">
        <v>2373</v>
      </c>
      <c r="E2947" s="94"/>
    </row>
    <row r="2948" spans="1:5" x14ac:dyDescent="0.25">
      <c r="D2948" s="108" t="s">
        <v>83</v>
      </c>
    </row>
    <row r="2969" spans="1:5" x14ac:dyDescent="0.25">
      <c r="A2969" s="93" t="s">
        <v>0</v>
      </c>
      <c r="B2969" s="129"/>
      <c r="C2969" s="129"/>
      <c r="D2969" s="129"/>
      <c r="E2969" s="129"/>
    </row>
    <row r="2970" spans="1:5" x14ac:dyDescent="0.25">
      <c r="A2970" s="93" t="s">
        <v>1</v>
      </c>
      <c r="B2970" s="94"/>
      <c r="C2970" s="95"/>
      <c r="D2970" s="94"/>
      <c r="E2970" s="94"/>
    </row>
    <row r="2971" spans="1:5" x14ac:dyDescent="0.25">
      <c r="A2971" s="93"/>
      <c r="B2971" s="94"/>
      <c r="C2971" s="95"/>
      <c r="D2971" s="94"/>
      <c r="E2971" s="94"/>
    </row>
    <row r="2972" spans="1:5" x14ac:dyDescent="0.25">
      <c r="A2972" s="96" t="s">
        <v>84</v>
      </c>
      <c r="B2972" s="96"/>
      <c r="C2972" s="96"/>
      <c r="D2972" s="96"/>
      <c r="E2972" s="96"/>
    </row>
    <row r="2973" spans="1:5" x14ac:dyDescent="0.25">
      <c r="A2973" s="238" t="s">
        <v>101</v>
      </c>
      <c r="B2973" s="239"/>
      <c r="C2973" s="239"/>
      <c r="D2973" s="239"/>
      <c r="E2973" s="239"/>
    </row>
    <row r="2974" spans="1:5" x14ac:dyDescent="0.25">
      <c r="A2974" s="95"/>
      <c r="B2974" s="95"/>
      <c r="C2974" s="95"/>
      <c r="D2974" s="95"/>
      <c r="E2974" s="95"/>
    </row>
    <row r="2975" spans="1:5" ht="15.75" thickBot="1" x14ac:dyDescent="0.3">
      <c r="A2975" s="94"/>
      <c r="B2975" s="94"/>
      <c r="C2975" s="95"/>
      <c r="D2975" s="94"/>
      <c r="E2975" s="109" t="s">
        <v>2400</v>
      </c>
    </row>
    <row r="2976" spans="1:5" x14ac:dyDescent="0.25">
      <c r="A2976" s="97" t="s">
        <v>16</v>
      </c>
      <c r="B2976" s="98" t="s">
        <v>79</v>
      </c>
      <c r="C2976" s="98" t="s">
        <v>80</v>
      </c>
      <c r="D2976" s="98" t="s">
        <v>77</v>
      </c>
      <c r="E2976" s="99" t="s">
        <v>10</v>
      </c>
    </row>
    <row r="2977" spans="1:5" x14ac:dyDescent="0.25">
      <c r="A2977" s="100">
        <v>1</v>
      </c>
      <c r="B2977" s="151" t="s">
        <v>2402</v>
      </c>
      <c r="C2977" s="152" t="s">
        <v>442</v>
      </c>
      <c r="D2977" s="103"/>
      <c r="E2977" s="104">
        <v>7500</v>
      </c>
    </row>
    <row r="2978" spans="1:5" x14ac:dyDescent="0.25">
      <c r="A2978" s="100">
        <f>A2977+1</f>
        <v>2</v>
      </c>
      <c r="B2978" s="151" t="s">
        <v>105</v>
      </c>
      <c r="C2978" s="152" t="s">
        <v>111</v>
      </c>
      <c r="D2978" s="103"/>
      <c r="E2978" s="104">
        <v>5000</v>
      </c>
    </row>
    <row r="2979" spans="1:5" x14ac:dyDescent="0.25">
      <c r="A2979" s="100">
        <f t="shared" ref="A2979:A2996" si="50">A2978+1</f>
        <v>3</v>
      </c>
      <c r="B2979" s="151" t="s">
        <v>161</v>
      </c>
      <c r="C2979" s="152" t="s">
        <v>2403</v>
      </c>
      <c r="D2979" s="103"/>
      <c r="E2979" s="156">
        <v>22500</v>
      </c>
    </row>
    <row r="2980" spans="1:5" x14ac:dyDescent="0.25">
      <c r="A2980" s="100">
        <f t="shared" si="50"/>
        <v>4</v>
      </c>
      <c r="B2980" s="151" t="s">
        <v>266</v>
      </c>
      <c r="C2980" s="152" t="s">
        <v>277</v>
      </c>
      <c r="D2980" s="103"/>
      <c r="E2980" s="156">
        <v>12500</v>
      </c>
    </row>
    <row r="2981" spans="1:5" x14ac:dyDescent="0.25">
      <c r="A2981" s="100">
        <f t="shared" si="50"/>
        <v>5</v>
      </c>
      <c r="B2981" s="151" t="s">
        <v>2404</v>
      </c>
      <c r="C2981" s="152" t="s">
        <v>2411</v>
      </c>
      <c r="D2981" s="103"/>
      <c r="E2981" s="156">
        <v>5000</v>
      </c>
    </row>
    <row r="2982" spans="1:5" x14ac:dyDescent="0.25">
      <c r="A2982" s="100">
        <f t="shared" si="50"/>
        <v>6</v>
      </c>
      <c r="B2982" s="151" t="s">
        <v>2405</v>
      </c>
      <c r="C2982" s="152" t="s">
        <v>2412</v>
      </c>
      <c r="D2982" s="103"/>
      <c r="E2982" s="156">
        <v>42500</v>
      </c>
    </row>
    <row r="2983" spans="1:5" x14ac:dyDescent="0.25">
      <c r="A2983" s="100">
        <f t="shared" si="50"/>
        <v>7</v>
      </c>
      <c r="B2983" s="151" t="s">
        <v>862</v>
      </c>
      <c r="C2983" s="152" t="s">
        <v>2413</v>
      </c>
      <c r="D2983" s="103"/>
      <c r="E2983" s="156">
        <v>5000</v>
      </c>
    </row>
    <row r="2984" spans="1:5" x14ac:dyDescent="0.25">
      <c r="A2984" s="100">
        <f t="shared" si="50"/>
        <v>8</v>
      </c>
      <c r="B2984" s="151" t="s">
        <v>164</v>
      </c>
      <c r="C2984" s="152" t="s">
        <v>175</v>
      </c>
      <c r="D2984" s="103"/>
      <c r="E2984" s="156">
        <v>5000</v>
      </c>
    </row>
    <row r="2985" spans="1:5" x14ac:dyDescent="0.25">
      <c r="A2985" s="100">
        <f t="shared" si="50"/>
        <v>9</v>
      </c>
      <c r="B2985" s="151" t="s">
        <v>2406</v>
      </c>
      <c r="C2985" s="152" t="s">
        <v>2414</v>
      </c>
      <c r="D2985" s="103"/>
      <c r="E2985" s="156">
        <v>12500</v>
      </c>
    </row>
    <row r="2986" spans="1:5" x14ac:dyDescent="0.25">
      <c r="A2986" s="100">
        <f t="shared" si="50"/>
        <v>10</v>
      </c>
      <c r="B2986" s="151" t="s">
        <v>2407</v>
      </c>
      <c r="C2986" s="152" t="s">
        <v>2415</v>
      </c>
      <c r="D2986" s="103"/>
      <c r="E2986" s="156">
        <v>5000</v>
      </c>
    </row>
    <row r="2987" spans="1:5" x14ac:dyDescent="0.25">
      <c r="A2987" s="100">
        <f t="shared" si="50"/>
        <v>11</v>
      </c>
      <c r="B2987" s="151" t="s">
        <v>2408</v>
      </c>
      <c r="C2987" s="152" t="s">
        <v>2416</v>
      </c>
      <c r="D2987" s="103"/>
      <c r="E2987" s="156">
        <v>42500</v>
      </c>
    </row>
    <row r="2988" spans="1:5" x14ac:dyDescent="0.25">
      <c r="A2988" s="100">
        <f t="shared" si="50"/>
        <v>12</v>
      </c>
      <c r="B2988" s="151" t="s">
        <v>2409</v>
      </c>
      <c r="C2988" s="152" t="s">
        <v>2417</v>
      </c>
      <c r="D2988" s="103"/>
      <c r="E2988" s="156">
        <v>5000</v>
      </c>
    </row>
    <row r="2989" spans="1:5" x14ac:dyDescent="0.25">
      <c r="A2989" s="100">
        <f t="shared" si="50"/>
        <v>13</v>
      </c>
      <c r="B2989" s="151" t="s">
        <v>2410</v>
      </c>
      <c r="C2989" s="152" t="s">
        <v>2418</v>
      </c>
      <c r="D2989" s="103"/>
      <c r="E2989" s="156">
        <v>12500</v>
      </c>
    </row>
    <row r="2990" spans="1:5" x14ac:dyDescent="0.25">
      <c r="A2990" s="100">
        <f t="shared" si="50"/>
        <v>14</v>
      </c>
      <c r="B2990" s="151" t="s">
        <v>686</v>
      </c>
      <c r="C2990" s="152" t="s">
        <v>693</v>
      </c>
      <c r="D2990" s="103"/>
      <c r="E2990" s="156">
        <v>5000</v>
      </c>
    </row>
    <row r="2991" spans="1:5" x14ac:dyDescent="0.25">
      <c r="A2991" s="100">
        <f t="shared" si="50"/>
        <v>15</v>
      </c>
      <c r="B2991" s="151" t="s">
        <v>2421</v>
      </c>
      <c r="C2991" s="152" t="s">
        <v>2419</v>
      </c>
      <c r="D2991" s="103"/>
      <c r="E2991" s="156">
        <v>12500</v>
      </c>
    </row>
    <row r="2992" spans="1:5" x14ac:dyDescent="0.25">
      <c r="A2992" s="100">
        <f t="shared" si="50"/>
        <v>16</v>
      </c>
      <c r="B2992" s="151" t="s">
        <v>1052</v>
      </c>
      <c r="C2992" s="152" t="s">
        <v>1053</v>
      </c>
      <c r="D2992" s="103"/>
      <c r="E2992" s="156">
        <v>7500</v>
      </c>
    </row>
    <row r="2993" spans="1:5" x14ac:dyDescent="0.25">
      <c r="A2993" s="100">
        <f t="shared" si="50"/>
        <v>17</v>
      </c>
      <c r="B2993" s="151" t="s">
        <v>196</v>
      </c>
      <c r="C2993" s="152" t="s">
        <v>208</v>
      </c>
      <c r="D2993" s="103"/>
      <c r="E2993" s="156">
        <v>5000</v>
      </c>
    </row>
    <row r="2994" spans="1:5" x14ac:dyDescent="0.25">
      <c r="A2994" s="100">
        <f t="shared" si="50"/>
        <v>18</v>
      </c>
      <c r="B2994" s="151" t="s">
        <v>603</v>
      </c>
      <c r="C2994" s="152" t="s">
        <v>610</v>
      </c>
      <c r="D2994" s="103"/>
      <c r="E2994" s="156">
        <v>5000</v>
      </c>
    </row>
    <row r="2995" spans="1:5" x14ac:dyDescent="0.25">
      <c r="A2995" s="100">
        <f t="shared" si="50"/>
        <v>19</v>
      </c>
      <c r="B2995" s="151" t="s">
        <v>199</v>
      </c>
      <c r="C2995" s="152" t="s">
        <v>211</v>
      </c>
      <c r="D2995" s="103"/>
      <c r="E2995" s="156">
        <v>5000</v>
      </c>
    </row>
    <row r="2996" spans="1:5" x14ac:dyDescent="0.25">
      <c r="A2996" s="100">
        <f t="shared" si="50"/>
        <v>20</v>
      </c>
      <c r="B2996" s="151" t="s">
        <v>2422</v>
      </c>
      <c r="C2996" s="152" t="s">
        <v>2420</v>
      </c>
      <c r="D2996" s="103"/>
      <c r="E2996" s="156">
        <v>5000</v>
      </c>
    </row>
    <row r="2997" spans="1:5" x14ac:dyDescent="0.25">
      <c r="A2997" s="100"/>
      <c r="B2997" s="151"/>
      <c r="C2997" s="152"/>
      <c r="D2997" s="154"/>
      <c r="E2997" s="155"/>
    </row>
    <row r="2998" spans="1:5" ht="15.75" thickBot="1" x14ac:dyDescent="0.3">
      <c r="A2998" s="105"/>
      <c r="B2998" s="240" t="s">
        <v>10</v>
      </c>
      <c r="C2998" s="241"/>
      <c r="D2998" s="242"/>
      <c r="E2998" s="106">
        <f>SUM(E2977:E2996)</f>
        <v>227500</v>
      </c>
    </row>
    <row r="2999" spans="1:5" x14ac:dyDescent="0.25">
      <c r="A2999" s="95"/>
      <c r="B2999" s="130"/>
      <c r="C2999" s="130"/>
      <c r="E2999" s="131"/>
    </row>
    <row r="3000" spans="1:5" x14ac:dyDescent="0.25">
      <c r="A3000" s="94"/>
      <c r="B3000" s="94"/>
      <c r="C3000" s="95"/>
      <c r="D3000" s="108" t="s">
        <v>2401</v>
      </c>
      <c r="E3000" s="94"/>
    </row>
    <row r="3001" spans="1:5" x14ac:dyDescent="0.25">
      <c r="D3001" s="108" t="s">
        <v>83</v>
      </c>
    </row>
    <row r="3022" spans="1:5" x14ac:dyDescent="0.25">
      <c r="A3022" s="93" t="s">
        <v>0</v>
      </c>
      <c r="B3022" s="129"/>
      <c r="C3022" s="129"/>
      <c r="D3022" s="129"/>
      <c r="E3022" s="129"/>
    </row>
    <row r="3023" spans="1:5" x14ac:dyDescent="0.25">
      <c r="A3023" s="93" t="s">
        <v>1</v>
      </c>
      <c r="B3023" s="94"/>
      <c r="C3023" s="95"/>
      <c r="D3023" s="94"/>
      <c r="E3023" s="94"/>
    </row>
    <row r="3024" spans="1:5" x14ac:dyDescent="0.25">
      <c r="A3024" s="93"/>
      <c r="B3024" s="94"/>
      <c r="C3024" s="95"/>
      <c r="D3024" s="94"/>
      <c r="E3024" s="94"/>
    </row>
    <row r="3025" spans="1:5" x14ac:dyDescent="0.25">
      <c r="A3025" s="96" t="s">
        <v>84</v>
      </c>
      <c r="B3025" s="96"/>
      <c r="C3025" s="96"/>
      <c r="D3025" s="96"/>
      <c r="E3025" s="96"/>
    </row>
    <row r="3026" spans="1:5" x14ac:dyDescent="0.25">
      <c r="A3026" s="238" t="s">
        <v>101</v>
      </c>
      <c r="B3026" s="239"/>
      <c r="C3026" s="239"/>
      <c r="D3026" s="239"/>
      <c r="E3026" s="239"/>
    </row>
    <row r="3027" spans="1:5" x14ac:dyDescent="0.25">
      <c r="A3027" s="95"/>
      <c r="B3027" s="95"/>
      <c r="C3027" s="95"/>
      <c r="D3027" s="95"/>
      <c r="E3027" s="95"/>
    </row>
    <row r="3028" spans="1:5" ht="15.75" thickBot="1" x14ac:dyDescent="0.3">
      <c r="A3028" s="94"/>
      <c r="B3028" s="94"/>
      <c r="C3028" s="95"/>
      <c r="D3028" s="94"/>
      <c r="E3028" s="109" t="s">
        <v>2423</v>
      </c>
    </row>
    <row r="3029" spans="1:5" x14ac:dyDescent="0.25">
      <c r="A3029" s="97" t="s">
        <v>16</v>
      </c>
      <c r="B3029" s="98" t="s">
        <v>79</v>
      </c>
      <c r="C3029" s="98" t="s">
        <v>80</v>
      </c>
      <c r="D3029" s="98" t="s">
        <v>77</v>
      </c>
      <c r="E3029" s="99" t="s">
        <v>10</v>
      </c>
    </row>
    <row r="3030" spans="1:5" x14ac:dyDescent="0.25">
      <c r="A3030" s="100">
        <v>1</v>
      </c>
      <c r="B3030" s="151" t="s">
        <v>2425</v>
      </c>
      <c r="C3030" s="152" t="s">
        <v>2429</v>
      </c>
      <c r="D3030" s="103"/>
      <c r="E3030" s="104">
        <v>32500</v>
      </c>
    </row>
    <row r="3031" spans="1:5" x14ac:dyDescent="0.25">
      <c r="A3031" s="100">
        <f>A3030+1</f>
        <v>2</v>
      </c>
      <c r="B3031" s="151" t="s">
        <v>2426</v>
      </c>
      <c r="C3031" s="152" t="s">
        <v>2430</v>
      </c>
      <c r="D3031" s="103"/>
      <c r="E3031" s="104">
        <v>52500</v>
      </c>
    </row>
    <row r="3032" spans="1:5" x14ac:dyDescent="0.25">
      <c r="A3032" s="100">
        <f t="shared" ref="A3032:A3054" si="51">A3031+1</f>
        <v>3</v>
      </c>
      <c r="B3032" s="151" t="s">
        <v>2427</v>
      </c>
      <c r="C3032" s="152" t="s">
        <v>1008</v>
      </c>
      <c r="D3032" s="103"/>
      <c r="E3032" s="156">
        <v>5000</v>
      </c>
    </row>
    <row r="3033" spans="1:5" x14ac:dyDescent="0.25">
      <c r="A3033" s="100">
        <f t="shared" si="51"/>
        <v>4</v>
      </c>
      <c r="B3033" s="151" t="s">
        <v>2428</v>
      </c>
      <c r="C3033" s="152" t="s">
        <v>2431</v>
      </c>
      <c r="D3033" s="103"/>
      <c r="E3033" s="156">
        <v>32500</v>
      </c>
    </row>
    <row r="3034" spans="1:5" x14ac:dyDescent="0.25">
      <c r="A3034" s="100">
        <f t="shared" si="51"/>
        <v>5</v>
      </c>
      <c r="B3034" s="151" t="s">
        <v>2433</v>
      </c>
      <c r="C3034" s="152" t="s">
        <v>2432</v>
      </c>
      <c r="D3034" s="103"/>
      <c r="E3034" s="156">
        <v>5000</v>
      </c>
    </row>
    <row r="3035" spans="1:5" x14ac:dyDescent="0.25">
      <c r="A3035" s="100">
        <f t="shared" si="51"/>
        <v>6</v>
      </c>
      <c r="B3035" s="151" t="s">
        <v>2437</v>
      </c>
      <c r="C3035" s="152" t="s">
        <v>2434</v>
      </c>
      <c r="D3035" s="103"/>
      <c r="E3035" s="156">
        <v>12500</v>
      </c>
    </row>
    <row r="3036" spans="1:5" x14ac:dyDescent="0.25">
      <c r="A3036" s="100">
        <f t="shared" si="51"/>
        <v>7</v>
      </c>
      <c r="B3036" s="151" t="s">
        <v>1003</v>
      </c>
      <c r="C3036" s="152" t="s">
        <v>1009</v>
      </c>
      <c r="D3036" s="103"/>
      <c r="E3036" s="156">
        <v>5000</v>
      </c>
    </row>
    <row r="3037" spans="1:5" x14ac:dyDescent="0.25">
      <c r="A3037" s="100">
        <f t="shared" si="51"/>
        <v>8</v>
      </c>
      <c r="B3037" s="151" t="s">
        <v>2438</v>
      </c>
      <c r="C3037" s="152" t="s">
        <v>2435</v>
      </c>
      <c r="D3037" s="103"/>
      <c r="E3037" s="156">
        <v>32500</v>
      </c>
    </row>
    <row r="3038" spans="1:5" x14ac:dyDescent="0.25">
      <c r="A3038" s="100">
        <f t="shared" si="51"/>
        <v>9</v>
      </c>
      <c r="B3038" s="151" t="s">
        <v>2439</v>
      </c>
      <c r="C3038" s="152" t="s">
        <v>2436</v>
      </c>
      <c r="D3038" s="103"/>
      <c r="E3038" s="156">
        <v>12500</v>
      </c>
    </row>
    <row r="3039" spans="1:5" x14ac:dyDescent="0.25">
      <c r="A3039" s="100">
        <f t="shared" si="51"/>
        <v>10</v>
      </c>
      <c r="B3039" s="151" t="s">
        <v>2440</v>
      </c>
      <c r="C3039" s="152" t="s">
        <v>2445</v>
      </c>
      <c r="D3039" s="103"/>
      <c r="E3039" s="156">
        <v>42500</v>
      </c>
    </row>
    <row r="3040" spans="1:5" x14ac:dyDescent="0.25">
      <c r="A3040" s="100">
        <f t="shared" si="51"/>
        <v>11</v>
      </c>
      <c r="B3040" s="151" t="s">
        <v>2441</v>
      </c>
      <c r="C3040" s="152" t="s">
        <v>2446</v>
      </c>
      <c r="D3040" s="103"/>
      <c r="E3040" s="156">
        <v>50000</v>
      </c>
    </row>
    <row r="3041" spans="1:5" x14ac:dyDescent="0.25">
      <c r="A3041" s="100">
        <f t="shared" si="51"/>
        <v>12</v>
      </c>
      <c r="B3041" s="151" t="s">
        <v>572</v>
      </c>
      <c r="C3041" s="152" t="s">
        <v>580</v>
      </c>
      <c r="D3041" s="103"/>
      <c r="E3041" s="156">
        <v>5000</v>
      </c>
    </row>
    <row r="3042" spans="1:5" x14ac:dyDescent="0.25">
      <c r="A3042" s="100">
        <f t="shared" si="51"/>
        <v>13</v>
      </c>
      <c r="B3042" s="151" t="s">
        <v>2442</v>
      </c>
      <c r="C3042" s="152" t="s">
        <v>2447</v>
      </c>
      <c r="D3042" s="103"/>
      <c r="E3042" s="156">
        <v>12500</v>
      </c>
    </row>
    <row r="3043" spans="1:5" x14ac:dyDescent="0.25">
      <c r="A3043" s="100">
        <f t="shared" si="51"/>
        <v>14</v>
      </c>
      <c r="B3043" s="151" t="s">
        <v>2443</v>
      </c>
      <c r="C3043" s="152" t="s">
        <v>2448</v>
      </c>
      <c r="D3043" s="103"/>
      <c r="E3043" s="156">
        <v>22500</v>
      </c>
    </row>
    <row r="3044" spans="1:5" x14ac:dyDescent="0.25">
      <c r="A3044" s="100">
        <f t="shared" si="51"/>
        <v>15</v>
      </c>
      <c r="B3044" s="151" t="s">
        <v>2444</v>
      </c>
      <c r="C3044" s="152" t="s">
        <v>2449</v>
      </c>
      <c r="D3044" s="103"/>
      <c r="E3044" s="156">
        <v>52500</v>
      </c>
    </row>
    <row r="3045" spans="1:5" x14ac:dyDescent="0.25">
      <c r="A3045" s="100">
        <f t="shared" si="51"/>
        <v>16</v>
      </c>
      <c r="B3045" s="151" t="s">
        <v>687</v>
      </c>
      <c r="C3045" s="152" t="s">
        <v>694</v>
      </c>
      <c r="D3045" s="103"/>
      <c r="E3045" s="156">
        <v>5000</v>
      </c>
    </row>
    <row r="3046" spans="1:5" x14ac:dyDescent="0.25">
      <c r="A3046" s="100">
        <f t="shared" si="51"/>
        <v>17</v>
      </c>
      <c r="B3046" s="151" t="s">
        <v>2450</v>
      </c>
      <c r="C3046" s="152" t="s">
        <v>2456</v>
      </c>
      <c r="D3046" s="103"/>
      <c r="E3046" s="156">
        <v>5000</v>
      </c>
    </row>
    <row r="3047" spans="1:5" x14ac:dyDescent="0.25">
      <c r="A3047" s="100">
        <f t="shared" si="51"/>
        <v>18</v>
      </c>
      <c r="B3047" s="151" t="s">
        <v>2451</v>
      </c>
      <c r="C3047" s="152" t="s">
        <v>2457</v>
      </c>
      <c r="D3047" s="103"/>
      <c r="E3047" s="156">
        <v>5000</v>
      </c>
    </row>
    <row r="3048" spans="1:5" x14ac:dyDescent="0.25">
      <c r="A3048" s="100">
        <f t="shared" si="51"/>
        <v>19</v>
      </c>
      <c r="B3048" s="151" t="s">
        <v>2452</v>
      </c>
      <c r="C3048" s="152" t="s">
        <v>2458</v>
      </c>
      <c r="D3048" s="103"/>
      <c r="E3048" s="156">
        <v>12500</v>
      </c>
    </row>
    <row r="3049" spans="1:5" x14ac:dyDescent="0.25">
      <c r="A3049" s="100">
        <f t="shared" si="51"/>
        <v>20</v>
      </c>
      <c r="B3049" s="151" t="s">
        <v>2453</v>
      </c>
      <c r="C3049" s="152" t="s">
        <v>2459</v>
      </c>
      <c r="D3049" s="103"/>
      <c r="E3049" s="156">
        <v>5000</v>
      </c>
    </row>
    <row r="3050" spans="1:5" x14ac:dyDescent="0.25">
      <c r="A3050" s="100">
        <f t="shared" si="51"/>
        <v>21</v>
      </c>
      <c r="B3050" s="151" t="s">
        <v>1623</v>
      </c>
      <c r="C3050" s="152" t="s">
        <v>2460</v>
      </c>
      <c r="D3050" s="103"/>
      <c r="E3050" s="156">
        <v>12500</v>
      </c>
    </row>
    <row r="3051" spans="1:5" x14ac:dyDescent="0.25">
      <c r="A3051" s="100">
        <f t="shared" si="51"/>
        <v>22</v>
      </c>
      <c r="B3051" s="151" t="s">
        <v>2454</v>
      </c>
      <c r="C3051" s="152" t="s">
        <v>2461</v>
      </c>
      <c r="D3051" s="103"/>
      <c r="E3051" s="156">
        <v>12500</v>
      </c>
    </row>
    <row r="3052" spans="1:5" x14ac:dyDescent="0.25">
      <c r="A3052" s="100">
        <f t="shared" si="51"/>
        <v>23</v>
      </c>
      <c r="B3052" s="151" t="s">
        <v>2455</v>
      </c>
      <c r="C3052" s="152" t="s">
        <v>2462</v>
      </c>
      <c r="D3052" s="103"/>
      <c r="E3052" s="156">
        <v>22500</v>
      </c>
    </row>
    <row r="3053" spans="1:5" x14ac:dyDescent="0.25">
      <c r="A3053" s="100">
        <f t="shared" si="51"/>
        <v>24</v>
      </c>
      <c r="B3053" s="151" t="s">
        <v>227</v>
      </c>
      <c r="C3053" s="152" t="s">
        <v>220</v>
      </c>
      <c r="D3053" s="103"/>
      <c r="E3053" s="156">
        <v>5000</v>
      </c>
    </row>
    <row r="3054" spans="1:5" x14ac:dyDescent="0.25">
      <c r="A3054" s="100">
        <f t="shared" si="51"/>
        <v>25</v>
      </c>
      <c r="B3054" s="151" t="s">
        <v>2464</v>
      </c>
      <c r="C3054" s="152" t="s">
        <v>2463</v>
      </c>
      <c r="D3054" s="103"/>
      <c r="E3054" s="156">
        <v>5000</v>
      </c>
    </row>
    <row r="3055" spans="1:5" x14ac:dyDescent="0.25">
      <c r="A3055" s="100"/>
      <c r="B3055" s="151"/>
      <c r="C3055" s="152"/>
      <c r="D3055" s="154"/>
      <c r="E3055" s="155"/>
    </row>
    <row r="3056" spans="1:5" ht="15.75" thickBot="1" x14ac:dyDescent="0.3">
      <c r="A3056" s="105"/>
      <c r="B3056" s="240" t="s">
        <v>10</v>
      </c>
      <c r="C3056" s="241"/>
      <c r="D3056" s="242"/>
      <c r="E3056" s="106">
        <f>SUM(E3030:E3054)</f>
        <v>465000</v>
      </c>
    </row>
    <row r="3057" spans="1:5" x14ac:dyDescent="0.25">
      <c r="A3057" s="95"/>
      <c r="B3057" s="130"/>
      <c r="C3057" s="130"/>
      <c r="E3057" s="131"/>
    </row>
    <row r="3058" spans="1:5" x14ac:dyDescent="0.25">
      <c r="A3058" s="94"/>
      <c r="B3058" s="94"/>
      <c r="C3058" s="95"/>
      <c r="D3058" s="108" t="s">
        <v>2424</v>
      </c>
      <c r="E3058" s="94"/>
    </row>
    <row r="3059" spans="1:5" x14ac:dyDescent="0.25">
      <c r="D3059" s="108" t="s">
        <v>83</v>
      </c>
    </row>
    <row r="3075" spans="1:5" x14ac:dyDescent="0.25">
      <c r="A3075" s="93" t="s">
        <v>0</v>
      </c>
      <c r="B3075" s="129"/>
      <c r="C3075" s="129"/>
      <c r="D3075" s="129"/>
      <c r="E3075" s="129"/>
    </row>
    <row r="3076" spans="1:5" x14ac:dyDescent="0.25">
      <c r="A3076" s="93" t="s">
        <v>1</v>
      </c>
      <c r="B3076" s="94"/>
      <c r="C3076" s="95"/>
      <c r="D3076" s="94"/>
      <c r="E3076" s="94"/>
    </row>
    <row r="3077" spans="1:5" x14ac:dyDescent="0.25">
      <c r="A3077" s="93"/>
      <c r="B3077" s="94"/>
      <c r="C3077" s="95"/>
      <c r="D3077" s="94"/>
      <c r="E3077" s="94"/>
    </row>
    <row r="3078" spans="1:5" x14ac:dyDescent="0.25">
      <c r="A3078" s="96" t="s">
        <v>84</v>
      </c>
      <c r="B3078" s="96"/>
      <c r="C3078" s="96"/>
      <c r="D3078" s="96"/>
      <c r="E3078" s="96"/>
    </row>
    <row r="3079" spans="1:5" x14ac:dyDescent="0.25">
      <c r="A3079" s="238" t="s">
        <v>101</v>
      </c>
      <c r="B3079" s="239"/>
      <c r="C3079" s="239"/>
      <c r="D3079" s="239"/>
      <c r="E3079" s="239"/>
    </row>
    <row r="3080" spans="1:5" x14ac:dyDescent="0.25">
      <c r="A3080" s="95"/>
      <c r="B3080" s="95"/>
      <c r="C3080" s="95"/>
      <c r="D3080" s="95"/>
      <c r="E3080" s="95"/>
    </row>
    <row r="3081" spans="1:5" ht="15.75" thickBot="1" x14ac:dyDescent="0.3">
      <c r="A3081" s="94"/>
      <c r="B3081" s="94"/>
      <c r="C3081" s="95"/>
      <c r="D3081" s="94"/>
      <c r="E3081" s="109" t="s">
        <v>2465</v>
      </c>
    </row>
    <row r="3082" spans="1:5" x14ac:dyDescent="0.25">
      <c r="A3082" s="97" t="s">
        <v>16</v>
      </c>
      <c r="B3082" s="98" t="s">
        <v>79</v>
      </c>
      <c r="C3082" s="98" t="s">
        <v>80</v>
      </c>
      <c r="D3082" s="98" t="s">
        <v>77</v>
      </c>
      <c r="E3082" s="99" t="s">
        <v>10</v>
      </c>
    </row>
    <row r="3083" spans="1:5" x14ac:dyDescent="0.25">
      <c r="A3083" s="100">
        <v>1</v>
      </c>
      <c r="B3083" s="151" t="s">
        <v>2467</v>
      </c>
      <c r="C3083" s="152" t="s">
        <v>2470</v>
      </c>
      <c r="D3083" s="103"/>
      <c r="E3083" s="104">
        <v>32500</v>
      </c>
    </row>
    <row r="3084" spans="1:5" x14ac:dyDescent="0.25">
      <c r="A3084" s="100">
        <f>A3083+1</f>
        <v>2</v>
      </c>
      <c r="B3084" s="151" t="s">
        <v>1375</v>
      </c>
      <c r="C3084" s="152" t="s">
        <v>1386</v>
      </c>
      <c r="D3084" s="103"/>
      <c r="E3084" s="104">
        <v>5000</v>
      </c>
    </row>
    <row r="3085" spans="1:5" x14ac:dyDescent="0.25">
      <c r="A3085" s="100">
        <f t="shared" ref="A3085:A3105" si="52">A3084+1</f>
        <v>3</v>
      </c>
      <c r="B3085" s="151" t="s">
        <v>2468</v>
      </c>
      <c r="C3085" s="152" t="s">
        <v>2471</v>
      </c>
      <c r="D3085" s="103"/>
      <c r="E3085" s="156">
        <v>5000</v>
      </c>
    </row>
    <row r="3086" spans="1:5" x14ac:dyDescent="0.25">
      <c r="A3086" s="100">
        <f t="shared" si="52"/>
        <v>4</v>
      </c>
      <c r="B3086" s="151" t="s">
        <v>2469</v>
      </c>
      <c r="C3086" s="152" t="s">
        <v>2472</v>
      </c>
      <c r="D3086" s="103"/>
      <c r="E3086" s="156">
        <v>5000</v>
      </c>
    </row>
    <row r="3087" spans="1:5" x14ac:dyDescent="0.25">
      <c r="A3087" s="100">
        <f t="shared" si="52"/>
        <v>5</v>
      </c>
      <c r="B3087" s="151" t="s">
        <v>339</v>
      </c>
      <c r="C3087" s="152" t="s">
        <v>346</v>
      </c>
      <c r="D3087" s="103"/>
      <c r="E3087" s="156">
        <v>5000</v>
      </c>
    </row>
    <row r="3088" spans="1:5" x14ac:dyDescent="0.25">
      <c r="A3088" s="100">
        <f t="shared" si="52"/>
        <v>6</v>
      </c>
      <c r="B3088" s="151" t="s">
        <v>2474</v>
      </c>
      <c r="C3088" s="152" t="s">
        <v>2473</v>
      </c>
      <c r="D3088" s="103"/>
      <c r="E3088" s="156">
        <v>5000</v>
      </c>
    </row>
    <row r="3089" spans="1:5" x14ac:dyDescent="0.25">
      <c r="A3089" s="100">
        <f t="shared" si="52"/>
        <v>7</v>
      </c>
      <c r="B3089" s="151" t="s">
        <v>1255</v>
      </c>
      <c r="C3089" s="152" t="s">
        <v>1228</v>
      </c>
      <c r="D3089" s="103"/>
      <c r="E3089" s="156">
        <v>5000</v>
      </c>
    </row>
    <row r="3090" spans="1:5" x14ac:dyDescent="0.25">
      <c r="A3090" s="100">
        <f t="shared" si="52"/>
        <v>8</v>
      </c>
      <c r="B3090" s="151" t="s">
        <v>161</v>
      </c>
      <c r="C3090" s="152" t="s">
        <v>170</v>
      </c>
      <c r="D3090" s="103"/>
      <c r="E3090" s="156">
        <v>7500</v>
      </c>
    </row>
    <row r="3091" spans="1:5" x14ac:dyDescent="0.25">
      <c r="A3091" s="100">
        <f t="shared" si="52"/>
        <v>9</v>
      </c>
      <c r="B3091" s="151" t="s">
        <v>2475</v>
      </c>
      <c r="C3091" s="152" t="s">
        <v>2479</v>
      </c>
      <c r="D3091" s="103"/>
      <c r="E3091" s="156">
        <v>22500</v>
      </c>
    </row>
    <row r="3092" spans="1:5" x14ac:dyDescent="0.25">
      <c r="A3092" s="100">
        <f t="shared" si="52"/>
        <v>10</v>
      </c>
      <c r="B3092" s="151" t="s">
        <v>2476</v>
      </c>
      <c r="C3092" s="152" t="s">
        <v>2480</v>
      </c>
      <c r="D3092" s="103"/>
      <c r="E3092" s="156">
        <v>17500</v>
      </c>
    </row>
    <row r="3093" spans="1:5" x14ac:dyDescent="0.25">
      <c r="A3093" s="100">
        <f t="shared" si="52"/>
        <v>11</v>
      </c>
      <c r="B3093" s="151" t="s">
        <v>2477</v>
      </c>
      <c r="C3093" s="152" t="s">
        <v>2481</v>
      </c>
      <c r="D3093" s="103"/>
      <c r="E3093" s="156">
        <v>12500</v>
      </c>
    </row>
    <row r="3094" spans="1:5" x14ac:dyDescent="0.25">
      <c r="A3094" s="100">
        <f t="shared" si="52"/>
        <v>12</v>
      </c>
      <c r="B3094" s="151" t="s">
        <v>2478</v>
      </c>
      <c r="C3094" s="152" t="s">
        <v>2482</v>
      </c>
      <c r="D3094" s="103"/>
      <c r="E3094" s="156">
        <v>12500</v>
      </c>
    </row>
    <row r="3095" spans="1:5" x14ac:dyDescent="0.25">
      <c r="A3095" s="100">
        <f t="shared" si="52"/>
        <v>13</v>
      </c>
      <c r="B3095" s="151" t="s">
        <v>306</v>
      </c>
      <c r="C3095" s="152" t="s">
        <v>293</v>
      </c>
      <c r="D3095" s="103"/>
      <c r="E3095" s="156">
        <v>5000</v>
      </c>
    </row>
    <row r="3096" spans="1:5" x14ac:dyDescent="0.25">
      <c r="A3096" s="100">
        <f t="shared" si="52"/>
        <v>14</v>
      </c>
      <c r="B3096" s="151" t="s">
        <v>2484</v>
      </c>
      <c r="C3096" s="152" t="s">
        <v>1364</v>
      </c>
      <c r="D3096" s="103"/>
      <c r="E3096" s="156">
        <v>5000</v>
      </c>
    </row>
    <row r="3097" spans="1:5" x14ac:dyDescent="0.25">
      <c r="A3097" s="100">
        <f t="shared" si="52"/>
        <v>15</v>
      </c>
      <c r="B3097" s="151" t="s">
        <v>308</v>
      </c>
      <c r="C3097" s="152" t="s">
        <v>295</v>
      </c>
      <c r="D3097" s="103"/>
      <c r="E3097" s="156">
        <v>5000</v>
      </c>
    </row>
    <row r="3098" spans="1:5" x14ac:dyDescent="0.25">
      <c r="A3098" s="100">
        <f t="shared" si="52"/>
        <v>16</v>
      </c>
      <c r="B3098" s="151" t="s">
        <v>2485</v>
      </c>
      <c r="C3098" s="152" t="s">
        <v>2483</v>
      </c>
      <c r="D3098" s="103"/>
      <c r="E3098" s="156">
        <v>37500</v>
      </c>
    </row>
    <row r="3099" spans="1:5" x14ac:dyDescent="0.25">
      <c r="A3099" s="100">
        <f t="shared" si="52"/>
        <v>17</v>
      </c>
      <c r="B3099" s="151" t="s">
        <v>314</v>
      </c>
      <c r="C3099" s="152" t="s">
        <v>322</v>
      </c>
      <c r="D3099" s="103"/>
      <c r="E3099" s="156">
        <v>5000</v>
      </c>
    </row>
    <row r="3100" spans="1:5" x14ac:dyDescent="0.25">
      <c r="A3100" s="100">
        <f t="shared" si="52"/>
        <v>18</v>
      </c>
      <c r="B3100" s="151" t="s">
        <v>2486</v>
      </c>
      <c r="C3100" s="152" t="s">
        <v>2492</v>
      </c>
      <c r="D3100" s="103"/>
      <c r="E3100" s="156">
        <v>5000</v>
      </c>
    </row>
    <row r="3101" spans="1:5" x14ac:dyDescent="0.25">
      <c r="A3101" s="100">
        <f t="shared" si="52"/>
        <v>19</v>
      </c>
      <c r="B3101" s="151" t="s">
        <v>2487</v>
      </c>
      <c r="C3101" s="152" t="s">
        <v>2493</v>
      </c>
      <c r="D3101" s="103"/>
      <c r="E3101" s="156">
        <v>5000</v>
      </c>
    </row>
    <row r="3102" spans="1:5" x14ac:dyDescent="0.25">
      <c r="A3102" s="100">
        <f t="shared" si="52"/>
        <v>20</v>
      </c>
      <c r="B3102" s="151" t="s">
        <v>2488</v>
      </c>
      <c r="C3102" s="152" t="s">
        <v>2494</v>
      </c>
      <c r="D3102" s="103"/>
      <c r="E3102" s="156">
        <v>5000</v>
      </c>
    </row>
    <row r="3103" spans="1:5" x14ac:dyDescent="0.25">
      <c r="A3103" s="100">
        <f t="shared" si="52"/>
        <v>21</v>
      </c>
      <c r="B3103" s="151" t="s">
        <v>2489</v>
      </c>
      <c r="C3103" s="152" t="s">
        <v>2495</v>
      </c>
      <c r="D3103" s="103"/>
      <c r="E3103" s="156">
        <v>5000</v>
      </c>
    </row>
    <row r="3104" spans="1:5" x14ac:dyDescent="0.25">
      <c r="A3104" s="100">
        <f t="shared" si="52"/>
        <v>22</v>
      </c>
      <c r="B3104" s="151" t="s">
        <v>2490</v>
      </c>
      <c r="C3104" s="152" t="s">
        <v>2496</v>
      </c>
      <c r="D3104" s="103"/>
      <c r="E3104" s="156">
        <v>22500</v>
      </c>
    </row>
    <row r="3105" spans="1:5" x14ac:dyDescent="0.25">
      <c r="A3105" s="100">
        <f t="shared" si="52"/>
        <v>23</v>
      </c>
      <c r="B3105" s="151" t="s">
        <v>2491</v>
      </c>
      <c r="C3105" s="152" t="s">
        <v>2497</v>
      </c>
      <c r="D3105" s="103"/>
      <c r="E3105" s="156">
        <v>5000</v>
      </c>
    </row>
    <row r="3106" spans="1:5" x14ac:dyDescent="0.25">
      <c r="A3106" s="100"/>
      <c r="B3106" s="151"/>
      <c r="C3106" s="152"/>
      <c r="D3106" s="154"/>
      <c r="E3106" s="155"/>
    </row>
    <row r="3107" spans="1:5" ht="15.75" thickBot="1" x14ac:dyDescent="0.3">
      <c r="A3107" s="105"/>
      <c r="B3107" s="240" t="s">
        <v>10</v>
      </c>
      <c r="C3107" s="241"/>
      <c r="D3107" s="242"/>
      <c r="E3107" s="106">
        <f>SUM(E3083:E3105)</f>
        <v>240000</v>
      </c>
    </row>
    <row r="3108" spans="1:5" x14ac:dyDescent="0.25">
      <c r="A3108" s="95"/>
      <c r="B3108" s="130"/>
      <c r="C3108" s="130"/>
      <c r="E3108" s="131"/>
    </row>
    <row r="3109" spans="1:5" x14ac:dyDescent="0.25">
      <c r="A3109" s="94"/>
      <c r="B3109" s="94"/>
      <c r="C3109" s="95"/>
      <c r="D3109" s="108" t="s">
        <v>2466</v>
      </c>
      <c r="E3109" s="94"/>
    </row>
    <row r="3110" spans="1:5" x14ac:dyDescent="0.25">
      <c r="D3110" s="108" t="s">
        <v>83</v>
      </c>
    </row>
    <row r="3128" spans="1:5" x14ac:dyDescent="0.25">
      <c r="A3128" s="93" t="s">
        <v>0</v>
      </c>
      <c r="B3128" s="129"/>
      <c r="C3128" s="129"/>
      <c r="D3128" s="129"/>
      <c r="E3128" s="129"/>
    </row>
    <row r="3129" spans="1:5" x14ac:dyDescent="0.25">
      <c r="A3129" s="93" t="s">
        <v>1</v>
      </c>
      <c r="B3129" s="94"/>
      <c r="C3129" s="95"/>
      <c r="D3129" s="94"/>
      <c r="E3129" s="94"/>
    </row>
    <row r="3130" spans="1:5" x14ac:dyDescent="0.25">
      <c r="A3130" s="93"/>
      <c r="B3130" s="94"/>
      <c r="C3130" s="95"/>
      <c r="D3130" s="94"/>
      <c r="E3130" s="94"/>
    </row>
    <row r="3131" spans="1:5" x14ac:dyDescent="0.25">
      <c r="A3131" s="96" t="s">
        <v>84</v>
      </c>
      <c r="B3131" s="96"/>
      <c r="C3131" s="96"/>
      <c r="D3131" s="96"/>
      <c r="E3131" s="96"/>
    </row>
    <row r="3132" spans="1:5" x14ac:dyDescent="0.25">
      <c r="A3132" s="238" t="s">
        <v>101</v>
      </c>
      <c r="B3132" s="239"/>
      <c r="C3132" s="239"/>
      <c r="D3132" s="239"/>
      <c r="E3132" s="239"/>
    </row>
    <row r="3133" spans="1:5" x14ac:dyDescent="0.25">
      <c r="A3133" s="95"/>
      <c r="B3133" s="95"/>
      <c r="C3133" s="95"/>
      <c r="D3133" s="95"/>
      <c r="E3133" s="95"/>
    </row>
    <row r="3134" spans="1:5" ht="15.75" thickBot="1" x14ac:dyDescent="0.3">
      <c r="A3134" s="94"/>
      <c r="B3134" s="94"/>
      <c r="C3134" s="95"/>
      <c r="D3134" s="94"/>
      <c r="E3134" s="109" t="s">
        <v>2498</v>
      </c>
    </row>
    <row r="3135" spans="1:5" x14ac:dyDescent="0.25">
      <c r="A3135" s="97" t="s">
        <v>16</v>
      </c>
      <c r="B3135" s="98" t="s">
        <v>79</v>
      </c>
      <c r="C3135" s="98" t="s">
        <v>80</v>
      </c>
      <c r="D3135" s="98" t="s">
        <v>77</v>
      </c>
      <c r="E3135" s="99" t="s">
        <v>10</v>
      </c>
    </row>
    <row r="3136" spans="1:5" x14ac:dyDescent="0.25">
      <c r="A3136" s="100">
        <v>1</v>
      </c>
      <c r="B3136" s="151" t="s">
        <v>2500</v>
      </c>
      <c r="C3136" s="152" t="s">
        <v>2503</v>
      </c>
      <c r="D3136" s="103"/>
      <c r="E3136" s="104">
        <v>12500</v>
      </c>
    </row>
    <row r="3137" spans="1:5" x14ac:dyDescent="0.25">
      <c r="A3137" s="100">
        <f>A3136+1</f>
        <v>2</v>
      </c>
      <c r="B3137" s="151" t="s">
        <v>434</v>
      </c>
      <c r="C3137" s="152" t="s">
        <v>439</v>
      </c>
      <c r="D3137" s="103"/>
      <c r="E3137" s="104">
        <v>5000</v>
      </c>
    </row>
    <row r="3138" spans="1:5" x14ac:dyDescent="0.25">
      <c r="A3138" s="100">
        <f t="shared" ref="A3138:A3164" si="53">A3137+1</f>
        <v>3</v>
      </c>
      <c r="B3138" s="151" t="s">
        <v>517</v>
      </c>
      <c r="C3138" s="152" t="s">
        <v>523</v>
      </c>
      <c r="D3138" s="103"/>
      <c r="E3138" s="156">
        <v>5000</v>
      </c>
    </row>
    <row r="3139" spans="1:5" x14ac:dyDescent="0.25">
      <c r="A3139" s="100">
        <f t="shared" si="53"/>
        <v>4</v>
      </c>
      <c r="B3139" s="151" t="s">
        <v>2501</v>
      </c>
      <c r="C3139" s="152" t="s">
        <v>2504</v>
      </c>
      <c r="D3139" s="103"/>
      <c r="E3139" s="156">
        <v>22500</v>
      </c>
    </row>
    <row r="3140" spans="1:5" x14ac:dyDescent="0.25">
      <c r="A3140" s="100">
        <f t="shared" si="53"/>
        <v>5</v>
      </c>
      <c r="B3140" s="151" t="s">
        <v>641</v>
      </c>
      <c r="C3140" s="152" t="s">
        <v>634</v>
      </c>
      <c r="D3140" s="103"/>
      <c r="E3140" s="156">
        <v>5000</v>
      </c>
    </row>
    <row r="3141" spans="1:5" x14ac:dyDescent="0.25">
      <c r="A3141" s="100">
        <f t="shared" si="53"/>
        <v>6</v>
      </c>
      <c r="B3141" s="151" t="s">
        <v>1428</v>
      </c>
      <c r="C3141" s="152" t="s">
        <v>1441</v>
      </c>
      <c r="D3141" s="103"/>
      <c r="E3141" s="156">
        <v>5000</v>
      </c>
    </row>
    <row r="3142" spans="1:5" x14ac:dyDescent="0.25">
      <c r="A3142" s="100">
        <f t="shared" si="53"/>
        <v>7</v>
      </c>
      <c r="B3142" s="151" t="s">
        <v>2502</v>
      </c>
      <c r="C3142" s="152" t="s">
        <v>2505</v>
      </c>
      <c r="D3142" s="103"/>
      <c r="E3142" s="156">
        <v>5000</v>
      </c>
    </row>
    <row r="3143" spans="1:5" x14ac:dyDescent="0.25">
      <c r="A3143" s="100">
        <f t="shared" si="53"/>
        <v>8</v>
      </c>
      <c r="B3143" s="151" t="s">
        <v>2510</v>
      </c>
      <c r="C3143" s="152" t="s">
        <v>2506</v>
      </c>
      <c r="D3143" s="103"/>
      <c r="E3143" s="156">
        <v>40000</v>
      </c>
    </row>
    <row r="3144" spans="1:5" x14ac:dyDescent="0.25">
      <c r="A3144" s="100">
        <f t="shared" si="53"/>
        <v>9</v>
      </c>
      <c r="B3144" s="151" t="s">
        <v>2218</v>
      </c>
      <c r="C3144" s="152" t="s">
        <v>2507</v>
      </c>
      <c r="D3144" s="103"/>
      <c r="E3144" s="156">
        <v>42500</v>
      </c>
    </row>
    <row r="3145" spans="1:5" x14ac:dyDescent="0.25">
      <c r="A3145" s="100">
        <f t="shared" si="53"/>
        <v>10</v>
      </c>
      <c r="B3145" s="151" t="s">
        <v>2511</v>
      </c>
      <c r="C3145" s="152" t="s">
        <v>1361</v>
      </c>
      <c r="D3145" s="103"/>
      <c r="E3145" s="156">
        <v>5000</v>
      </c>
    </row>
    <row r="3146" spans="1:5" x14ac:dyDescent="0.25">
      <c r="A3146" s="100">
        <f t="shared" si="53"/>
        <v>11</v>
      </c>
      <c r="B3146" s="151" t="s">
        <v>1353</v>
      </c>
      <c r="C3146" s="152" t="s">
        <v>1362</v>
      </c>
      <c r="D3146" s="103"/>
      <c r="E3146" s="156">
        <v>5000</v>
      </c>
    </row>
    <row r="3147" spans="1:5" x14ac:dyDescent="0.25">
      <c r="A3147" s="100">
        <f t="shared" si="53"/>
        <v>12</v>
      </c>
      <c r="B3147" s="151" t="s">
        <v>2512</v>
      </c>
      <c r="C3147" s="152" t="s">
        <v>2508</v>
      </c>
      <c r="D3147" s="103"/>
      <c r="E3147" s="156">
        <v>22500</v>
      </c>
    </row>
    <row r="3148" spans="1:5" x14ac:dyDescent="0.25">
      <c r="A3148" s="100">
        <f t="shared" si="53"/>
        <v>13</v>
      </c>
      <c r="B3148" s="151" t="s">
        <v>2513</v>
      </c>
      <c r="C3148" s="152" t="s">
        <v>2509</v>
      </c>
      <c r="D3148" s="103"/>
      <c r="E3148" s="156">
        <v>5000</v>
      </c>
    </row>
    <row r="3149" spans="1:5" x14ac:dyDescent="0.25">
      <c r="A3149" s="100">
        <f t="shared" si="53"/>
        <v>14</v>
      </c>
      <c r="B3149" s="151" t="s">
        <v>546</v>
      </c>
      <c r="C3149" s="152" t="s">
        <v>555</v>
      </c>
      <c r="D3149" s="103"/>
      <c r="E3149" s="156">
        <v>5000</v>
      </c>
    </row>
    <row r="3150" spans="1:5" x14ac:dyDescent="0.25">
      <c r="A3150" s="100">
        <f t="shared" si="53"/>
        <v>15</v>
      </c>
      <c r="B3150" s="151" t="s">
        <v>2514</v>
      </c>
      <c r="C3150" s="152" t="s">
        <v>2520</v>
      </c>
      <c r="D3150" s="103"/>
      <c r="E3150" s="156">
        <v>5000</v>
      </c>
    </row>
    <row r="3151" spans="1:5" x14ac:dyDescent="0.25">
      <c r="A3151" s="100">
        <f t="shared" si="53"/>
        <v>16</v>
      </c>
      <c r="B3151" s="151" t="s">
        <v>548</v>
      </c>
      <c r="C3151" s="152" t="s">
        <v>557</v>
      </c>
      <c r="D3151" s="103"/>
      <c r="E3151" s="156">
        <v>5000</v>
      </c>
    </row>
    <row r="3152" spans="1:5" x14ac:dyDescent="0.25">
      <c r="A3152" s="100">
        <f t="shared" si="53"/>
        <v>17</v>
      </c>
      <c r="B3152" s="151" t="s">
        <v>2515</v>
      </c>
      <c r="C3152" s="152" t="s">
        <v>2521</v>
      </c>
      <c r="D3152" s="103"/>
      <c r="E3152" s="156">
        <v>50000</v>
      </c>
    </row>
    <row r="3153" spans="1:5" x14ac:dyDescent="0.25">
      <c r="A3153" s="100">
        <f t="shared" si="53"/>
        <v>18</v>
      </c>
      <c r="B3153" s="151" t="s">
        <v>1378</v>
      </c>
      <c r="C3153" s="152" t="s">
        <v>1389</v>
      </c>
      <c r="D3153" s="103"/>
      <c r="E3153" s="156">
        <v>5000</v>
      </c>
    </row>
    <row r="3154" spans="1:5" x14ac:dyDescent="0.25">
      <c r="A3154" s="100">
        <f t="shared" si="53"/>
        <v>19</v>
      </c>
      <c r="B3154" s="151" t="s">
        <v>2516</v>
      </c>
      <c r="C3154" s="152" t="s">
        <v>2522</v>
      </c>
      <c r="D3154" s="103"/>
      <c r="E3154" s="156">
        <v>32500</v>
      </c>
    </row>
    <row r="3155" spans="1:5" x14ac:dyDescent="0.25">
      <c r="A3155" s="100">
        <f t="shared" si="53"/>
        <v>20</v>
      </c>
      <c r="B3155" s="151" t="s">
        <v>2517</v>
      </c>
      <c r="C3155" s="152" t="s">
        <v>2523</v>
      </c>
      <c r="D3155" s="103"/>
      <c r="E3155" s="156">
        <v>32500</v>
      </c>
    </row>
    <row r="3156" spans="1:5" x14ac:dyDescent="0.25">
      <c r="A3156" s="100">
        <f t="shared" si="53"/>
        <v>21</v>
      </c>
      <c r="B3156" s="151" t="s">
        <v>2518</v>
      </c>
      <c r="C3156" s="152" t="s">
        <v>2524</v>
      </c>
      <c r="D3156" s="103"/>
      <c r="E3156" s="156">
        <v>5000</v>
      </c>
    </row>
    <row r="3157" spans="1:5" x14ac:dyDescent="0.25">
      <c r="A3157" s="100">
        <f t="shared" si="53"/>
        <v>22</v>
      </c>
      <c r="B3157" s="151" t="s">
        <v>2519</v>
      </c>
      <c r="C3157" s="152" t="s">
        <v>2525</v>
      </c>
      <c r="D3157" s="103"/>
      <c r="E3157" s="156">
        <v>22500</v>
      </c>
    </row>
    <row r="3158" spans="1:5" x14ac:dyDescent="0.25">
      <c r="A3158" s="100">
        <f t="shared" si="53"/>
        <v>23</v>
      </c>
      <c r="B3158" s="151" t="s">
        <v>2529</v>
      </c>
      <c r="C3158" s="152" t="s">
        <v>2526</v>
      </c>
      <c r="D3158" s="103"/>
      <c r="E3158" s="156">
        <v>12500</v>
      </c>
    </row>
    <row r="3159" spans="1:5" x14ac:dyDescent="0.25">
      <c r="A3159" s="100">
        <f t="shared" si="53"/>
        <v>24</v>
      </c>
      <c r="B3159" s="151" t="s">
        <v>191</v>
      </c>
      <c r="C3159" s="152" t="s">
        <v>183</v>
      </c>
      <c r="D3159" s="103"/>
      <c r="E3159" s="155">
        <v>5000</v>
      </c>
    </row>
    <row r="3160" spans="1:5" x14ac:dyDescent="0.25">
      <c r="A3160" s="100">
        <f t="shared" si="53"/>
        <v>25</v>
      </c>
      <c r="B3160" s="151" t="s">
        <v>1037</v>
      </c>
      <c r="C3160" s="152" t="s">
        <v>1044</v>
      </c>
      <c r="D3160" s="103"/>
      <c r="E3160" s="155">
        <v>5000</v>
      </c>
    </row>
    <row r="3161" spans="1:5" x14ac:dyDescent="0.25">
      <c r="A3161" s="100">
        <f t="shared" si="53"/>
        <v>26</v>
      </c>
      <c r="B3161" s="151" t="s">
        <v>2530</v>
      </c>
      <c r="C3161" s="152" t="s">
        <v>2527</v>
      </c>
      <c r="D3161" s="103"/>
      <c r="E3161" s="155">
        <v>5000</v>
      </c>
    </row>
    <row r="3162" spans="1:5" x14ac:dyDescent="0.25">
      <c r="A3162" s="100">
        <f t="shared" si="53"/>
        <v>27</v>
      </c>
      <c r="B3162" s="151" t="s">
        <v>2531</v>
      </c>
      <c r="C3162" s="152" t="s">
        <v>2528</v>
      </c>
      <c r="D3162" s="103"/>
      <c r="E3162" s="155">
        <v>32500</v>
      </c>
    </row>
    <row r="3163" spans="1:5" x14ac:dyDescent="0.25">
      <c r="A3163" s="100">
        <f t="shared" si="53"/>
        <v>28</v>
      </c>
      <c r="B3163" s="151" t="s">
        <v>2532</v>
      </c>
      <c r="C3163" s="152" t="s">
        <v>2534</v>
      </c>
      <c r="D3163" s="103"/>
      <c r="E3163" s="155">
        <v>12500</v>
      </c>
    </row>
    <row r="3164" spans="1:5" x14ac:dyDescent="0.25">
      <c r="A3164" s="100">
        <f t="shared" si="53"/>
        <v>29</v>
      </c>
      <c r="B3164" s="151" t="s">
        <v>164</v>
      </c>
      <c r="C3164" s="152" t="s">
        <v>2533</v>
      </c>
      <c r="D3164" s="103"/>
      <c r="E3164" s="155">
        <v>5000</v>
      </c>
    </row>
    <row r="3165" spans="1:5" x14ac:dyDescent="0.25">
      <c r="A3165" s="153"/>
      <c r="B3165" s="151"/>
      <c r="C3165" s="152"/>
      <c r="D3165" s="154"/>
      <c r="E3165" s="155"/>
    </row>
    <row r="3166" spans="1:5" ht="15.75" thickBot="1" x14ac:dyDescent="0.3">
      <c r="A3166" s="105"/>
      <c r="B3166" s="240" t="s">
        <v>10</v>
      </c>
      <c r="C3166" s="241"/>
      <c r="D3166" s="242"/>
      <c r="E3166" s="106">
        <f>SUM(E3136:E3164)</f>
        <v>420000</v>
      </c>
    </row>
    <row r="3167" spans="1:5" x14ac:dyDescent="0.25">
      <c r="A3167" s="95"/>
      <c r="B3167" s="130"/>
      <c r="C3167" s="130"/>
      <c r="E3167" s="131"/>
    </row>
    <row r="3168" spans="1:5" x14ac:dyDescent="0.25">
      <c r="A3168" s="94"/>
      <c r="B3168" s="94"/>
      <c r="C3168" s="95"/>
      <c r="D3168" s="108" t="s">
        <v>2499</v>
      </c>
      <c r="E3168" s="94"/>
    </row>
    <row r="3169" spans="1:5" x14ac:dyDescent="0.25">
      <c r="D3169" s="108" t="s">
        <v>83</v>
      </c>
    </row>
    <row r="3181" spans="1:5" x14ac:dyDescent="0.25">
      <c r="A3181" s="93" t="s">
        <v>0</v>
      </c>
      <c r="B3181" s="129"/>
      <c r="C3181" s="129"/>
      <c r="D3181" s="129"/>
      <c r="E3181" s="129"/>
    </row>
    <row r="3182" spans="1:5" x14ac:dyDescent="0.25">
      <c r="A3182" s="93" t="s">
        <v>1</v>
      </c>
      <c r="B3182" s="94"/>
      <c r="C3182" s="95"/>
      <c r="D3182" s="94"/>
      <c r="E3182" s="94"/>
    </row>
    <row r="3183" spans="1:5" x14ac:dyDescent="0.25">
      <c r="A3183" s="93"/>
      <c r="B3183" s="94"/>
      <c r="C3183" s="95"/>
      <c r="D3183" s="94"/>
      <c r="E3183" s="94"/>
    </row>
    <row r="3184" spans="1:5" x14ac:dyDescent="0.25">
      <c r="A3184" s="96" t="s">
        <v>84</v>
      </c>
      <c r="B3184" s="96"/>
      <c r="C3184" s="96"/>
      <c r="D3184" s="96"/>
      <c r="E3184" s="96"/>
    </row>
    <row r="3185" spans="1:5" x14ac:dyDescent="0.25">
      <c r="A3185" s="238" t="s">
        <v>101</v>
      </c>
      <c r="B3185" s="239"/>
      <c r="C3185" s="239"/>
      <c r="D3185" s="239"/>
      <c r="E3185" s="239"/>
    </row>
    <row r="3186" spans="1:5" x14ac:dyDescent="0.25">
      <c r="A3186" s="95"/>
      <c r="B3186" s="95"/>
      <c r="C3186" s="95"/>
      <c r="D3186" s="95"/>
      <c r="E3186" s="95"/>
    </row>
    <row r="3187" spans="1:5" ht="15.75" thickBot="1" x14ac:dyDescent="0.3">
      <c r="A3187" s="94"/>
      <c r="B3187" s="94"/>
      <c r="C3187" s="95"/>
      <c r="D3187" s="94"/>
      <c r="E3187" s="109" t="s">
        <v>2535</v>
      </c>
    </row>
    <row r="3188" spans="1:5" x14ac:dyDescent="0.25">
      <c r="A3188" s="97" t="s">
        <v>16</v>
      </c>
      <c r="B3188" s="98" t="s">
        <v>79</v>
      </c>
      <c r="C3188" s="98" t="s">
        <v>80</v>
      </c>
      <c r="D3188" s="98" t="s">
        <v>77</v>
      </c>
      <c r="E3188" s="99" t="s">
        <v>10</v>
      </c>
    </row>
    <row r="3189" spans="1:5" x14ac:dyDescent="0.25">
      <c r="A3189" s="100">
        <v>1</v>
      </c>
      <c r="B3189" s="151" t="s">
        <v>830</v>
      </c>
      <c r="C3189" s="152" t="s">
        <v>834</v>
      </c>
      <c r="D3189" s="103"/>
      <c r="E3189" s="104">
        <v>17500</v>
      </c>
    </row>
    <row r="3190" spans="1:5" x14ac:dyDescent="0.25">
      <c r="A3190" s="100">
        <f>A3189+1</f>
        <v>2</v>
      </c>
      <c r="B3190" s="151" t="s">
        <v>832</v>
      </c>
      <c r="C3190" s="152" t="s">
        <v>836</v>
      </c>
      <c r="D3190" s="103"/>
      <c r="E3190" s="104">
        <v>5000</v>
      </c>
    </row>
    <row r="3191" spans="1:5" x14ac:dyDescent="0.25">
      <c r="A3191" s="100">
        <f t="shared" ref="A3191:A3215" si="54">A3190+1</f>
        <v>3</v>
      </c>
      <c r="B3191" s="151" t="s">
        <v>2537</v>
      </c>
      <c r="C3191" s="152" t="s">
        <v>2540</v>
      </c>
      <c r="D3191" s="103"/>
      <c r="E3191" s="156">
        <v>12500</v>
      </c>
    </row>
    <row r="3192" spans="1:5" x14ac:dyDescent="0.25">
      <c r="A3192" s="100">
        <f t="shared" si="54"/>
        <v>4</v>
      </c>
      <c r="B3192" s="151" t="s">
        <v>2538</v>
      </c>
      <c r="C3192" s="152" t="s">
        <v>2541</v>
      </c>
      <c r="D3192" s="103"/>
      <c r="E3192" s="156">
        <v>22500</v>
      </c>
    </row>
    <row r="3193" spans="1:5" x14ac:dyDescent="0.25">
      <c r="A3193" s="100">
        <f t="shared" si="54"/>
        <v>5</v>
      </c>
      <c r="B3193" s="151" t="s">
        <v>2539</v>
      </c>
      <c r="C3193" s="152" t="s">
        <v>2542</v>
      </c>
      <c r="D3193" s="103"/>
      <c r="E3193" s="156">
        <v>5000</v>
      </c>
    </row>
    <row r="3194" spans="1:5" x14ac:dyDescent="0.25">
      <c r="A3194" s="100">
        <f t="shared" si="54"/>
        <v>6</v>
      </c>
      <c r="B3194" s="151" t="s">
        <v>1431</v>
      </c>
      <c r="C3194" s="152" t="s">
        <v>1444</v>
      </c>
      <c r="D3194" s="103"/>
      <c r="E3194" s="156">
        <v>5000</v>
      </c>
    </row>
    <row r="3195" spans="1:5" x14ac:dyDescent="0.25">
      <c r="A3195" s="100">
        <f t="shared" si="54"/>
        <v>7</v>
      </c>
      <c r="B3195" s="151" t="s">
        <v>1499</v>
      </c>
      <c r="C3195" s="152" t="s">
        <v>1502</v>
      </c>
      <c r="D3195" s="103"/>
      <c r="E3195" s="156">
        <v>5000</v>
      </c>
    </row>
    <row r="3196" spans="1:5" x14ac:dyDescent="0.25">
      <c r="A3196" s="100">
        <f t="shared" si="54"/>
        <v>8</v>
      </c>
      <c r="B3196" s="151" t="s">
        <v>2551</v>
      </c>
      <c r="C3196" s="152" t="s">
        <v>2543</v>
      </c>
      <c r="D3196" s="103"/>
      <c r="E3196" s="156">
        <v>12500</v>
      </c>
    </row>
    <row r="3197" spans="1:5" x14ac:dyDescent="0.25">
      <c r="A3197" s="100">
        <f t="shared" si="54"/>
        <v>9</v>
      </c>
      <c r="B3197" s="151" t="s">
        <v>2552</v>
      </c>
      <c r="C3197" s="152" t="s">
        <v>2544</v>
      </c>
      <c r="D3197" s="103"/>
      <c r="E3197" s="156">
        <v>5000</v>
      </c>
    </row>
    <row r="3198" spans="1:5" x14ac:dyDescent="0.25">
      <c r="A3198" s="100">
        <f t="shared" si="54"/>
        <v>10</v>
      </c>
      <c r="B3198" s="151" t="s">
        <v>2553</v>
      </c>
      <c r="C3198" s="152" t="s">
        <v>2545</v>
      </c>
      <c r="D3198" s="103"/>
      <c r="E3198" s="156">
        <v>5000</v>
      </c>
    </row>
    <row r="3199" spans="1:5" x14ac:dyDescent="0.25">
      <c r="A3199" s="100">
        <f t="shared" si="54"/>
        <v>11</v>
      </c>
      <c r="B3199" s="151" t="s">
        <v>2554</v>
      </c>
      <c r="C3199" s="152" t="s">
        <v>2546</v>
      </c>
      <c r="D3199" s="103"/>
      <c r="E3199" s="156">
        <v>22500</v>
      </c>
    </row>
    <row r="3200" spans="1:5" x14ac:dyDescent="0.25">
      <c r="A3200" s="100">
        <f t="shared" si="54"/>
        <v>12</v>
      </c>
      <c r="B3200" s="151" t="s">
        <v>2555</v>
      </c>
      <c r="C3200" s="152" t="s">
        <v>2547</v>
      </c>
      <c r="D3200" s="103"/>
      <c r="E3200" s="156">
        <v>22500</v>
      </c>
    </row>
    <row r="3201" spans="1:5" x14ac:dyDescent="0.25">
      <c r="A3201" s="100">
        <f t="shared" si="54"/>
        <v>13</v>
      </c>
      <c r="B3201" s="151" t="s">
        <v>2558</v>
      </c>
      <c r="C3201" s="152" t="s">
        <v>2548</v>
      </c>
      <c r="D3201" s="103"/>
      <c r="E3201" s="156">
        <v>5000</v>
      </c>
    </row>
    <row r="3202" spans="1:5" x14ac:dyDescent="0.25">
      <c r="A3202" s="100">
        <f t="shared" si="54"/>
        <v>14</v>
      </c>
      <c r="B3202" s="151" t="s">
        <v>2556</v>
      </c>
      <c r="C3202" s="152" t="s">
        <v>2549</v>
      </c>
      <c r="D3202" s="103"/>
      <c r="E3202" s="156">
        <v>72500</v>
      </c>
    </row>
    <row r="3203" spans="1:5" x14ac:dyDescent="0.25">
      <c r="A3203" s="100">
        <f t="shared" si="54"/>
        <v>15</v>
      </c>
      <c r="B3203" s="151" t="s">
        <v>2557</v>
      </c>
      <c r="C3203" s="152" t="s">
        <v>2550</v>
      </c>
      <c r="D3203" s="103"/>
      <c r="E3203" s="156">
        <v>12500</v>
      </c>
    </row>
    <row r="3204" spans="1:5" x14ac:dyDescent="0.25">
      <c r="A3204" s="100">
        <f t="shared" si="54"/>
        <v>16</v>
      </c>
      <c r="B3204" s="151" t="s">
        <v>2559</v>
      </c>
      <c r="C3204" s="152" t="s">
        <v>2567</v>
      </c>
      <c r="D3204" s="103"/>
      <c r="E3204" s="156">
        <v>12500</v>
      </c>
    </row>
    <row r="3205" spans="1:5" x14ac:dyDescent="0.25">
      <c r="A3205" s="100">
        <f t="shared" si="54"/>
        <v>17</v>
      </c>
      <c r="B3205" s="151" t="s">
        <v>2560</v>
      </c>
      <c r="C3205" s="152" t="s">
        <v>2568</v>
      </c>
      <c r="D3205" s="103"/>
      <c r="E3205" s="156">
        <v>12500</v>
      </c>
    </row>
    <row r="3206" spans="1:5" x14ac:dyDescent="0.25">
      <c r="A3206" s="100">
        <f t="shared" si="54"/>
        <v>18</v>
      </c>
      <c r="B3206" s="151" t="s">
        <v>2561</v>
      </c>
      <c r="C3206" s="152" t="s">
        <v>2569</v>
      </c>
      <c r="D3206" s="103"/>
      <c r="E3206" s="156">
        <v>12500</v>
      </c>
    </row>
    <row r="3207" spans="1:5" x14ac:dyDescent="0.25">
      <c r="A3207" s="100">
        <f t="shared" si="54"/>
        <v>19</v>
      </c>
      <c r="B3207" s="151" t="s">
        <v>2562</v>
      </c>
      <c r="C3207" s="152" t="s">
        <v>2570</v>
      </c>
      <c r="D3207" s="103"/>
      <c r="E3207" s="156">
        <v>12500</v>
      </c>
    </row>
    <row r="3208" spans="1:5" x14ac:dyDescent="0.25">
      <c r="A3208" s="100">
        <f t="shared" si="54"/>
        <v>20</v>
      </c>
      <c r="B3208" s="151" t="s">
        <v>2563</v>
      </c>
      <c r="C3208" s="152" t="s">
        <v>2571</v>
      </c>
      <c r="D3208" s="103"/>
      <c r="E3208" s="156">
        <v>5000</v>
      </c>
    </row>
    <row r="3209" spans="1:5" x14ac:dyDescent="0.25">
      <c r="A3209" s="100">
        <f t="shared" si="54"/>
        <v>21</v>
      </c>
      <c r="B3209" s="151" t="s">
        <v>2564</v>
      </c>
      <c r="C3209" s="152" t="s">
        <v>2572</v>
      </c>
      <c r="D3209" s="103"/>
      <c r="E3209" s="156">
        <v>12500</v>
      </c>
    </row>
    <row r="3210" spans="1:5" x14ac:dyDescent="0.25">
      <c r="A3210" s="100">
        <f t="shared" si="54"/>
        <v>22</v>
      </c>
      <c r="B3210" s="151" t="s">
        <v>2519</v>
      </c>
      <c r="C3210" s="152" t="s">
        <v>2573</v>
      </c>
      <c r="D3210" s="103"/>
      <c r="E3210" s="156">
        <v>32500</v>
      </c>
    </row>
    <row r="3211" spans="1:5" x14ac:dyDescent="0.25">
      <c r="A3211" s="100">
        <f t="shared" si="54"/>
        <v>23</v>
      </c>
      <c r="B3211" s="151" t="s">
        <v>2565</v>
      </c>
      <c r="C3211" s="152" t="s">
        <v>2574</v>
      </c>
      <c r="D3211" s="103"/>
      <c r="E3211" s="156">
        <v>5000</v>
      </c>
    </row>
    <row r="3212" spans="1:5" x14ac:dyDescent="0.25">
      <c r="A3212" s="100">
        <f t="shared" si="54"/>
        <v>24</v>
      </c>
      <c r="B3212" s="151" t="s">
        <v>2566</v>
      </c>
      <c r="C3212" s="152" t="s">
        <v>2575</v>
      </c>
      <c r="D3212" s="103"/>
      <c r="E3212" s="155">
        <v>12500</v>
      </c>
    </row>
    <row r="3213" spans="1:5" x14ac:dyDescent="0.25">
      <c r="A3213" s="100">
        <f t="shared" si="54"/>
        <v>25</v>
      </c>
      <c r="B3213" s="151" t="s">
        <v>2578</v>
      </c>
      <c r="C3213" s="152" t="s">
        <v>2576</v>
      </c>
      <c r="D3213" s="103"/>
      <c r="E3213" s="155">
        <v>22500</v>
      </c>
    </row>
    <row r="3214" spans="1:5" x14ac:dyDescent="0.25">
      <c r="A3214" s="100">
        <f t="shared" si="54"/>
        <v>26</v>
      </c>
      <c r="B3214" s="151" t="s">
        <v>774</v>
      </c>
      <c r="C3214" s="152" t="s">
        <v>763</v>
      </c>
      <c r="D3214" s="103"/>
      <c r="E3214" s="155">
        <v>5000</v>
      </c>
    </row>
    <row r="3215" spans="1:5" x14ac:dyDescent="0.25">
      <c r="A3215" s="100">
        <f t="shared" si="54"/>
        <v>27</v>
      </c>
      <c r="B3215" s="151" t="s">
        <v>2579</v>
      </c>
      <c r="C3215" s="152" t="s">
        <v>2577</v>
      </c>
      <c r="D3215" s="103"/>
      <c r="E3215" s="155">
        <v>5000</v>
      </c>
    </row>
    <row r="3216" spans="1:5" x14ac:dyDescent="0.25">
      <c r="A3216" s="153"/>
      <c r="B3216" s="151"/>
      <c r="C3216" s="152"/>
      <c r="D3216" s="154"/>
      <c r="E3216" s="155"/>
    </row>
    <row r="3217" spans="1:5" ht="15.75" thickBot="1" x14ac:dyDescent="0.3">
      <c r="A3217" s="105"/>
      <c r="B3217" s="240" t="s">
        <v>10</v>
      </c>
      <c r="C3217" s="241"/>
      <c r="D3217" s="242"/>
      <c r="E3217" s="106">
        <f>SUM(E3189:E3215)</f>
        <v>380000</v>
      </c>
    </row>
    <row r="3218" spans="1:5" x14ac:dyDescent="0.25">
      <c r="A3218" s="95"/>
      <c r="B3218" s="130"/>
      <c r="C3218" s="130"/>
      <c r="E3218" s="131"/>
    </row>
    <row r="3219" spans="1:5" x14ac:dyDescent="0.25">
      <c r="A3219" s="94"/>
      <c r="B3219" s="94"/>
      <c r="C3219" s="95"/>
      <c r="D3219" s="108" t="s">
        <v>2536</v>
      </c>
      <c r="E3219" s="94"/>
    </row>
    <row r="3220" spans="1:5" x14ac:dyDescent="0.25">
      <c r="D3220" s="108" t="s">
        <v>83</v>
      </c>
    </row>
    <row r="3234" spans="1:5" x14ac:dyDescent="0.25">
      <c r="A3234" s="93" t="s">
        <v>0</v>
      </c>
      <c r="B3234" s="129"/>
      <c r="C3234" s="129"/>
      <c r="D3234" s="129"/>
      <c r="E3234" s="129"/>
    </row>
    <row r="3235" spans="1:5" x14ac:dyDescent="0.25">
      <c r="A3235" s="93" t="s">
        <v>1</v>
      </c>
      <c r="B3235" s="94"/>
      <c r="C3235" s="95"/>
      <c r="D3235" s="94"/>
      <c r="E3235" s="94"/>
    </row>
    <row r="3236" spans="1:5" x14ac:dyDescent="0.25">
      <c r="A3236" s="93"/>
      <c r="B3236" s="94"/>
      <c r="C3236" s="95"/>
      <c r="D3236" s="94"/>
      <c r="E3236" s="94"/>
    </row>
    <row r="3237" spans="1:5" x14ac:dyDescent="0.25">
      <c r="A3237" s="96" t="s">
        <v>84</v>
      </c>
      <c r="B3237" s="96"/>
      <c r="C3237" s="96"/>
      <c r="D3237" s="96"/>
      <c r="E3237" s="96"/>
    </row>
    <row r="3238" spans="1:5" x14ac:dyDescent="0.25">
      <c r="A3238" s="238" t="s">
        <v>101</v>
      </c>
      <c r="B3238" s="239"/>
      <c r="C3238" s="239"/>
      <c r="D3238" s="239"/>
      <c r="E3238" s="239"/>
    </row>
    <row r="3239" spans="1:5" x14ac:dyDescent="0.25">
      <c r="A3239" s="95"/>
      <c r="B3239" s="95"/>
      <c r="C3239" s="95"/>
      <c r="D3239" s="95"/>
      <c r="E3239" s="95"/>
    </row>
    <row r="3240" spans="1:5" ht="15.75" thickBot="1" x14ac:dyDescent="0.3">
      <c r="A3240" s="94"/>
      <c r="B3240" s="94"/>
      <c r="C3240" s="95"/>
      <c r="D3240" s="94"/>
      <c r="E3240" s="109" t="s">
        <v>2580</v>
      </c>
    </row>
    <row r="3241" spans="1:5" x14ac:dyDescent="0.25">
      <c r="A3241" s="97" t="s">
        <v>16</v>
      </c>
      <c r="B3241" s="98" t="s">
        <v>79</v>
      </c>
      <c r="C3241" s="98" t="s">
        <v>80</v>
      </c>
      <c r="D3241" s="98" t="s">
        <v>77</v>
      </c>
      <c r="E3241" s="99" t="s">
        <v>10</v>
      </c>
    </row>
    <row r="3242" spans="1:5" x14ac:dyDescent="0.25">
      <c r="A3242" s="100">
        <v>1</v>
      </c>
      <c r="B3242" s="151" t="s">
        <v>2582</v>
      </c>
      <c r="C3242" s="152" t="s">
        <v>2586</v>
      </c>
      <c r="D3242" s="103"/>
      <c r="E3242" s="104">
        <v>12500</v>
      </c>
    </row>
    <row r="3243" spans="1:5" x14ac:dyDescent="0.25">
      <c r="A3243" s="100">
        <f>A3242+1</f>
        <v>2</v>
      </c>
      <c r="B3243" s="151" t="s">
        <v>2583</v>
      </c>
      <c r="C3243" s="152" t="s">
        <v>2587</v>
      </c>
      <c r="D3243" s="103"/>
      <c r="E3243" s="104">
        <v>12500</v>
      </c>
    </row>
    <row r="3244" spans="1:5" x14ac:dyDescent="0.25">
      <c r="A3244" s="100">
        <f t="shared" ref="A3244:A3260" si="55">A3243+1</f>
        <v>3</v>
      </c>
      <c r="B3244" s="151" t="s">
        <v>2584</v>
      </c>
      <c r="C3244" s="152" t="s">
        <v>2588</v>
      </c>
      <c r="D3244" s="103"/>
      <c r="E3244" s="156">
        <v>5000</v>
      </c>
    </row>
    <row r="3245" spans="1:5" x14ac:dyDescent="0.25">
      <c r="A3245" s="100">
        <f t="shared" si="55"/>
        <v>4</v>
      </c>
      <c r="B3245" s="151" t="s">
        <v>1138</v>
      </c>
      <c r="C3245" s="152" t="s">
        <v>1145</v>
      </c>
      <c r="D3245" s="103"/>
      <c r="E3245" s="156">
        <v>5000</v>
      </c>
    </row>
    <row r="3246" spans="1:5" x14ac:dyDescent="0.25">
      <c r="A3246" s="100">
        <f t="shared" si="55"/>
        <v>5</v>
      </c>
      <c r="B3246" s="151" t="s">
        <v>2585</v>
      </c>
      <c r="C3246" s="152" t="s">
        <v>2589</v>
      </c>
      <c r="D3246" s="103"/>
      <c r="E3246" s="156">
        <v>92500</v>
      </c>
    </row>
    <row r="3247" spans="1:5" x14ac:dyDescent="0.25">
      <c r="A3247" s="100">
        <f t="shared" si="55"/>
        <v>6</v>
      </c>
      <c r="B3247" s="151" t="s">
        <v>2597</v>
      </c>
      <c r="C3247" s="152" t="s">
        <v>2590</v>
      </c>
      <c r="D3247" s="103"/>
      <c r="E3247" s="156">
        <v>12500</v>
      </c>
    </row>
    <row r="3248" spans="1:5" x14ac:dyDescent="0.25">
      <c r="A3248" s="100">
        <f t="shared" si="55"/>
        <v>7</v>
      </c>
      <c r="B3248" s="151" t="s">
        <v>2598</v>
      </c>
      <c r="C3248" s="152" t="s">
        <v>2591</v>
      </c>
      <c r="D3248" s="103"/>
      <c r="E3248" s="156">
        <v>5000</v>
      </c>
    </row>
    <row r="3249" spans="1:5" x14ac:dyDescent="0.25">
      <c r="A3249" s="100">
        <f t="shared" si="55"/>
        <v>8</v>
      </c>
      <c r="B3249" s="151" t="s">
        <v>2599</v>
      </c>
      <c r="C3249" s="152" t="s">
        <v>2592</v>
      </c>
      <c r="D3249" s="103"/>
      <c r="E3249" s="156">
        <v>42500</v>
      </c>
    </row>
    <row r="3250" spans="1:5" x14ac:dyDescent="0.25">
      <c r="A3250" s="100">
        <f t="shared" si="55"/>
        <v>9</v>
      </c>
      <c r="B3250" s="151" t="s">
        <v>2600</v>
      </c>
      <c r="C3250" s="152" t="s">
        <v>2593</v>
      </c>
      <c r="D3250" s="103"/>
      <c r="E3250" s="156">
        <v>12500</v>
      </c>
    </row>
    <row r="3251" spans="1:5" x14ac:dyDescent="0.25">
      <c r="A3251" s="100">
        <f t="shared" si="55"/>
        <v>10</v>
      </c>
      <c r="B3251" s="151" t="s">
        <v>2601</v>
      </c>
      <c r="C3251" s="152" t="s">
        <v>2594</v>
      </c>
      <c r="D3251" s="103"/>
      <c r="E3251" s="156">
        <v>22500</v>
      </c>
    </row>
    <row r="3252" spans="1:5" x14ac:dyDescent="0.25">
      <c r="A3252" s="100">
        <f t="shared" si="55"/>
        <v>11</v>
      </c>
      <c r="B3252" s="151" t="s">
        <v>2602</v>
      </c>
      <c r="C3252" s="152" t="s">
        <v>2595</v>
      </c>
      <c r="D3252" s="103"/>
      <c r="E3252" s="156">
        <v>12500</v>
      </c>
    </row>
    <row r="3253" spans="1:5" x14ac:dyDescent="0.25">
      <c r="A3253" s="100">
        <f t="shared" si="55"/>
        <v>12</v>
      </c>
      <c r="B3253" s="151" t="s">
        <v>2603</v>
      </c>
      <c r="C3253" s="152" t="s">
        <v>2596</v>
      </c>
      <c r="D3253" s="103"/>
      <c r="E3253" s="156">
        <v>32500</v>
      </c>
    </row>
    <row r="3254" spans="1:5" x14ac:dyDescent="0.25">
      <c r="A3254" s="100">
        <f t="shared" si="55"/>
        <v>13</v>
      </c>
      <c r="B3254" s="151" t="s">
        <v>119</v>
      </c>
      <c r="C3254" s="152" t="s">
        <v>127</v>
      </c>
      <c r="D3254" s="103"/>
      <c r="E3254" s="156">
        <v>5000</v>
      </c>
    </row>
    <row r="3255" spans="1:5" x14ac:dyDescent="0.25">
      <c r="A3255" s="100">
        <f t="shared" si="55"/>
        <v>14</v>
      </c>
      <c r="B3255" s="151" t="s">
        <v>2604</v>
      </c>
      <c r="C3255" s="152" t="s">
        <v>2607</v>
      </c>
      <c r="D3255" s="103"/>
      <c r="E3255" s="156">
        <v>27500</v>
      </c>
    </row>
    <row r="3256" spans="1:5" x14ac:dyDescent="0.25">
      <c r="A3256" s="100">
        <f t="shared" si="55"/>
        <v>15</v>
      </c>
      <c r="B3256" s="151" t="s">
        <v>807</v>
      </c>
      <c r="C3256" s="152" t="s">
        <v>819</v>
      </c>
      <c r="D3256" s="103"/>
      <c r="E3256" s="156">
        <v>17500</v>
      </c>
    </row>
    <row r="3257" spans="1:5" x14ac:dyDescent="0.25">
      <c r="A3257" s="100">
        <f t="shared" si="55"/>
        <v>16</v>
      </c>
      <c r="B3257" s="151" t="s">
        <v>310</v>
      </c>
      <c r="C3257" s="152" t="s">
        <v>317</v>
      </c>
      <c r="D3257" s="103"/>
      <c r="E3257" s="156">
        <v>5000</v>
      </c>
    </row>
    <row r="3258" spans="1:5" x14ac:dyDescent="0.25">
      <c r="A3258" s="100">
        <f t="shared" si="55"/>
        <v>17</v>
      </c>
      <c r="B3258" s="151" t="s">
        <v>2605</v>
      </c>
      <c r="C3258" s="152" t="s">
        <v>2608</v>
      </c>
      <c r="D3258" s="103"/>
      <c r="E3258" s="156">
        <v>12500</v>
      </c>
    </row>
    <row r="3259" spans="1:5" x14ac:dyDescent="0.25">
      <c r="A3259" s="100">
        <f t="shared" si="55"/>
        <v>18</v>
      </c>
      <c r="B3259" s="151" t="s">
        <v>2606</v>
      </c>
      <c r="C3259" s="152" t="s">
        <v>2609</v>
      </c>
      <c r="D3259" s="103"/>
      <c r="E3259" s="156">
        <v>12500</v>
      </c>
    </row>
    <row r="3260" spans="1:5" x14ac:dyDescent="0.25">
      <c r="A3260" s="100">
        <f t="shared" si="55"/>
        <v>19</v>
      </c>
      <c r="B3260" s="151" t="s">
        <v>2610</v>
      </c>
      <c r="C3260" s="152" t="s">
        <v>223</v>
      </c>
      <c r="D3260" s="103"/>
      <c r="E3260" s="156">
        <v>5000</v>
      </c>
    </row>
    <row r="3261" spans="1:5" x14ac:dyDescent="0.25">
      <c r="A3261" s="153"/>
      <c r="B3261" s="151"/>
      <c r="C3261" s="152"/>
      <c r="D3261" s="154"/>
      <c r="E3261" s="155"/>
    </row>
    <row r="3262" spans="1:5" ht="15.75" thickBot="1" x14ac:dyDescent="0.3">
      <c r="A3262" s="105"/>
      <c r="B3262" s="240" t="s">
        <v>10</v>
      </c>
      <c r="C3262" s="241"/>
      <c r="D3262" s="242"/>
      <c r="E3262" s="106">
        <f>SUM(E3242:E3260)</f>
        <v>352500</v>
      </c>
    </row>
    <row r="3263" spans="1:5" x14ac:dyDescent="0.25">
      <c r="A3263" s="95"/>
      <c r="B3263" s="130"/>
      <c r="C3263" s="130"/>
      <c r="E3263" s="131"/>
    </row>
    <row r="3264" spans="1:5" x14ac:dyDescent="0.25">
      <c r="A3264" s="94"/>
      <c r="B3264" s="94"/>
      <c r="C3264" s="95"/>
      <c r="D3264" s="108" t="s">
        <v>2581</v>
      </c>
      <c r="E3264" s="94"/>
    </row>
    <row r="3265" spans="4:4" x14ac:dyDescent="0.25">
      <c r="D3265" s="108" t="s">
        <v>83</v>
      </c>
    </row>
    <row r="3287" spans="1:5" x14ac:dyDescent="0.25">
      <c r="A3287" s="93" t="s">
        <v>0</v>
      </c>
      <c r="B3287" s="129"/>
      <c r="C3287" s="129"/>
      <c r="D3287" s="129"/>
      <c r="E3287" s="129"/>
    </row>
    <row r="3288" spans="1:5" x14ac:dyDescent="0.25">
      <c r="A3288" s="93" t="s">
        <v>1</v>
      </c>
      <c r="B3288" s="94"/>
      <c r="C3288" s="95"/>
      <c r="D3288" s="94"/>
      <c r="E3288" s="94"/>
    </row>
    <row r="3289" spans="1:5" x14ac:dyDescent="0.25">
      <c r="A3289" s="93"/>
      <c r="B3289" s="94"/>
      <c r="C3289" s="95"/>
      <c r="D3289" s="94"/>
      <c r="E3289" s="94"/>
    </row>
    <row r="3290" spans="1:5" x14ac:dyDescent="0.25">
      <c r="A3290" s="96" t="s">
        <v>84</v>
      </c>
      <c r="B3290" s="96"/>
      <c r="C3290" s="96"/>
      <c r="D3290" s="96"/>
      <c r="E3290" s="96"/>
    </row>
    <row r="3291" spans="1:5" x14ac:dyDescent="0.25">
      <c r="A3291" s="238" t="s">
        <v>101</v>
      </c>
      <c r="B3291" s="239"/>
      <c r="C3291" s="239"/>
      <c r="D3291" s="239"/>
      <c r="E3291" s="239"/>
    </row>
    <row r="3292" spans="1:5" x14ac:dyDescent="0.25">
      <c r="A3292" s="95"/>
      <c r="B3292" s="95"/>
      <c r="C3292" s="95"/>
      <c r="D3292" s="95"/>
      <c r="E3292" s="95"/>
    </row>
    <row r="3293" spans="1:5" ht="15.75" thickBot="1" x14ac:dyDescent="0.3">
      <c r="A3293" s="94"/>
      <c r="B3293" s="94"/>
      <c r="C3293" s="95"/>
      <c r="D3293" s="94"/>
      <c r="E3293" s="109" t="s">
        <v>2611</v>
      </c>
    </row>
    <row r="3294" spans="1:5" x14ac:dyDescent="0.25">
      <c r="A3294" s="97" t="s">
        <v>16</v>
      </c>
      <c r="B3294" s="98" t="s">
        <v>79</v>
      </c>
      <c r="C3294" s="98" t="s">
        <v>80</v>
      </c>
      <c r="D3294" s="98" t="s">
        <v>77</v>
      </c>
      <c r="E3294" s="99" t="s">
        <v>10</v>
      </c>
    </row>
    <row r="3295" spans="1:5" x14ac:dyDescent="0.25">
      <c r="A3295" s="100">
        <v>1</v>
      </c>
      <c r="B3295" s="151" t="s">
        <v>923</v>
      </c>
      <c r="C3295" s="152" t="s">
        <v>918</v>
      </c>
      <c r="D3295" s="103"/>
      <c r="E3295" s="104">
        <v>5000</v>
      </c>
    </row>
    <row r="3296" spans="1:5" x14ac:dyDescent="0.25">
      <c r="A3296" s="100">
        <f>A3295+1</f>
        <v>2</v>
      </c>
      <c r="B3296" s="151" t="s">
        <v>2613</v>
      </c>
      <c r="C3296" s="152" t="s">
        <v>2618</v>
      </c>
      <c r="D3296" s="103"/>
      <c r="E3296" s="104">
        <v>12500</v>
      </c>
    </row>
    <row r="3297" spans="1:5" x14ac:dyDescent="0.25">
      <c r="A3297" s="100">
        <f t="shared" ref="A3297:A3319" si="56">A3296+1</f>
        <v>3</v>
      </c>
      <c r="B3297" s="151" t="s">
        <v>2614</v>
      </c>
      <c r="C3297" s="152" t="s">
        <v>2619</v>
      </c>
      <c r="D3297" s="103"/>
      <c r="E3297" s="156">
        <v>5000</v>
      </c>
    </row>
    <row r="3298" spans="1:5" x14ac:dyDescent="0.25">
      <c r="A3298" s="100">
        <f t="shared" si="56"/>
        <v>4</v>
      </c>
      <c r="B3298" s="151" t="s">
        <v>2615</v>
      </c>
      <c r="C3298" s="152" t="s">
        <v>2620</v>
      </c>
      <c r="D3298" s="103"/>
      <c r="E3298" s="156">
        <v>5000</v>
      </c>
    </row>
    <row r="3299" spans="1:5" x14ac:dyDescent="0.25">
      <c r="A3299" s="100">
        <f t="shared" si="56"/>
        <v>5</v>
      </c>
      <c r="B3299" s="151" t="s">
        <v>2616</v>
      </c>
      <c r="C3299" s="152" t="s">
        <v>2621</v>
      </c>
      <c r="D3299" s="103"/>
      <c r="E3299" s="156">
        <v>40000</v>
      </c>
    </row>
    <row r="3300" spans="1:5" x14ac:dyDescent="0.25">
      <c r="A3300" s="100">
        <f t="shared" si="56"/>
        <v>6</v>
      </c>
      <c r="B3300" s="151" t="s">
        <v>2617</v>
      </c>
      <c r="C3300" s="152" t="s">
        <v>755</v>
      </c>
      <c r="D3300" s="103"/>
      <c r="E3300" s="156">
        <v>5000</v>
      </c>
    </row>
    <row r="3301" spans="1:5" x14ac:dyDescent="0.25">
      <c r="A3301" s="100">
        <f t="shared" si="56"/>
        <v>7</v>
      </c>
      <c r="B3301" s="151" t="s">
        <v>270</v>
      </c>
      <c r="C3301" s="152" t="s">
        <v>281</v>
      </c>
      <c r="D3301" s="103"/>
      <c r="E3301" s="156">
        <v>5000</v>
      </c>
    </row>
    <row r="3302" spans="1:5" x14ac:dyDescent="0.25">
      <c r="A3302" s="100">
        <f t="shared" si="56"/>
        <v>8</v>
      </c>
      <c r="B3302" s="151" t="s">
        <v>2626</v>
      </c>
      <c r="C3302" s="152" t="s">
        <v>2622</v>
      </c>
      <c r="D3302" s="103"/>
      <c r="E3302" s="156">
        <v>32500</v>
      </c>
    </row>
    <row r="3303" spans="1:5" x14ac:dyDescent="0.25">
      <c r="A3303" s="100">
        <f t="shared" si="56"/>
        <v>9</v>
      </c>
      <c r="B3303" s="151" t="s">
        <v>2627</v>
      </c>
      <c r="C3303" s="152" t="s">
        <v>2623</v>
      </c>
      <c r="D3303" s="103"/>
      <c r="E3303" s="156">
        <v>12500</v>
      </c>
    </row>
    <row r="3304" spans="1:5" x14ac:dyDescent="0.25">
      <c r="A3304" s="100">
        <f t="shared" si="56"/>
        <v>10</v>
      </c>
      <c r="B3304" s="151" t="s">
        <v>929</v>
      </c>
      <c r="C3304" s="152" t="s">
        <v>935</v>
      </c>
      <c r="D3304" s="103"/>
      <c r="E3304" s="156">
        <v>5000</v>
      </c>
    </row>
    <row r="3305" spans="1:5" x14ac:dyDescent="0.25">
      <c r="A3305" s="100">
        <f t="shared" si="56"/>
        <v>11</v>
      </c>
      <c r="B3305" s="151" t="s">
        <v>301</v>
      </c>
      <c r="C3305" s="152" t="s">
        <v>288</v>
      </c>
      <c r="D3305" s="103"/>
      <c r="E3305" s="156">
        <v>5000</v>
      </c>
    </row>
    <row r="3306" spans="1:5" x14ac:dyDescent="0.25">
      <c r="A3306" s="100">
        <f t="shared" si="56"/>
        <v>12</v>
      </c>
      <c r="B3306" s="151" t="s">
        <v>769</v>
      </c>
      <c r="C3306" s="152" t="s">
        <v>759</v>
      </c>
      <c r="D3306" s="103"/>
      <c r="E3306" s="156">
        <v>5000</v>
      </c>
    </row>
    <row r="3307" spans="1:5" x14ac:dyDescent="0.25">
      <c r="A3307" s="100">
        <f t="shared" si="56"/>
        <v>13</v>
      </c>
      <c r="B3307" s="151" t="s">
        <v>484</v>
      </c>
      <c r="C3307" s="152" t="s">
        <v>477</v>
      </c>
      <c r="D3307" s="103"/>
      <c r="E3307" s="156">
        <v>5000</v>
      </c>
    </row>
    <row r="3308" spans="1:5" x14ac:dyDescent="0.25">
      <c r="A3308" s="100">
        <f t="shared" si="56"/>
        <v>14</v>
      </c>
      <c r="B3308" s="151" t="s">
        <v>2628</v>
      </c>
      <c r="C3308" s="152" t="s">
        <v>2624</v>
      </c>
      <c r="D3308" s="103"/>
      <c r="E3308" s="156">
        <v>7500</v>
      </c>
    </row>
    <row r="3309" spans="1:5" x14ac:dyDescent="0.25">
      <c r="A3309" s="100">
        <f t="shared" si="56"/>
        <v>15</v>
      </c>
      <c r="B3309" s="151" t="s">
        <v>2629</v>
      </c>
      <c r="C3309" s="152" t="s">
        <v>2625</v>
      </c>
      <c r="D3309" s="103"/>
      <c r="E3309" s="156">
        <v>102500</v>
      </c>
    </row>
    <row r="3310" spans="1:5" x14ac:dyDescent="0.25">
      <c r="A3310" s="100">
        <f t="shared" si="56"/>
        <v>16</v>
      </c>
      <c r="B3310" s="151" t="s">
        <v>598</v>
      </c>
      <c r="C3310" s="152" t="s">
        <v>589</v>
      </c>
      <c r="D3310" s="103"/>
      <c r="E3310" s="156">
        <v>5000</v>
      </c>
    </row>
    <row r="3311" spans="1:5" x14ac:dyDescent="0.25">
      <c r="A3311" s="100">
        <f t="shared" si="56"/>
        <v>17</v>
      </c>
      <c r="B3311" s="151" t="s">
        <v>772</v>
      </c>
      <c r="C3311" s="152" t="s">
        <v>775</v>
      </c>
      <c r="D3311" s="103"/>
      <c r="E3311" s="156">
        <v>5000</v>
      </c>
    </row>
    <row r="3312" spans="1:5" x14ac:dyDescent="0.25">
      <c r="A3312" s="100">
        <f t="shared" si="56"/>
        <v>18</v>
      </c>
      <c r="B3312" s="151" t="s">
        <v>2633</v>
      </c>
      <c r="C3312" s="152" t="s">
        <v>2630</v>
      </c>
      <c r="D3312" s="103"/>
      <c r="E3312" s="156">
        <v>22500</v>
      </c>
    </row>
    <row r="3313" spans="1:5" x14ac:dyDescent="0.25">
      <c r="A3313" s="100">
        <f t="shared" si="56"/>
        <v>19</v>
      </c>
      <c r="B3313" s="151" t="s">
        <v>2634</v>
      </c>
      <c r="C3313" s="152" t="s">
        <v>2631</v>
      </c>
      <c r="D3313" s="103"/>
      <c r="E3313" s="156">
        <v>5000</v>
      </c>
    </row>
    <row r="3314" spans="1:5" x14ac:dyDescent="0.25">
      <c r="A3314" s="100">
        <f t="shared" si="56"/>
        <v>20</v>
      </c>
      <c r="B3314" s="151" t="s">
        <v>2635</v>
      </c>
      <c r="C3314" s="152" t="s">
        <v>2632</v>
      </c>
      <c r="D3314" s="103"/>
      <c r="E3314" s="156">
        <v>5000</v>
      </c>
    </row>
    <row r="3315" spans="1:5" x14ac:dyDescent="0.25">
      <c r="A3315" s="100">
        <f t="shared" si="56"/>
        <v>21</v>
      </c>
      <c r="B3315" s="151" t="s">
        <v>1666</v>
      </c>
      <c r="C3315" s="152" t="s">
        <v>1671</v>
      </c>
      <c r="D3315" s="103"/>
      <c r="E3315" s="156">
        <v>5000</v>
      </c>
    </row>
    <row r="3316" spans="1:5" x14ac:dyDescent="0.25">
      <c r="A3316" s="100">
        <f t="shared" si="56"/>
        <v>22</v>
      </c>
      <c r="B3316" s="151" t="s">
        <v>372</v>
      </c>
      <c r="C3316" s="152" t="s">
        <v>381</v>
      </c>
      <c r="D3316" s="103"/>
      <c r="E3316" s="156">
        <v>5000</v>
      </c>
    </row>
    <row r="3317" spans="1:5" x14ac:dyDescent="0.25">
      <c r="A3317" s="100">
        <f t="shared" si="56"/>
        <v>23</v>
      </c>
      <c r="B3317" s="151" t="s">
        <v>301</v>
      </c>
      <c r="C3317" s="152" t="s">
        <v>319</v>
      </c>
      <c r="D3317" s="103"/>
      <c r="E3317" s="156">
        <v>5000</v>
      </c>
    </row>
    <row r="3318" spans="1:5" x14ac:dyDescent="0.25">
      <c r="A3318" s="100">
        <f t="shared" si="56"/>
        <v>24</v>
      </c>
      <c r="B3318" s="151" t="s">
        <v>312</v>
      </c>
      <c r="C3318" s="152" t="s">
        <v>320</v>
      </c>
      <c r="D3318" s="103"/>
      <c r="E3318" s="156">
        <v>5000</v>
      </c>
    </row>
    <row r="3319" spans="1:5" x14ac:dyDescent="0.25">
      <c r="A3319" s="100">
        <f t="shared" si="56"/>
        <v>25</v>
      </c>
      <c r="B3319" s="151" t="s">
        <v>956</v>
      </c>
      <c r="C3319" s="152" t="s">
        <v>2636</v>
      </c>
      <c r="D3319" s="103"/>
      <c r="E3319" s="156">
        <v>12500</v>
      </c>
    </row>
    <row r="3320" spans="1:5" x14ac:dyDescent="0.25">
      <c r="A3320" s="153"/>
      <c r="B3320" s="151"/>
      <c r="C3320" s="152"/>
      <c r="D3320" s="154"/>
      <c r="E3320" s="155"/>
    </row>
    <row r="3321" spans="1:5" ht="15.75" thickBot="1" x14ac:dyDescent="0.3">
      <c r="A3321" s="105"/>
      <c r="B3321" s="240" t="s">
        <v>10</v>
      </c>
      <c r="C3321" s="241"/>
      <c r="D3321" s="242"/>
      <c r="E3321" s="106">
        <f>SUM(E3295:E3319)</f>
        <v>327500</v>
      </c>
    </row>
    <row r="3322" spans="1:5" x14ac:dyDescent="0.25">
      <c r="A3322" s="95"/>
      <c r="B3322" s="130"/>
      <c r="C3322" s="130"/>
      <c r="E3322" s="131"/>
    </row>
    <row r="3323" spans="1:5" x14ac:dyDescent="0.25">
      <c r="A3323" s="94"/>
      <c r="B3323" s="94"/>
      <c r="C3323" s="95"/>
      <c r="D3323" s="108" t="s">
        <v>2612</v>
      </c>
      <c r="E3323" s="94"/>
    </row>
    <row r="3324" spans="1:5" x14ac:dyDescent="0.25">
      <c r="D3324" s="108" t="s">
        <v>83</v>
      </c>
    </row>
    <row r="3340" spans="1:5" x14ac:dyDescent="0.25">
      <c r="A3340" s="93" t="s">
        <v>0</v>
      </c>
      <c r="B3340" s="129"/>
      <c r="C3340" s="129"/>
      <c r="D3340" s="129"/>
      <c r="E3340" s="129"/>
    </row>
    <row r="3341" spans="1:5" x14ac:dyDescent="0.25">
      <c r="A3341" s="93" t="s">
        <v>1</v>
      </c>
      <c r="B3341" s="94"/>
      <c r="C3341" s="95"/>
      <c r="D3341" s="94"/>
      <c r="E3341" s="94"/>
    </row>
    <row r="3342" spans="1:5" x14ac:dyDescent="0.25">
      <c r="A3342" s="93"/>
      <c r="B3342" s="94"/>
      <c r="C3342" s="95"/>
      <c r="D3342" s="94"/>
      <c r="E3342" s="94"/>
    </row>
    <row r="3343" spans="1:5" x14ac:dyDescent="0.25">
      <c r="A3343" s="96" t="s">
        <v>84</v>
      </c>
      <c r="B3343" s="96"/>
      <c r="C3343" s="96"/>
      <c r="D3343" s="96"/>
      <c r="E3343" s="96"/>
    </row>
    <row r="3344" spans="1:5" x14ac:dyDescent="0.25">
      <c r="A3344" s="238" t="s">
        <v>101</v>
      </c>
      <c r="B3344" s="239"/>
      <c r="C3344" s="239"/>
      <c r="D3344" s="239"/>
      <c r="E3344" s="239"/>
    </row>
    <row r="3345" spans="1:5" x14ac:dyDescent="0.25">
      <c r="A3345" s="95"/>
      <c r="B3345" s="95"/>
      <c r="C3345" s="95"/>
      <c r="D3345" s="95"/>
      <c r="E3345" s="95"/>
    </row>
    <row r="3346" spans="1:5" ht="15.75" thickBot="1" x14ac:dyDescent="0.3">
      <c r="A3346" s="94"/>
      <c r="B3346" s="94"/>
      <c r="C3346" s="95"/>
      <c r="D3346" s="94"/>
      <c r="E3346" s="109" t="s">
        <v>2637</v>
      </c>
    </row>
    <row r="3347" spans="1:5" x14ac:dyDescent="0.25">
      <c r="A3347" s="97" t="s">
        <v>16</v>
      </c>
      <c r="B3347" s="98" t="s">
        <v>79</v>
      </c>
      <c r="C3347" s="98" t="s">
        <v>80</v>
      </c>
      <c r="D3347" s="98" t="s">
        <v>77</v>
      </c>
      <c r="E3347" s="99" t="s">
        <v>10</v>
      </c>
    </row>
    <row r="3348" spans="1:5" x14ac:dyDescent="0.25">
      <c r="A3348" s="100">
        <v>1</v>
      </c>
      <c r="B3348" s="151" t="s">
        <v>2639</v>
      </c>
      <c r="C3348" s="152" t="s">
        <v>2643</v>
      </c>
      <c r="D3348" s="103"/>
      <c r="E3348" s="104">
        <v>60000</v>
      </c>
    </row>
    <row r="3349" spans="1:5" x14ac:dyDescent="0.25">
      <c r="A3349" s="100">
        <f>A3348+1</f>
        <v>2</v>
      </c>
      <c r="B3349" s="151" t="s">
        <v>2640</v>
      </c>
      <c r="C3349" s="152" t="s">
        <v>2644</v>
      </c>
      <c r="D3349" s="103"/>
      <c r="E3349" s="104">
        <v>5000</v>
      </c>
    </row>
    <row r="3350" spans="1:5" x14ac:dyDescent="0.25">
      <c r="A3350" s="100">
        <f t="shared" ref="A3350:A3366" si="57">A3349+1</f>
        <v>3</v>
      </c>
      <c r="B3350" s="151" t="s">
        <v>186</v>
      </c>
      <c r="C3350" s="152" t="s">
        <v>2645</v>
      </c>
      <c r="D3350" s="103"/>
      <c r="E3350" s="156">
        <v>5000</v>
      </c>
    </row>
    <row r="3351" spans="1:5" x14ac:dyDescent="0.25">
      <c r="A3351" s="100">
        <f t="shared" si="57"/>
        <v>4</v>
      </c>
      <c r="B3351" s="151" t="s">
        <v>2641</v>
      </c>
      <c r="C3351" s="152" t="s">
        <v>2646</v>
      </c>
      <c r="D3351" s="103"/>
      <c r="E3351" s="156">
        <v>5000</v>
      </c>
    </row>
    <row r="3352" spans="1:5" x14ac:dyDescent="0.25">
      <c r="A3352" s="100">
        <f t="shared" si="57"/>
        <v>5</v>
      </c>
      <c r="B3352" s="151" t="s">
        <v>2642</v>
      </c>
      <c r="C3352" s="152" t="s">
        <v>2647</v>
      </c>
      <c r="D3352" s="103"/>
      <c r="E3352" s="156">
        <v>5000</v>
      </c>
    </row>
    <row r="3353" spans="1:5" x14ac:dyDescent="0.25">
      <c r="A3353" s="100">
        <f t="shared" si="57"/>
        <v>6</v>
      </c>
      <c r="B3353" s="151" t="s">
        <v>123</v>
      </c>
      <c r="C3353" s="152" t="s">
        <v>2648</v>
      </c>
      <c r="D3353" s="103"/>
      <c r="E3353" s="156">
        <v>72500</v>
      </c>
    </row>
    <row r="3354" spans="1:5" x14ac:dyDescent="0.25">
      <c r="A3354" s="100">
        <f t="shared" si="57"/>
        <v>7</v>
      </c>
      <c r="B3354" s="151" t="s">
        <v>2655</v>
      </c>
      <c r="C3354" s="152" t="s">
        <v>2649</v>
      </c>
      <c r="D3354" s="103"/>
      <c r="E3354" s="156">
        <v>30000</v>
      </c>
    </row>
    <row r="3355" spans="1:5" x14ac:dyDescent="0.25">
      <c r="A3355" s="100">
        <f t="shared" si="57"/>
        <v>8</v>
      </c>
      <c r="B3355" s="151" t="s">
        <v>2656</v>
      </c>
      <c r="C3355" s="152" t="s">
        <v>2650</v>
      </c>
      <c r="D3355" s="103"/>
      <c r="E3355" s="156">
        <v>5000</v>
      </c>
    </row>
    <row r="3356" spans="1:5" x14ac:dyDescent="0.25">
      <c r="A3356" s="100">
        <f t="shared" si="57"/>
        <v>9</v>
      </c>
      <c r="B3356" s="151" t="s">
        <v>2657</v>
      </c>
      <c r="C3356" s="152" t="s">
        <v>2651</v>
      </c>
      <c r="D3356" s="103"/>
      <c r="E3356" s="156">
        <v>5000</v>
      </c>
    </row>
    <row r="3357" spans="1:5" x14ac:dyDescent="0.25">
      <c r="A3357" s="100">
        <f t="shared" si="57"/>
        <v>10</v>
      </c>
      <c r="B3357" s="151" t="s">
        <v>2658</v>
      </c>
      <c r="C3357" s="152" t="s">
        <v>2652</v>
      </c>
      <c r="D3357" s="103"/>
      <c r="E3357" s="156">
        <v>52500</v>
      </c>
    </row>
    <row r="3358" spans="1:5" x14ac:dyDescent="0.25">
      <c r="A3358" s="100">
        <f t="shared" si="57"/>
        <v>11</v>
      </c>
      <c r="B3358" s="151" t="s">
        <v>2659</v>
      </c>
      <c r="C3358" s="152" t="s">
        <v>2653</v>
      </c>
      <c r="D3358" s="103"/>
      <c r="E3358" s="156">
        <v>22500</v>
      </c>
    </row>
    <row r="3359" spans="1:5" x14ac:dyDescent="0.25">
      <c r="A3359" s="100">
        <f t="shared" si="57"/>
        <v>12</v>
      </c>
      <c r="B3359" s="151" t="s">
        <v>951</v>
      </c>
      <c r="C3359" s="152" t="s">
        <v>944</v>
      </c>
      <c r="D3359" s="103"/>
      <c r="E3359" s="156">
        <v>5000</v>
      </c>
    </row>
    <row r="3360" spans="1:5" x14ac:dyDescent="0.25">
      <c r="A3360" s="100">
        <f t="shared" si="57"/>
        <v>13</v>
      </c>
      <c r="B3360" s="151" t="s">
        <v>1299</v>
      </c>
      <c r="C3360" s="152" t="s">
        <v>2654</v>
      </c>
      <c r="D3360" s="103"/>
      <c r="E3360" s="156">
        <v>12500</v>
      </c>
    </row>
    <row r="3361" spans="1:5" x14ac:dyDescent="0.25">
      <c r="A3361" s="100">
        <f t="shared" si="57"/>
        <v>14</v>
      </c>
      <c r="B3361" s="151" t="s">
        <v>2660</v>
      </c>
      <c r="C3361" s="152" t="s">
        <v>2664</v>
      </c>
      <c r="D3361" s="103"/>
      <c r="E3361" s="156">
        <v>5000</v>
      </c>
    </row>
    <row r="3362" spans="1:5" x14ac:dyDescent="0.25">
      <c r="A3362" s="100">
        <f t="shared" si="57"/>
        <v>15</v>
      </c>
      <c r="B3362" s="151" t="s">
        <v>2661</v>
      </c>
      <c r="C3362" s="152" t="s">
        <v>2665</v>
      </c>
      <c r="D3362" s="103"/>
      <c r="E3362" s="156">
        <v>5000</v>
      </c>
    </row>
    <row r="3363" spans="1:5" x14ac:dyDescent="0.25">
      <c r="A3363" s="100">
        <f t="shared" si="57"/>
        <v>16</v>
      </c>
      <c r="B3363" s="151" t="s">
        <v>2662</v>
      </c>
      <c r="C3363" s="152" t="s">
        <v>2666</v>
      </c>
      <c r="D3363" s="103"/>
      <c r="E3363" s="156">
        <v>5000</v>
      </c>
    </row>
    <row r="3364" spans="1:5" x14ac:dyDescent="0.25">
      <c r="A3364" s="100">
        <f t="shared" si="57"/>
        <v>17</v>
      </c>
      <c r="B3364" s="151" t="s">
        <v>1165</v>
      </c>
      <c r="C3364" s="152" t="s">
        <v>1172</v>
      </c>
      <c r="D3364" s="103"/>
      <c r="E3364" s="156">
        <v>5000</v>
      </c>
    </row>
    <row r="3365" spans="1:5" x14ac:dyDescent="0.25">
      <c r="A3365" s="100">
        <f t="shared" si="57"/>
        <v>18</v>
      </c>
      <c r="B3365" s="151" t="s">
        <v>2663</v>
      </c>
      <c r="C3365" s="152" t="s">
        <v>2667</v>
      </c>
      <c r="D3365" s="103"/>
      <c r="E3365" s="156">
        <v>12500</v>
      </c>
    </row>
    <row r="3366" spans="1:5" x14ac:dyDescent="0.25">
      <c r="A3366" s="100">
        <f t="shared" si="57"/>
        <v>19</v>
      </c>
      <c r="B3366" s="151" t="s">
        <v>1332</v>
      </c>
      <c r="C3366" s="152" t="s">
        <v>1325</v>
      </c>
      <c r="D3366" s="103"/>
      <c r="E3366" s="156">
        <v>5000</v>
      </c>
    </row>
    <row r="3367" spans="1:5" x14ac:dyDescent="0.25">
      <c r="A3367" s="153"/>
      <c r="B3367" s="151"/>
      <c r="C3367" s="152"/>
      <c r="D3367" s="154"/>
      <c r="E3367" s="155"/>
    </row>
    <row r="3368" spans="1:5" ht="15.75" thickBot="1" x14ac:dyDescent="0.3">
      <c r="A3368" s="105"/>
      <c r="B3368" s="240" t="s">
        <v>10</v>
      </c>
      <c r="C3368" s="241"/>
      <c r="D3368" s="242"/>
      <c r="E3368" s="106">
        <f>SUM(E3348:E3366)</f>
        <v>322500</v>
      </c>
    </row>
    <row r="3369" spans="1:5" x14ac:dyDescent="0.25">
      <c r="A3369" s="95"/>
      <c r="B3369" s="130"/>
      <c r="C3369" s="130"/>
      <c r="E3369" s="131"/>
    </row>
    <row r="3370" spans="1:5" x14ac:dyDescent="0.25">
      <c r="A3370" s="94"/>
      <c r="B3370" s="94"/>
      <c r="C3370" s="95"/>
      <c r="D3370" s="108" t="s">
        <v>2638</v>
      </c>
      <c r="E3370" s="94"/>
    </row>
    <row r="3371" spans="1:5" x14ac:dyDescent="0.25">
      <c r="D3371" s="108" t="s">
        <v>83</v>
      </c>
    </row>
    <row r="3393" spans="1:5" x14ac:dyDescent="0.25">
      <c r="A3393" s="93" t="s">
        <v>0</v>
      </c>
      <c r="B3393" s="129"/>
      <c r="C3393" s="129"/>
      <c r="D3393" s="129"/>
      <c r="E3393" s="129"/>
    </row>
    <row r="3394" spans="1:5" x14ac:dyDescent="0.25">
      <c r="A3394" s="93" t="s">
        <v>1</v>
      </c>
      <c r="B3394" s="94"/>
      <c r="C3394" s="95"/>
      <c r="D3394" s="94"/>
      <c r="E3394" s="94"/>
    </row>
    <row r="3395" spans="1:5" x14ac:dyDescent="0.25">
      <c r="A3395" s="93"/>
      <c r="B3395" s="94"/>
      <c r="C3395" s="95"/>
      <c r="D3395" s="94"/>
      <c r="E3395" s="94"/>
    </row>
    <row r="3396" spans="1:5" x14ac:dyDescent="0.25">
      <c r="A3396" s="96" t="s">
        <v>84</v>
      </c>
      <c r="B3396" s="96"/>
      <c r="C3396" s="96"/>
      <c r="D3396" s="96"/>
      <c r="E3396" s="96"/>
    </row>
    <row r="3397" spans="1:5" x14ac:dyDescent="0.25">
      <c r="A3397" s="238" t="s">
        <v>101</v>
      </c>
      <c r="B3397" s="239"/>
      <c r="C3397" s="239"/>
      <c r="D3397" s="239"/>
      <c r="E3397" s="239"/>
    </row>
    <row r="3398" spans="1:5" x14ac:dyDescent="0.25">
      <c r="A3398" s="95"/>
      <c r="B3398" s="95"/>
      <c r="C3398" s="95"/>
      <c r="D3398" s="95"/>
      <c r="E3398" s="95"/>
    </row>
    <row r="3399" spans="1:5" ht="15.75" thickBot="1" x14ac:dyDescent="0.3">
      <c r="A3399" s="94"/>
      <c r="B3399" s="94"/>
      <c r="C3399" s="95"/>
      <c r="D3399" s="94"/>
      <c r="E3399" s="109" t="s">
        <v>2668</v>
      </c>
    </row>
    <row r="3400" spans="1:5" x14ac:dyDescent="0.25">
      <c r="A3400" s="97" t="s">
        <v>16</v>
      </c>
      <c r="B3400" s="98" t="s">
        <v>79</v>
      </c>
      <c r="C3400" s="98" t="s">
        <v>80</v>
      </c>
      <c r="D3400" s="98" t="s">
        <v>77</v>
      </c>
      <c r="E3400" s="99" t="s">
        <v>10</v>
      </c>
    </row>
    <row r="3401" spans="1:5" x14ac:dyDescent="0.25">
      <c r="A3401" s="100">
        <v>1</v>
      </c>
      <c r="B3401" s="151" t="s">
        <v>2670</v>
      </c>
      <c r="C3401" s="152" t="s">
        <v>2672</v>
      </c>
      <c r="D3401" s="103"/>
      <c r="E3401" s="104">
        <v>12500</v>
      </c>
    </row>
    <row r="3402" spans="1:5" x14ac:dyDescent="0.25">
      <c r="A3402" s="100">
        <f>A3401+1</f>
        <v>2</v>
      </c>
      <c r="B3402" s="151" t="s">
        <v>2671</v>
      </c>
      <c r="C3402" s="152" t="s">
        <v>635</v>
      </c>
      <c r="D3402" s="103"/>
      <c r="E3402" s="104">
        <v>5000</v>
      </c>
    </row>
    <row r="3403" spans="1:5" x14ac:dyDescent="0.25">
      <c r="A3403" s="100">
        <f t="shared" ref="A3403:A3436" si="58">A3402+1</f>
        <v>3</v>
      </c>
      <c r="B3403" s="151" t="s">
        <v>536</v>
      </c>
      <c r="C3403" s="152" t="s">
        <v>529</v>
      </c>
      <c r="D3403" s="103"/>
      <c r="E3403" s="156">
        <v>5000</v>
      </c>
    </row>
    <row r="3404" spans="1:5" x14ac:dyDescent="0.25">
      <c r="A3404" s="100">
        <f t="shared" si="58"/>
        <v>4</v>
      </c>
      <c r="B3404" s="151" t="s">
        <v>2678</v>
      </c>
      <c r="C3404" s="152" t="s">
        <v>2673</v>
      </c>
      <c r="D3404" s="103"/>
      <c r="E3404" s="156">
        <v>12500</v>
      </c>
    </row>
    <row r="3405" spans="1:5" x14ac:dyDescent="0.25">
      <c r="A3405" s="100">
        <f t="shared" si="58"/>
        <v>5</v>
      </c>
      <c r="B3405" s="151" t="s">
        <v>2103</v>
      </c>
      <c r="C3405" s="152" t="s">
        <v>2110</v>
      </c>
      <c r="D3405" s="103"/>
      <c r="E3405" s="156">
        <v>5000</v>
      </c>
    </row>
    <row r="3406" spans="1:5" x14ac:dyDescent="0.25">
      <c r="A3406" s="100">
        <f t="shared" si="58"/>
        <v>6</v>
      </c>
      <c r="B3406" s="151" t="s">
        <v>2679</v>
      </c>
      <c r="C3406" s="152" t="s">
        <v>2674</v>
      </c>
      <c r="D3406" s="103"/>
      <c r="E3406" s="156">
        <v>62500</v>
      </c>
    </row>
    <row r="3407" spans="1:5" x14ac:dyDescent="0.25">
      <c r="A3407" s="100">
        <f t="shared" si="58"/>
        <v>7</v>
      </c>
      <c r="B3407" s="151" t="s">
        <v>2680</v>
      </c>
      <c r="C3407" s="152" t="s">
        <v>2675</v>
      </c>
      <c r="D3407" s="103"/>
      <c r="E3407" s="156">
        <v>90000</v>
      </c>
    </row>
    <row r="3408" spans="1:5" x14ac:dyDescent="0.25">
      <c r="A3408" s="100">
        <f t="shared" si="58"/>
        <v>8</v>
      </c>
      <c r="B3408" s="151" t="s">
        <v>855</v>
      </c>
      <c r="C3408" s="152" t="s">
        <v>845</v>
      </c>
      <c r="D3408" s="103"/>
      <c r="E3408" s="156">
        <v>5000</v>
      </c>
    </row>
    <row r="3409" spans="1:5" x14ac:dyDescent="0.25">
      <c r="A3409" s="100">
        <f t="shared" si="58"/>
        <v>9</v>
      </c>
      <c r="B3409" s="151" t="s">
        <v>2681</v>
      </c>
      <c r="C3409" s="152" t="s">
        <v>2676</v>
      </c>
      <c r="D3409" s="103"/>
      <c r="E3409" s="156">
        <v>5000</v>
      </c>
    </row>
    <row r="3410" spans="1:5" x14ac:dyDescent="0.25">
      <c r="A3410" s="100">
        <f t="shared" si="58"/>
        <v>10</v>
      </c>
      <c r="B3410" s="151" t="s">
        <v>360</v>
      </c>
      <c r="C3410" s="152" t="s">
        <v>351</v>
      </c>
      <c r="D3410" s="103"/>
      <c r="E3410" s="156">
        <v>5000</v>
      </c>
    </row>
    <row r="3411" spans="1:5" x14ac:dyDescent="0.25">
      <c r="A3411" s="100">
        <f t="shared" si="58"/>
        <v>11</v>
      </c>
      <c r="B3411" s="151" t="s">
        <v>2682</v>
      </c>
      <c r="C3411" s="152" t="s">
        <v>2677</v>
      </c>
      <c r="D3411" s="103"/>
      <c r="E3411" s="156">
        <v>52500</v>
      </c>
    </row>
    <row r="3412" spans="1:5" x14ac:dyDescent="0.25">
      <c r="A3412" s="100">
        <f t="shared" si="58"/>
        <v>12</v>
      </c>
      <c r="B3412" s="151" t="s">
        <v>2683</v>
      </c>
      <c r="C3412" s="152" t="s">
        <v>2689</v>
      </c>
      <c r="D3412" s="103"/>
      <c r="E3412" s="156">
        <v>5000</v>
      </c>
    </row>
    <row r="3413" spans="1:5" x14ac:dyDescent="0.25">
      <c r="A3413" s="100">
        <f t="shared" si="58"/>
        <v>13</v>
      </c>
      <c r="B3413" s="151" t="s">
        <v>1817</v>
      </c>
      <c r="C3413" s="152" t="s">
        <v>1825</v>
      </c>
      <c r="D3413" s="103"/>
      <c r="E3413" s="156">
        <v>5000</v>
      </c>
    </row>
    <row r="3414" spans="1:5" x14ac:dyDescent="0.25">
      <c r="A3414" s="100">
        <f t="shared" si="58"/>
        <v>14</v>
      </c>
      <c r="B3414" s="151" t="s">
        <v>2013</v>
      </c>
      <c r="C3414" s="152" t="s">
        <v>2691</v>
      </c>
      <c r="D3414" s="103"/>
      <c r="E3414" s="156">
        <v>12500</v>
      </c>
    </row>
    <row r="3415" spans="1:5" x14ac:dyDescent="0.25">
      <c r="A3415" s="100">
        <f t="shared" si="58"/>
        <v>15</v>
      </c>
      <c r="B3415" s="151" t="s">
        <v>2684</v>
      </c>
      <c r="C3415" s="152" t="s">
        <v>2690</v>
      </c>
      <c r="D3415" s="103"/>
      <c r="E3415" s="156">
        <v>12500</v>
      </c>
    </row>
    <row r="3416" spans="1:5" x14ac:dyDescent="0.25">
      <c r="A3416" s="100">
        <f t="shared" si="58"/>
        <v>16</v>
      </c>
      <c r="B3416" s="151" t="s">
        <v>465</v>
      </c>
      <c r="C3416" s="152" t="s">
        <v>474</v>
      </c>
      <c r="D3416" s="103"/>
      <c r="E3416" s="156">
        <v>5000</v>
      </c>
    </row>
    <row r="3417" spans="1:5" x14ac:dyDescent="0.25">
      <c r="A3417" s="100">
        <f t="shared" si="58"/>
        <v>17</v>
      </c>
      <c r="B3417" s="151" t="s">
        <v>1301</v>
      </c>
      <c r="C3417" s="152" t="s">
        <v>1314</v>
      </c>
      <c r="D3417" s="103"/>
      <c r="E3417" s="156">
        <v>5000</v>
      </c>
    </row>
    <row r="3418" spans="1:5" x14ac:dyDescent="0.25">
      <c r="A3418" s="100">
        <f t="shared" si="58"/>
        <v>18</v>
      </c>
      <c r="B3418" s="151" t="s">
        <v>568</v>
      </c>
      <c r="C3418" s="152" t="s">
        <v>577</v>
      </c>
      <c r="D3418" s="103"/>
      <c r="E3418" s="156">
        <v>5000</v>
      </c>
    </row>
    <row r="3419" spans="1:5" x14ac:dyDescent="0.25">
      <c r="A3419" s="100">
        <f t="shared" si="58"/>
        <v>19</v>
      </c>
      <c r="B3419" s="151" t="s">
        <v>2685</v>
      </c>
      <c r="C3419" s="152" t="s">
        <v>2692</v>
      </c>
      <c r="D3419" s="103"/>
      <c r="E3419" s="156">
        <v>7500</v>
      </c>
    </row>
    <row r="3420" spans="1:5" x14ac:dyDescent="0.25">
      <c r="A3420" s="100">
        <f t="shared" si="58"/>
        <v>20</v>
      </c>
      <c r="B3420" s="151" t="s">
        <v>2686</v>
      </c>
      <c r="C3420" s="152" t="s">
        <v>2693</v>
      </c>
      <c r="D3420" s="103"/>
      <c r="E3420" s="156">
        <v>5000</v>
      </c>
    </row>
    <row r="3421" spans="1:5" x14ac:dyDescent="0.25">
      <c r="A3421" s="100">
        <f t="shared" si="58"/>
        <v>21</v>
      </c>
      <c r="B3421" s="151" t="s">
        <v>2687</v>
      </c>
      <c r="C3421" s="152" t="s">
        <v>2694</v>
      </c>
      <c r="D3421" s="103"/>
      <c r="E3421" s="156">
        <v>12500</v>
      </c>
    </row>
    <row r="3422" spans="1:5" x14ac:dyDescent="0.25">
      <c r="A3422" s="100">
        <f t="shared" si="58"/>
        <v>22</v>
      </c>
      <c r="B3422" s="151" t="s">
        <v>2688</v>
      </c>
      <c r="C3422" s="152" t="s">
        <v>875</v>
      </c>
      <c r="D3422" s="103"/>
      <c r="E3422" s="156">
        <v>5000</v>
      </c>
    </row>
    <row r="3423" spans="1:5" x14ac:dyDescent="0.25">
      <c r="A3423" s="100">
        <f t="shared" si="58"/>
        <v>23</v>
      </c>
      <c r="B3423" s="151" t="s">
        <v>865</v>
      </c>
      <c r="C3423" s="152" t="s">
        <v>876</v>
      </c>
      <c r="D3423" s="103"/>
      <c r="E3423" s="156">
        <v>5000</v>
      </c>
    </row>
    <row r="3424" spans="1:5" x14ac:dyDescent="0.25">
      <c r="A3424" s="100">
        <f t="shared" si="58"/>
        <v>24</v>
      </c>
      <c r="B3424" s="151" t="s">
        <v>2700</v>
      </c>
      <c r="C3424" s="152" t="s">
        <v>2695</v>
      </c>
      <c r="D3424" s="103"/>
      <c r="E3424" s="156">
        <v>40000</v>
      </c>
    </row>
    <row r="3425" spans="1:5" x14ac:dyDescent="0.25">
      <c r="A3425" s="100">
        <f t="shared" si="58"/>
        <v>25</v>
      </c>
      <c r="B3425" s="151" t="s">
        <v>680</v>
      </c>
      <c r="C3425" s="152" t="s">
        <v>670</v>
      </c>
      <c r="D3425" s="103"/>
      <c r="E3425" s="156">
        <v>5000</v>
      </c>
    </row>
    <row r="3426" spans="1:5" x14ac:dyDescent="0.25">
      <c r="A3426" s="100">
        <f t="shared" si="58"/>
        <v>26</v>
      </c>
      <c r="B3426" s="151" t="s">
        <v>2679</v>
      </c>
      <c r="C3426" s="152" t="s">
        <v>2696</v>
      </c>
      <c r="D3426" s="103"/>
      <c r="E3426" s="156">
        <v>62500</v>
      </c>
    </row>
    <row r="3427" spans="1:5" x14ac:dyDescent="0.25">
      <c r="A3427" s="100">
        <f t="shared" si="58"/>
        <v>27</v>
      </c>
      <c r="B3427" s="151" t="s">
        <v>2701</v>
      </c>
      <c r="C3427" s="152" t="s">
        <v>2697</v>
      </c>
      <c r="D3427" s="103"/>
      <c r="E3427" s="156">
        <v>5000</v>
      </c>
    </row>
    <row r="3428" spans="1:5" x14ac:dyDescent="0.25">
      <c r="A3428" s="100">
        <f t="shared" si="58"/>
        <v>28</v>
      </c>
      <c r="B3428" s="151" t="s">
        <v>2702</v>
      </c>
      <c r="C3428" s="152" t="s">
        <v>2698</v>
      </c>
      <c r="D3428" s="103"/>
      <c r="E3428" s="156">
        <v>12500</v>
      </c>
    </row>
    <row r="3429" spans="1:5" x14ac:dyDescent="0.25">
      <c r="A3429" s="100">
        <f t="shared" si="58"/>
        <v>29</v>
      </c>
      <c r="B3429" s="151" t="s">
        <v>192</v>
      </c>
      <c r="C3429" s="152" t="s">
        <v>184</v>
      </c>
      <c r="D3429" s="103"/>
      <c r="E3429" s="156">
        <v>5000</v>
      </c>
    </row>
    <row r="3430" spans="1:5" x14ac:dyDescent="0.25">
      <c r="A3430" s="100">
        <f t="shared" si="58"/>
        <v>30</v>
      </c>
      <c r="B3430" s="151" t="s">
        <v>724</v>
      </c>
      <c r="C3430" s="152" t="s">
        <v>729</v>
      </c>
      <c r="D3430" s="103"/>
      <c r="E3430" s="156">
        <v>5000</v>
      </c>
    </row>
    <row r="3431" spans="1:5" x14ac:dyDescent="0.25">
      <c r="A3431" s="100">
        <f t="shared" si="58"/>
        <v>31</v>
      </c>
      <c r="B3431" s="151" t="s">
        <v>2703</v>
      </c>
      <c r="C3431" s="152" t="s">
        <v>2699</v>
      </c>
      <c r="D3431" s="103"/>
      <c r="E3431" s="156">
        <v>5000</v>
      </c>
    </row>
    <row r="3432" spans="1:5" x14ac:dyDescent="0.25">
      <c r="A3432" s="100">
        <f t="shared" si="58"/>
        <v>32</v>
      </c>
      <c r="B3432" s="151" t="s">
        <v>2704</v>
      </c>
      <c r="C3432" s="152" t="s">
        <v>2708</v>
      </c>
      <c r="D3432" s="103"/>
      <c r="E3432" s="156">
        <v>5000</v>
      </c>
    </row>
    <row r="3433" spans="1:5" x14ac:dyDescent="0.25">
      <c r="A3433" s="100">
        <f t="shared" si="58"/>
        <v>33</v>
      </c>
      <c r="B3433" s="151" t="s">
        <v>2705</v>
      </c>
      <c r="C3433" s="152" t="s">
        <v>2709</v>
      </c>
      <c r="D3433" s="103"/>
      <c r="E3433" s="156">
        <v>102500</v>
      </c>
    </row>
    <row r="3434" spans="1:5" x14ac:dyDescent="0.25">
      <c r="A3434" s="100">
        <f t="shared" si="58"/>
        <v>34</v>
      </c>
      <c r="B3434" s="151" t="s">
        <v>904</v>
      </c>
      <c r="C3434" s="152" t="s">
        <v>898</v>
      </c>
      <c r="D3434" s="103"/>
      <c r="E3434" s="156">
        <v>5000</v>
      </c>
    </row>
    <row r="3435" spans="1:5" x14ac:dyDescent="0.25">
      <c r="A3435" s="100">
        <f t="shared" si="58"/>
        <v>35</v>
      </c>
      <c r="B3435" s="151" t="s">
        <v>2706</v>
      </c>
      <c r="C3435" s="152" t="s">
        <v>2710</v>
      </c>
      <c r="D3435" s="103"/>
      <c r="E3435" s="156">
        <v>32500</v>
      </c>
    </row>
    <row r="3436" spans="1:5" x14ac:dyDescent="0.25">
      <c r="A3436" s="100">
        <f t="shared" si="58"/>
        <v>36</v>
      </c>
      <c r="B3436" s="151" t="s">
        <v>2707</v>
      </c>
      <c r="C3436" s="152" t="s">
        <v>2711</v>
      </c>
      <c r="D3436" s="103"/>
      <c r="E3436" s="156">
        <v>5000</v>
      </c>
    </row>
    <row r="3437" spans="1:5" x14ac:dyDescent="0.25">
      <c r="A3437" s="153"/>
      <c r="B3437" s="151"/>
      <c r="C3437" s="152"/>
      <c r="D3437" s="154"/>
      <c r="E3437" s="155"/>
    </row>
    <row r="3438" spans="1:5" ht="15.75" thickBot="1" x14ac:dyDescent="0.3">
      <c r="A3438" s="105"/>
      <c r="B3438" s="240" t="s">
        <v>10</v>
      </c>
      <c r="C3438" s="241"/>
      <c r="D3438" s="242"/>
      <c r="E3438" s="106">
        <f>SUM(E3401:E3436)</f>
        <v>635000</v>
      </c>
    </row>
    <row r="3439" spans="1:5" x14ac:dyDescent="0.25">
      <c r="A3439" s="95"/>
      <c r="B3439" s="130"/>
      <c r="C3439" s="130"/>
      <c r="E3439" s="131"/>
    </row>
    <row r="3440" spans="1:5" x14ac:dyDescent="0.25">
      <c r="A3440" s="94"/>
      <c r="B3440" s="94"/>
      <c r="C3440" s="95"/>
      <c r="D3440" s="108" t="s">
        <v>2669</v>
      </c>
      <c r="E3440" s="94"/>
    </row>
    <row r="3441" spans="1:5" x14ac:dyDescent="0.25">
      <c r="D3441" s="108" t="s">
        <v>83</v>
      </c>
    </row>
    <row r="3446" spans="1:5" x14ac:dyDescent="0.25">
      <c r="A3446" s="93" t="s">
        <v>0</v>
      </c>
      <c r="B3446" s="129"/>
      <c r="C3446" s="129"/>
      <c r="D3446" s="129"/>
      <c r="E3446" s="129"/>
    </row>
    <row r="3447" spans="1:5" x14ac:dyDescent="0.25">
      <c r="A3447" s="93" t="s">
        <v>1</v>
      </c>
      <c r="B3447" s="94"/>
      <c r="C3447" s="95"/>
      <c r="D3447" s="94"/>
      <c r="E3447" s="94"/>
    </row>
    <row r="3448" spans="1:5" x14ac:dyDescent="0.25">
      <c r="A3448" s="93"/>
      <c r="B3448" s="94"/>
      <c r="C3448" s="95"/>
      <c r="D3448" s="94"/>
      <c r="E3448" s="94"/>
    </row>
    <row r="3449" spans="1:5" x14ac:dyDescent="0.25">
      <c r="A3449" s="96" t="s">
        <v>84</v>
      </c>
      <c r="B3449" s="96"/>
      <c r="C3449" s="96"/>
      <c r="D3449" s="96"/>
      <c r="E3449" s="96"/>
    </row>
    <row r="3450" spans="1:5" x14ac:dyDescent="0.25">
      <c r="A3450" s="238" t="s">
        <v>101</v>
      </c>
      <c r="B3450" s="239"/>
      <c r="C3450" s="239"/>
      <c r="D3450" s="239"/>
      <c r="E3450" s="239"/>
    </row>
    <row r="3451" spans="1:5" x14ac:dyDescent="0.25">
      <c r="A3451" s="95"/>
      <c r="B3451" s="95"/>
      <c r="C3451" s="95"/>
      <c r="D3451" s="95"/>
      <c r="E3451" s="95"/>
    </row>
    <row r="3452" spans="1:5" ht="15.75" thickBot="1" x14ac:dyDescent="0.3">
      <c r="A3452" s="94"/>
      <c r="B3452" s="94"/>
      <c r="C3452" s="95"/>
      <c r="D3452" s="94"/>
      <c r="E3452" s="109" t="s">
        <v>2712</v>
      </c>
    </row>
    <row r="3453" spans="1:5" x14ac:dyDescent="0.25">
      <c r="A3453" s="97" t="s">
        <v>16</v>
      </c>
      <c r="B3453" s="98" t="s">
        <v>79</v>
      </c>
      <c r="C3453" s="98" t="s">
        <v>80</v>
      </c>
      <c r="D3453" s="98" t="s">
        <v>77</v>
      </c>
      <c r="E3453" s="99" t="s">
        <v>10</v>
      </c>
    </row>
    <row r="3454" spans="1:5" x14ac:dyDescent="0.25">
      <c r="A3454" s="100">
        <v>1</v>
      </c>
      <c r="B3454" s="151" t="s">
        <v>621</v>
      </c>
      <c r="C3454" s="152" t="s">
        <v>629</v>
      </c>
      <c r="D3454" s="103"/>
      <c r="E3454" s="104">
        <v>5000</v>
      </c>
    </row>
    <row r="3455" spans="1:5" x14ac:dyDescent="0.25">
      <c r="A3455" s="100">
        <f>A3454+1</f>
        <v>2</v>
      </c>
      <c r="B3455" s="151" t="s">
        <v>2714</v>
      </c>
      <c r="C3455" s="152" t="s">
        <v>2717</v>
      </c>
      <c r="D3455" s="103"/>
      <c r="E3455" s="104">
        <v>27500</v>
      </c>
    </row>
    <row r="3456" spans="1:5" x14ac:dyDescent="0.25">
      <c r="A3456" s="100">
        <f t="shared" ref="A3456:A3472" si="59">A3455+1</f>
        <v>3</v>
      </c>
      <c r="B3456" s="151" t="s">
        <v>2721</v>
      </c>
      <c r="C3456" s="152" t="s">
        <v>2718</v>
      </c>
      <c r="D3456" s="103"/>
      <c r="E3456" s="156">
        <v>5000</v>
      </c>
    </row>
    <row r="3457" spans="1:5" x14ac:dyDescent="0.25">
      <c r="A3457" s="100">
        <f t="shared" si="59"/>
        <v>4</v>
      </c>
      <c r="B3457" s="151" t="s">
        <v>2715</v>
      </c>
      <c r="C3457" s="152" t="s">
        <v>2719</v>
      </c>
      <c r="D3457" s="103"/>
      <c r="E3457" s="156">
        <v>5000</v>
      </c>
    </row>
    <row r="3458" spans="1:5" x14ac:dyDescent="0.25">
      <c r="A3458" s="100">
        <f t="shared" si="59"/>
        <v>5</v>
      </c>
      <c r="B3458" s="151" t="s">
        <v>2716</v>
      </c>
      <c r="C3458" s="152" t="s">
        <v>2720</v>
      </c>
      <c r="D3458" s="103"/>
      <c r="E3458" s="156">
        <v>22500</v>
      </c>
    </row>
    <row r="3459" spans="1:5" x14ac:dyDescent="0.25">
      <c r="A3459" s="100">
        <f t="shared" si="59"/>
        <v>6</v>
      </c>
      <c r="B3459" s="151" t="s">
        <v>850</v>
      </c>
      <c r="C3459" s="152" t="s">
        <v>840</v>
      </c>
      <c r="D3459" s="103"/>
      <c r="E3459" s="156">
        <v>5000</v>
      </c>
    </row>
    <row r="3460" spans="1:5" x14ac:dyDescent="0.25">
      <c r="A3460" s="100">
        <f t="shared" si="59"/>
        <v>7</v>
      </c>
      <c r="B3460" s="151" t="s">
        <v>766</v>
      </c>
      <c r="C3460" s="152" t="s">
        <v>756</v>
      </c>
      <c r="D3460" s="103"/>
      <c r="E3460" s="156">
        <v>5000</v>
      </c>
    </row>
    <row r="3461" spans="1:5" x14ac:dyDescent="0.25">
      <c r="A3461" s="100">
        <f t="shared" si="59"/>
        <v>8</v>
      </c>
      <c r="B3461" s="151" t="s">
        <v>2725</v>
      </c>
      <c r="C3461" s="152" t="s">
        <v>2722</v>
      </c>
      <c r="D3461" s="103"/>
      <c r="E3461" s="156">
        <v>5000</v>
      </c>
    </row>
    <row r="3462" spans="1:5" x14ac:dyDescent="0.25">
      <c r="A3462" s="100">
        <f t="shared" si="59"/>
        <v>9</v>
      </c>
      <c r="B3462" s="151" t="s">
        <v>2726</v>
      </c>
      <c r="C3462" s="152" t="s">
        <v>2723</v>
      </c>
      <c r="D3462" s="103"/>
      <c r="E3462" s="156">
        <v>62500</v>
      </c>
    </row>
    <row r="3463" spans="1:5" x14ac:dyDescent="0.25">
      <c r="A3463" s="100">
        <f t="shared" si="59"/>
        <v>10</v>
      </c>
      <c r="B3463" s="151" t="s">
        <v>2727</v>
      </c>
      <c r="C3463" s="152" t="s">
        <v>2724</v>
      </c>
      <c r="D3463" s="103"/>
      <c r="E3463" s="156">
        <v>42500</v>
      </c>
    </row>
    <row r="3464" spans="1:5" x14ac:dyDescent="0.25">
      <c r="A3464" s="100">
        <f t="shared" si="59"/>
        <v>11</v>
      </c>
      <c r="B3464" s="151" t="s">
        <v>485</v>
      </c>
      <c r="C3464" s="152" t="s">
        <v>478</v>
      </c>
      <c r="D3464" s="103"/>
      <c r="E3464" s="156">
        <v>5000</v>
      </c>
    </row>
    <row r="3465" spans="1:5" x14ac:dyDescent="0.25">
      <c r="A3465" s="100">
        <f t="shared" si="59"/>
        <v>12</v>
      </c>
      <c r="B3465" s="151" t="s">
        <v>1266</v>
      </c>
      <c r="C3465" s="152" t="s">
        <v>2732</v>
      </c>
      <c r="D3465" s="103"/>
      <c r="E3465" s="156">
        <v>60000</v>
      </c>
    </row>
    <row r="3466" spans="1:5" x14ac:dyDescent="0.25">
      <c r="A3466" s="100">
        <f t="shared" si="59"/>
        <v>13</v>
      </c>
      <c r="B3466" s="151" t="s">
        <v>2728</v>
      </c>
      <c r="C3466" s="152" t="s">
        <v>2733</v>
      </c>
      <c r="D3466" s="103"/>
      <c r="E3466" s="156">
        <v>60000</v>
      </c>
    </row>
    <row r="3467" spans="1:5" x14ac:dyDescent="0.25">
      <c r="A3467" s="100">
        <f t="shared" si="59"/>
        <v>14</v>
      </c>
      <c r="B3467" s="151" t="s">
        <v>2738</v>
      </c>
      <c r="C3467" s="152" t="s">
        <v>2739</v>
      </c>
      <c r="D3467" s="103"/>
      <c r="E3467" s="156">
        <v>5000</v>
      </c>
    </row>
    <row r="3468" spans="1:5" x14ac:dyDescent="0.25">
      <c r="A3468" s="100">
        <f t="shared" si="59"/>
        <v>15</v>
      </c>
      <c r="B3468" s="151" t="s">
        <v>2729</v>
      </c>
      <c r="C3468" s="152" t="s">
        <v>2734</v>
      </c>
      <c r="D3468" s="103"/>
      <c r="E3468" s="156">
        <v>22500</v>
      </c>
    </row>
    <row r="3469" spans="1:5" x14ac:dyDescent="0.25">
      <c r="A3469" s="100">
        <f t="shared" si="59"/>
        <v>16</v>
      </c>
      <c r="B3469" s="151" t="s">
        <v>2730</v>
      </c>
      <c r="C3469" s="152" t="s">
        <v>2735</v>
      </c>
      <c r="D3469" s="103"/>
      <c r="E3469" s="156">
        <v>17500</v>
      </c>
    </row>
    <row r="3470" spans="1:5" x14ac:dyDescent="0.25">
      <c r="A3470" s="100">
        <f t="shared" si="59"/>
        <v>17</v>
      </c>
      <c r="B3470" s="151" t="s">
        <v>2729</v>
      </c>
      <c r="C3470" s="152" t="s">
        <v>2736</v>
      </c>
      <c r="D3470" s="103"/>
      <c r="E3470" s="156">
        <v>5000</v>
      </c>
    </row>
    <row r="3471" spans="1:5" x14ac:dyDescent="0.25">
      <c r="A3471" s="100">
        <f t="shared" si="59"/>
        <v>18</v>
      </c>
      <c r="B3471" s="151" t="s">
        <v>2731</v>
      </c>
      <c r="C3471" s="152" t="s">
        <v>2737</v>
      </c>
      <c r="D3471" s="103"/>
      <c r="E3471" s="156">
        <v>32500</v>
      </c>
    </row>
    <row r="3472" spans="1:5" x14ac:dyDescent="0.25">
      <c r="A3472" s="100">
        <f t="shared" si="59"/>
        <v>19</v>
      </c>
      <c r="B3472" s="151" t="s">
        <v>810</v>
      </c>
      <c r="C3472" s="152" t="s">
        <v>822</v>
      </c>
      <c r="D3472" s="103"/>
      <c r="E3472" s="156">
        <v>5000</v>
      </c>
    </row>
    <row r="3473" spans="1:5" x14ac:dyDescent="0.25">
      <c r="A3473" s="153"/>
      <c r="B3473" s="151"/>
      <c r="C3473" s="152"/>
      <c r="D3473" s="154"/>
      <c r="E3473" s="155"/>
    </row>
    <row r="3474" spans="1:5" ht="15.75" thickBot="1" x14ac:dyDescent="0.3">
      <c r="A3474" s="105"/>
      <c r="B3474" s="240" t="s">
        <v>10</v>
      </c>
      <c r="C3474" s="241"/>
      <c r="D3474" s="242"/>
      <c r="E3474" s="106">
        <f>SUM(E3454:E3472)</f>
        <v>397500</v>
      </c>
    </row>
    <row r="3475" spans="1:5" x14ac:dyDescent="0.25">
      <c r="A3475" s="95"/>
      <c r="B3475" s="130"/>
      <c r="C3475" s="130"/>
      <c r="E3475" s="131"/>
    </row>
    <row r="3476" spans="1:5" x14ac:dyDescent="0.25">
      <c r="A3476" s="94"/>
      <c r="B3476" s="94"/>
      <c r="C3476" s="95"/>
      <c r="D3476" s="108" t="s">
        <v>2713</v>
      </c>
      <c r="E3476" s="94"/>
    </row>
    <row r="3477" spans="1:5" x14ac:dyDescent="0.25">
      <c r="D3477" s="108" t="s">
        <v>83</v>
      </c>
    </row>
    <row r="3499" spans="1:5" x14ac:dyDescent="0.25">
      <c r="A3499" s="93" t="s">
        <v>0</v>
      </c>
      <c r="B3499" s="129"/>
      <c r="C3499" s="129"/>
      <c r="D3499" s="129"/>
      <c r="E3499" s="129"/>
    </row>
    <row r="3500" spans="1:5" x14ac:dyDescent="0.25">
      <c r="A3500" s="93" t="s">
        <v>1</v>
      </c>
      <c r="B3500" s="94"/>
      <c r="C3500" s="95"/>
      <c r="D3500" s="94"/>
      <c r="E3500" s="94"/>
    </row>
    <row r="3501" spans="1:5" x14ac:dyDescent="0.25">
      <c r="A3501" s="93"/>
      <c r="B3501" s="94"/>
      <c r="C3501" s="95"/>
      <c r="D3501" s="94"/>
      <c r="E3501" s="94"/>
    </row>
    <row r="3502" spans="1:5" x14ac:dyDescent="0.25">
      <c r="A3502" s="96" t="s">
        <v>84</v>
      </c>
      <c r="B3502" s="96"/>
      <c r="C3502" s="96"/>
      <c r="D3502" s="96"/>
      <c r="E3502" s="96"/>
    </row>
    <row r="3503" spans="1:5" x14ac:dyDescent="0.25">
      <c r="A3503" s="238" t="s">
        <v>101</v>
      </c>
      <c r="B3503" s="239"/>
      <c r="C3503" s="239"/>
      <c r="D3503" s="239"/>
      <c r="E3503" s="239"/>
    </row>
    <row r="3504" spans="1:5" x14ac:dyDescent="0.25">
      <c r="A3504" s="95"/>
      <c r="B3504" s="95"/>
      <c r="C3504" s="95"/>
      <c r="D3504" s="95"/>
      <c r="E3504" s="95"/>
    </row>
    <row r="3505" spans="1:5" ht="15.75" thickBot="1" x14ac:dyDescent="0.3">
      <c r="A3505" s="94"/>
      <c r="B3505" s="94"/>
      <c r="C3505" s="95"/>
      <c r="D3505" s="94"/>
      <c r="E3505" s="109" t="s">
        <v>2740</v>
      </c>
    </row>
    <row r="3506" spans="1:5" x14ac:dyDescent="0.25">
      <c r="A3506" s="97" t="s">
        <v>16</v>
      </c>
      <c r="B3506" s="98" t="s">
        <v>79</v>
      </c>
      <c r="C3506" s="98" t="s">
        <v>80</v>
      </c>
      <c r="D3506" s="98" t="s">
        <v>77</v>
      </c>
      <c r="E3506" s="99" t="s">
        <v>10</v>
      </c>
    </row>
    <row r="3507" spans="1:5" x14ac:dyDescent="0.25">
      <c r="A3507" s="100">
        <v>1</v>
      </c>
      <c r="B3507" s="151" t="s">
        <v>108</v>
      </c>
      <c r="C3507" s="152" t="s">
        <v>2744</v>
      </c>
      <c r="D3507" s="103"/>
      <c r="E3507" s="104">
        <v>40000</v>
      </c>
    </row>
    <row r="3508" spans="1:5" x14ac:dyDescent="0.25">
      <c r="A3508" s="100">
        <f>A3507+1</f>
        <v>2</v>
      </c>
      <c r="B3508" s="151" t="s">
        <v>913</v>
      </c>
      <c r="C3508" s="152" t="s">
        <v>917</v>
      </c>
      <c r="D3508" s="103"/>
      <c r="E3508" s="104">
        <v>5000</v>
      </c>
    </row>
    <row r="3509" spans="1:5" x14ac:dyDescent="0.25">
      <c r="A3509" s="100">
        <f t="shared" ref="A3509:A3524" si="60">A3508+1</f>
        <v>3</v>
      </c>
      <c r="B3509" s="151" t="s">
        <v>784</v>
      </c>
      <c r="C3509" s="152" t="s">
        <v>789</v>
      </c>
      <c r="D3509" s="103"/>
      <c r="E3509" s="156">
        <v>5000</v>
      </c>
    </row>
    <row r="3510" spans="1:5" x14ac:dyDescent="0.25">
      <c r="A3510" s="100">
        <f t="shared" si="60"/>
        <v>4</v>
      </c>
      <c r="B3510" s="151" t="s">
        <v>2742</v>
      </c>
      <c r="C3510" s="152" t="s">
        <v>2745</v>
      </c>
      <c r="D3510" s="103"/>
      <c r="E3510" s="156">
        <v>5000</v>
      </c>
    </row>
    <row r="3511" spans="1:5" x14ac:dyDescent="0.25">
      <c r="A3511" s="100">
        <f t="shared" si="60"/>
        <v>5</v>
      </c>
      <c r="B3511" s="151" t="s">
        <v>2743</v>
      </c>
      <c r="C3511" s="152" t="s">
        <v>2746</v>
      </c>
      <c r="D3511" s="103"/>
      <c r="E3511" s="156">
        <v>30000</v>
      </c>
    </row>
    <row r="3512" spans="1:5" x14ac:dyDescent="0.25">
      <c r="A3512" s="100">
        <f t="shared" si="60"/>
        <v>6</v>
      </c>
      <c r="B3512" s="151" t="s">
        <v>541</v>
      </c>
      <c r="C3512" s="152" t="s">
        <v>533</v>
      </c>
      <c r="D3512" s="103"/>
      <c r="E3512" s="156">
        <v>5000</v>
      </c>
    </row>
    <row r="3513" spans="1:5" x14ac:dyDescent="0.25">
      <c r="A3513" s="100">
        <f t="shared" si="60"/>
        <v>7</v>
      </c>
      <c r="B3513" s="151" t="s">
        <v>1260</v>
      </c>
      <c r="C3513" s="152" t="s">
        <v>1233</v>
      </c>
      <c r="D3513" s="103"/>
      <c r="E3513" s="156">
        <v>5000</v>
      </c>
    </row>
    <row r="3514" spans="1:5" x14ac:dyDescent="0.25">
      <c r="A3514" s="100">
        <f t="shared" si="60"/>
        <v>8</v>
      </c>
      <c r="B3514" s="151" t="s">
        <v>2753</v>
      </c>
      <c r="C3514" s="152" t="s">
        <v>2747</v>
      </c>
      <c r="D3514" s="103"/>
      <c r="E3514" s="156">
        <v>5000</v>
      </c>
    </row>
    <row r="3515" spans="1:5" x14ac:dyDescent="0.25">
      <c r="A3515" s="100">
        <f t="shared" si="60"/>
        <v>9</v>
      </c>
      <c r="B3515" s="151" t="s">
        <v>2754</v>
      </c>
      <c r="C3515" s="152" t="s">
        <v>2748</v>
      </c>
      <c r="D3515" s="103"/>
      <c r="E3515" s="156">
        <v>12500</v>
      </c>
    </row>
    <row r="3516" spans="1:5" x14ac:dyDescent="0.25">
      <c r="A3516" s="100">
        <f t="shared" si="60"/>
        <v>10</v>
      </c>
      <c r="B3516" s="151" t="s">
        <v>362</v>
      </c>
      <c r="C3516" s="152" t="s">
        <v>353</v>
      </c>
      <c r="D3516" s="103"/>
      <c r="E3516" s="156">
        <v>5000</v>
      </c>
    </row>
    <row r="3517" spans="1:5" x14ac:dyDescent="0.25">
      <c r="A3517" s="100">
        <f t="shared" si="60"/>
        <v>11</v>
      </c>
      <c r="B3517" s="151" t="s">
        <v>2755</v>
      </c>
      <c r="C3517" s="152" t="s">
        <v>2749</v>
      </c>
      <c r="D3517" s="103"/>
      <c r="E3517" s="156">
        <v>22500</v>
      </c>
    </row>
    <row r="3518" spans="1:5" x14ac:dyDescent="0.25">
      <c r="A3518" s="100">
        <f t="shared" si="60"/>
        <v>12</v>
      </c>
      <c r="B3518" s="151" t="s">
        <v>2756</v>
      </c>
      <c r="C3518" s="152" t="s">
        <v>2750</v>
      </c>
      <c r="D3518" s="103"/>
      <c r="E3518" s="156">
        <v>22500</v>
      </c>
    </row>
    <row r="3519" spans="1:5" x14ac:dyDescent="0.25">
      <c r="A3519" s="100">
        <f t="shared" si="60"/>
        <v>13</v>
      </c>
      <c r="B3519" s="151" t="s">
        <v>2757</v>
      </c>
      <c r="C3519" s="152" t="s">
        <v>2751</v>
      </c>
      <c r="D3519" s="103"/>
      <c r="E3519" s="156">
        <v>12500</v>
      </c>
    </row>
    <row r="3520" spans="1:5" x14ac:dyDescent="0.25">
      <c r="A3520" s="100">
        <f t="shared" si="60"/>
        <v>14</v>
      </c>
      <c r="B3520" s="151" t="s">
        <v>804</v>
      </c>
      <c r="C3520" s="152" t="s">
        <v>815</v>
      </c>
      <c r="D3520" s="103"/>
      <c r="E3520" s="156">
        <v>5000</v>
      </c>
    </row>
    <row r="3521" spans="1:5" x14ac:dyDescent="0.25">
      <c r="A3521" s="100">
        <f t="shared" si="60"/>
        <v>15</v>
      </c>
      <c r="B3521" s="151" t="s">
        <v>2628</v>
      </c>
      <c r="C3521" s="152" t="s">
        <v>2624</v>
      </c>
      <c r="D3521" s="103"/>
      <c r="E3521" s="156">
        <v>5000</v>
      </c>
    </row>
    <row r="3522" spans="1:5" x14ac:dyDescent="0.25">
      <c r="A3522" s="100">
        <f t="shared" si="60"/>
        <v>16</v>
      </c>
      <c r="B3522" s="151" t="s">
        <v>204</v>
      </c>
      <c r="C3522" s="152" t="s">
        <v>2752</v>
      </c>
      <c r="D3522" s="103"/>
      <c r="E3522" s="156">
        <v>12500</v>
      </c>
    </row>
    <row r="3523" spans="1:5" x14ac:dyDescent="0.25">
      <c r="A3523" s="100">
        <f t="shared" si="60"/>
        <v>17</v>
      </c>
      <c r="B3523" s="151" t="s">
        <v>1035</v>
      </c>
      <c r="C3523" s="152" t="s">
        <v>1042</v>
      </c>
      <c r="D3523" s="103"/>
      <c r="E3523" s="156">
        <v>5000</v>
      </c>
    </row>
    <row r="3524" spans="1:5" x14ac:dyDescent="0.25">
      <c r="A3524" s="100">
        <f t="shared" si="60"/>
        <v>18</v>
      </c>
      <c r="B3524" s="151" t="s">
        <v>2758</v>
      </c>
      <c r="C3524" s="152"/>
      <c r="D3524" s="103"/>
      <c r="E3524" s="156">
        <v>12500</v>
      </c>
    </row>
    <row r="3525" spans="1:5" x14ac:dyDescent="0.25">
      <c r="A3525" s="153"/>
      <c r="B3525" s="151"/>
      <c r="C3525" s="152"/>
      <c r="D3525" s="154"/>
      <c r="E3525" s="155"/>
    </row>
    <row r="3526" spans="1:5" ht="15.75" thickBot="1" x14ac:dyDescent="0.3">
      <c r="A3526" s="105"/>
      <c r="B3526" s="240" t="s">
        <v>10</v>
      </c>
      <c r="C3526" s="241"/>
      <c r="D3526" s="242"/>
      <c r="E3526" s="106">
        <f>SUM(E3507:E3524)</f>
        <v>215000</v>
      </c>
    </row>
    <row r="3527" spans="1:5" x14ac:dyDescent="0.25">
      <c r="A3527" s="95"/>
      <c r="B3527" s="130"/>
      <c r="C3527" s="130"/>
      <c r="E3527" s="131"/>
    </row>
    <row r="3528" spans="1:5" x14ac:dyDescent="0.25">
      <c r="A3528" s="94"/>
      <c r="B3528" s="94"/>
      <c r="C3528" s="95"/>
      <c r="D3528" s="108" t="s">
        <v>2741</v>
      </c>
      <c r="E3528" s="94"/>
    </row>
    <row r="3529" spans="1:5" x14ac:dyDescent="0.25">
      <c r="D3529" s="108" t="s">
        <v>83</v>
      </c>
    </row>
    <row r="3552" spans="1:5" x14ac:dyDescent="0.25">
      <c r="A3552" s="93" t="s">
        <v>0</v>
      </c>
      <c r="B3552" s="129"/>
      <c r="C3552" s="129"/>
      <c r="D3552" s="129"/>
      <c r="E3552" s="129"/>
    </row>
    <row r="3553" spans="1:5" x14ac:dyDescent="0.25">
      <c r="A3553" s="93" t="s">
        <v>1</v>
      </c>
      <c r="B3553" s="94"/>
      <c r="C3553" s="95"/>
      <c r="D3553" s="94"/>
      <c r="E3553" s="94"/>
    </row>
    <row r="3554" spans="1:5" x14ac:dyDescent="0.25">
      <c r="A3554" s="93"/>
      <c r="B3554" s="94"/>
      <c r="C3554" s="95"/>
      <c r="D3554" s="94"/>
      <c r="E3554" s="94"/>
    </row>
    <row r="3555" spans="1:5" x14ac:dyDescent="0.25">
      <c r="A3555" s="96" t="s">
        <v>84</v>
      </c>
      <c r="B3555" s="96"/>
      <c r="C3555" s="96"/>
      <c r="D3555" s="96"/>
      <c r="E3555" s="96"/>
    </row>
    <row r="3556" spans="1:5" x14ac:dyDescent="0.25">
      <c r="A3556" s="238" t="s">
        <v>101</v>
      </c>
      <c r="B3556" s="239"/>
      <c r="C3556" s="239"/>
      <c r="D3556" s="239"/>
      <c r="E3556" s="239"/>
    </row>
    <row r="3557" spans="1:5" x14ac:dyDescent="0.25">
      <c r="A3557" s="95"/>
      <c r="B3557" s="95"/>
      <c r="C3557" s="95"/>
      <c r="D3557" s="95"/>
      <c r="E3557" s="95"/>
    </row>
    <row r="3558" spans="1:5" ht="15.75" thickBot="1" x14ac:dyDescent="0.3">
      <c r="A3558" s="94"/>
      <c r="B3558" s="94"/>
      <c r="C3558" s="95"/>
      <c r="D3558" s="94"/>
      <c r="E3558" s="109" t="s">
        <v>2759</v>
      </c>
    </row>
    <row r="3559" spans="1:5" x14ac:dyDescent="0.25">
      <c r="A3559" s="97" t="s">
        <v>16</v>
      </c>
      <c r="B3559" s="98" t="s">
        <v>79</v>
      </c>
      <c r="C3559" s="98" t="s">
        <v>80</v>
      </c>
      <c r="D3559" s="98" t="s">
        <v>77</v>
      </c>
      <c r="E3559" s="99" t="s">
        <v>10</v>
      </c>
    </row>
    <row r="3560" spans="1:5" x14ac:dyDescent="0.25">
      <c r="A3560" s="100">
        <v>1</v>
      </c>
      <c r="B3560" s="151" t="s">
        <v>1001</v>
      </c>
      <c r="C3560" s="152" t="s">
        <v>1007</v>
      </c>
      <c r="D3560" s="103"/>
      <c r="E3560" s="104">
        <v>5000</v>
      </c>
    </row>
    <row r="3561" spans="1:5" x14ac:dyDescent="0.25">
      <c r="A3561" s="100">
        <f>A3560+1</f>
        <v>2</v>
      </c>
      <c r="B3561" s="151" t="s">
        <v>2761</v>
      </c>
      <c r="C3561" s="152" t="s">
        <v>2764</v>
      </c>
      <c r="D3561" s="103"/>
      <c r="E3561" s="104">
        <v>12500</v>
      </c>
    </row>
    <row r="3562" spans="1:5" x14ac:dyDescent="0.25">
      <c r="A3562" s="100">
        <f t="shared" ref="A3562:A3583" si="61">A3561+1</f>
        <v>3</v>
      </c>
      <c r="B3562" s="151" t="s">
        <v>2762</v>
      </c>
      <c r="C3562" s="152" t="s">
        <v>2765</v>
      </c>
      <c r="D3562" s="103"/>
      <c r="E3562" s="156">
        <v>5000</v>
      </c>
    </row>
    <row r="3563" spans="1:5" x14ac:dyDescent="0.25">
      <c r="A3563" s="100">
        <f t="shared" si="61"/>
        <v>4</v>
      </c>
      <c r="B3563" s="151" t="s">
        <v>2763</v>
      </c>
      <c r="C3563" s="152" t="s">
        <v>248</v>
      </c>
      <c r="D3563" s="103"/>
      <c r="E3563" s="156">
        <v>5000</v>
      </c>
    </row>
    <row r="3564" spans="1:5" x14ac:dyDescent="0.25">
      <c r="A3564" s="100">
        <f t="shared" si="61"/>
        <v>5</v>
      </c>
      <c r="B3564" s="151" t="s">
        <v>2773</v>
      </c>
      <c r="C3564" s="152" t="s">
        <v>2766</v>
      </c>
      <c r="D3564" s="103"/>
      <c r="E3564" s="156">
        <v>12500</v>
      </c>
    </row>
    <row r="3565" spans="1:5" x14ac:dyDescent="0.25">
      <c r="A3565" s="100">
        <f t="shared" si="61"/>
        <v>6</v>
      </c>
      <c r="B3565" s="151" t="s">
        <v>1704</v>
      </c>
      <c r="C3565" s="152" t="s">
        <v>2767</v>
      </c>
      <c r="D3565" s="103"/>
      <c r="E3565" s="156">
        <v>12500</v>
      </c>
    </row>
    <row r="3566" spans="1:5" x14ac:dyDescent="0.25">
      <c r="A3566" s="100">
        <f t="shared" si="61"/>
        <v>7</v>
      </c>
      <c r="B3566" s="151" t="s">
        <v>2774</v>
      </c>
      <c r="C3566" s="152" t="s">
        <v>2768</v>
      </c>
      <c r="D3566" s="103"/>
      <c r="E3566" s="156">
        <v>5000</v>
      </c>
    </row>
    <row r="3567" spans="1:5" x14ac:dyDescent="0.25">
      <c r="A3567" s="100">
        <f t="shared" si="61"/>
        <v>8</v>
      </c>
      <c r="B3567" s="151" t="s">
        <v>2775</v>
      </c>
      <c r="C3567" s="152" t="s">
        <v>2769</v>
      </c>
      <c r="D3567" s="103"/>
      <c r="E3567" s="156">
        <v>22500</v>
      </c>
    </row>
    <row r="3568" spans="1:5" x14ac:dyDescent="0.25">
      <c r="A3568" s="100">
        <f t="shared" si="61"/>
        <v>9</v>
      </c>
      <c r="B3568" s="151" t="s">
        <v>2776</v>
      </c>
      <c r="C3568" s="152" t="s">
        <v>2770</v>
      </c>
      <c r="D3568" s="103"/>
      <c r="E3568" s="156">
        <v>32500</v>
      </c>
    </row>
    <row r="3569" spans="1:5" x14ac:dyDescent="0.25">
      <c r="A3569" s="100">
        <f t="shared" si="61"/>
        <v>10</v>
      </c>
      <c r="B3569" s="151" t="s">
        <v>2777</v>
      </c>
      <c r="C3569" s="152" t="s">
        <v>2771</v>
      </c>
      <c r="D3569" s="103"/>
      <c r="E3569" s="156">
        <v>5000</v>
      </c>
    </row>
    <row r="3570" spans="1:5" x14ac:dyDescent="0.25">
      <c r="A3570" s="100">
        <f t="shared" si="61"/>
        <v>11</v>
      </c>
      <c r="B3570" s="151" t="s">
        <v>2778</v>
      </c>
      <c r="C3570" s="152" t="s">
        <v>2772</v>
      </c>
      <c r="D3570" s="103"/>
      <c r="E3570" s="156">
        <v>27500</v>
      </c>
    </row>
    <row r="3571" spans="1:5" x14ac:dyDescent="0.25">
      <c r="A3571" s="100">
        <f t="shared" si="61"/>
        <v>12</v>
      </c>
      <c r="B3571" s="151" t="s">
        <v>928</v>
      </c>
      <c r="C3571" s="152" t="s">
        <v>934</v>
      </c>
      <c r="D3571" s="103"/>
      <c r="E3571" s="156">
        <v>5000</v>
      </c>
    </row>
    <row r="3572" spans="1:5" x14ac:dyDescent="0.25">
      <c r="A3572" s="100">
        <f t="shared" si="61"/>
        <v>13</v>
      </c>
      <c r="B3572" s="151" t="s">
        <v>564</v>
      </c>
      <c r="C3572" s="152" t="s">
        <v>573</v>
      </c>
      <c r="D3572" s="103"/>
      <c r="E3572" s="156">
        <v>5000</v>
      </c>
    </row>
    <row r="3573" spans="1:5" x14ac:dyDescent="0.25">
      <c r="A3573" s="100">
        <f t="shared" si="61"/>
        <v>14</v>
      </c>
      <c r="B3573" s="151" t="s">
        <v>2779</v>
      </c>
      <c r="C3573" s="152" t="s">
        <v>2781</v>
      </c>
      <c r="D3573" s="103"/>
      <c r="E3573" s="156">
        <v>22500</v>
      </c>
    </row>
    <row r="3574" spans="1:5" x14ac:dyDescent="0.25">
      <c r="A3574" s="100">
        <f t="shared" si="61"/>
        <v>15</v>
      </c>
      <c r="B3574" s="151" t="s">
        <v>2780</v>
      </c>
      <c r="C3574" s="152" t="s">
        <v>1394</v>
      </c>
      <c r="D3574" s="103"/>
      <c r="E3574" s="156">
        <v>5000</v>
      </c>
    </row>
    <row r="3575" spans="1:5" x14ac:dyDescent="0.25">
      <c r="A3575" s="100">
        <f t="shared" si="61"/>
        <v>16</v>
      </c>
      <c r="B3575" s="151" t="s">
        <v>1050</v>
      </c>
      <c r="C3575" s="152" t="s">
        <v>1024</v>
      </c>
      <c r="D3575" s="103"/>
      <c r="E3575" s="156">
        <v>5000</v>
      </c>
    </row>
    <row r="3576" spans="1:5" x14ac:dyDescent="0.25">
      <c r="A3576" s="100">
        <f t="shared" si="61"/>
        <v>17</v>
      </c>
      <c r="B3576" s="151" t="s">
        <v>307</v>
      </c>
      <c r="C3576" s="152" t="s">
        <v>294</v>
      </c>
      <c r="D3576" s="103"/>
      <c r="E3576" s="156">
        <v>5000</v>
      </c>
    </row>
    <row r="3577" spans="1:5" x14ac:dyDescent="0.25">
      <c r="A3577" s="100">
        <f t="shared" si="61"/>
        <v>18</v>
      </c>
      <c r="B3577" s="151" t="s">
        <v>120</v>
      </c>
      <c r="C3577" s="152" t="s">
        <v>128</v>
      </c>
      <c r="D3577" s="103"/>
      <c r="E3577" s="156">
        <v>5000</v>
      </c>
    </row>
    <row r="3578" spans="1:5" x14ac:dyDescent="0.25">
      <c r="A3578" s="100">
        <f t="shared" si="61"/>
        <v>19</v>
      </c>
      <c r="B3578" s="151" t="s">
        <v>2727</v>
      </c>
      <c r="C3578" s="152" t="s">
        <v>2782</v>
      </c>
      <c r="D3578" s="103"/>
      <c r="E3578" s="156">
        <v>22500</v>
      </c>
    </row>
    <row r="3579" spans="1:5" x14ac:dyDescent="0.25">
      <c r="A3579" s="100">
        <f t="shared" si="61"/>
        <v>20</v>
      </c>
      <c r="B3579" s="151" t="s">
        <v>2074</v>
      </c>
      <c r="C3579" s="152" t="s">
        <v>2078</v>
      </c>
      <c r="D3579" s="103"/>
      <c r="E3579" s="156">
        <v>20000</v>
      </c>
    </row>
    <row r="3580" spans="1:5" x14ac:dyDescent="0.25">
      <c r="A3580" s="100">
        <f t="shared" si="61"/>
        <v>21</v>
      </c>
      <c r="B3580" s="151" t="s">
        <v>954</v>
      </c>
      <c r="C3580" s="152" t="s">
        <v>957</v>
      </c>
      <c r="D3580" s="103"/>
      <c r="E3580" s="156">
        <v>5000</v>
      </c>
    </row>
    <row r="3581" spans="1:5" x14ac:dyDescent="0.25">
      <c r="A3581" s="100">
        <f t="shared" si="61"/>
        <v>22</v>
      </c>
      <c r="B3581" s="151" t="s">
        <v>329</v>
      </c>
      <c r="C3581" s="152" t="s">
        <v>325</v>
      </c>
      <c r="D3581" s="103"/>
      <c r="E3581" s="156">
        <v>5000</v>
      </c>
    </row>
    <row r="3582" spans="1:5" x14ac:dyDescent="0.25">
      <c r="A3582" s="100">
        <f t="shared" si="61"/>
        <v>23</v>
      </c>
      <c r="B3582" s="151" t="s">
        <v>955</v>
      </c>
      <c r="C3582" s="152" t="s">
        <v>958</v>
      </c>
      <c r="D3582" s="103"/>
      <c r="E3582" s="156">
        <v>5000</v>
      </c>
    </row>
    <row r="3583" spans="1:5" x14ac:dyDescent="0.25">
      <c r="A3583" s="100">
        <f t="shared" si="61"/>
        <v>24</v>
      </c>
      <c r="B3583" s="151" t="s">
        <v>2783</v>
      </c>
      <c r="C3583" s="152" t="s">
        <v>2784</v>
      </c>
      <c r="D3583" s="103"/>
      <c r="E3583" s="156">
        <v>12500</v>
      </c>
    </row>
    <row r="3584" spans="1:5" x14ac:dyDescent="0.25">
      <c r="A3584" s="153"/>
      <c r="B3584" s="151"/>
      <c r="C3584" s="152"/>
      <c r="D3584" s="154"/>
      <c r="E3584" s="155"/>
    </row>
    <row r="3585" spans="1:5" ht="15.75" thickBot="1" x14ac:dyDescent="0.3">
      <c r="A3585" s="105"/>
      <c r="B3585" s="240" t="s">
        <v>10</v>
      </c>
      <c r="C3585" s="241"/>
      <c r="D3585" s="242"/>
      <c r="E3585" s="106">
        <f>SUM(E3560:E3583)</f>
        <v>267500</v>
      </c>
    </row>
    <row r="3586" spans="1:5" x14ac:dyDescent="0.25">
      <c r="A3586" s="95"/>
      <c r="B3586" s="130"/>
      <c r="C3586" s="130"/>
      <c r="E3586" s="131"/>
    </row>
    <row r="3587" spans="1:5" x14ac:dyDescent="0.25">
      <c r="A3587" s="94"/>
      <c r="B3587" s="94"/>
      <c r="C3587" s="95"/>
      <c r="D3587" s="108" t="s">
        <v>2760</v>
      </c>
      <c r="E3587" s="94"/>
    </row>
    <row r="3588" spans="1:5" x14ac:dyDescent="0.25">
      <c r="D3588" s="108" t="s">
        <v>83</v>
      </c>
    </row>
    <row r="3605" spans="1:5" x14ac:dyDescent="0.25">
      <c r="A3605" s="93" t="s">
        <v>0</v>
      </c>
      <c r="B3605" s="129"/>
      <c r="C3605" s="129"/>
      <c r="D3605" s="129"/>
      <c r="E3605" s="129"/>
    </row>
    <row r="3606" spans="1:5" x14ac:dyDescent="0.25">
      <c r="A3606" s="93" t="s">
        <v>1</v>
      </c>
      <c r="B3606" s="94"/>
      <c r="C3606" s="95"/>
      <c r="D3606" s="94"/>
      <c r="E3606" s="94"/>
    </row>
    <row r="3607" spans="1:5" x14ac:dyDescent="0.25">
      <c r="A3607" s="93"/>
      <c r="B3607" s="94"/>
      <c r="C3607" s="95"/>
      <c r="D3607" s="94"/>
      <c r="E3607" s="94"/>
    </row>
    <row r="3608" spans="1:5" x14ac:dyDescent="0.25">
      <c r="A3608" s="96" t="s">
        <v>84</v>
      </c>
      <c r="B3608" s="96"/>
      <c r="C3608" s="96"/>
      <c r="D3608" s="96"/>
      <c r="E3608" s="96"/>
    </row>
    <row r="3609" spans="1:5" x14ac:dyDescent="0.25">
      <c r="A3609" s="238" t="s">
        <v>101</v>
      </c>
      <c r="B3609" s="239"/>
      <c r="C3609" s="239"/>
      <c r="D3609" s="239"/>
      <c r="E3609" s="239"/>
    </row>
    <row r="3610" spans="1:5" x14ac:dyDescent="0.25">
      <c r="A3610" s="95"/>
      <c r="B3610" s="95"/>
      <c r="C3610" s="95"/>
      <c r="D3610" s="95"/>
      <c r="E3610" s="95"/>
    </row>
    <row r="3611" spans="1:5" ht="15.75" thickBot="1" x14ac:dyDescent="0.3">
      <c r="A3611" s="94"/>
      <c r="B3611" s="94"/>
      <c r="C3611" s="95"/>
      <c r="D3611" s="94"/>
      <c r="E3611" s="109" t="s">
        <v>2785</v>
      </c>
    </row>
    <row r="3612" spans="1:5" x14ac:dyDescent="0.25">
      <c r="A3612" s="97" t="s">
        <v>16</v>
      </c>
      <c r="B3612" s="98" t="s">
        <v>79</v>
      </c>
      <c r="C3612" s="98" t="s">
        <v>80</v>
      </c>
      <c r="D3612" s="98" t="s">
        <v>77</v>
      </c>
      <c r="E3612" s="99" t="s">
        <v>10</v>
      </c>
    </row>
    <row r="3613" spans="1:5" x14ac:dyDescent="0.25">
      <c r="A3613" s="100">
        <v>1</v>
      </c>
      <c r="B3613" s="151" t="s">
        <v>337</v>
      </c>
      <c r="C3613" s="152" t="s">
        <v>344</v>
      </c>
      <c r="D3613" s="103"/>
      <c r="E3613" s="104">
        <v>5000</v>
      </c>
    </row>
    <row r="3614" spans="1:5" x14ac:dyDescent="0.25">
      <c r="A3614" s="100">
        <f>A3613+1</f>
        <v>2</v>
      </c>
      <c r="B3614" s="151" t="s">
        <v>2787</v>
      </c>
      <c r="C3614" s="152" t="s">
        <v>2790</v>
      </c>
      <c r="D3614" s="103"/>
      <c r="E3614" s="104">
        <v>32500</v>
      </c>
    </row>
    <row r="3615" spans="1:5" x14ac:dyDescent="0.25">
      <c r="A3615" s="100">
        <f t="shared" ref="A3615:A3635" si="62">A3614+1</f>
        <v>3</v>
      </c>
      <c r="B3615" s="151" t="s">
        <v>2788</v>
      </c>
      <c r="C3615" s="152" t="s">
        <v>2791</v>
      </c>
      <c r="D3615" s="103"/>
      <c r="E3615" s="156">
        <v>5000</v>
      </c>
    </row>
    <row r="3616" spans="1:5" x14ac:dyDescent="0.25">
      <c r="A3616" s="100">
        <f t="shared" si="62"/>
        <v>4</v>
      </c>
      <c r="B3616" s="151" t="s">
        <v>2789</v>
      </c>
      <c r="C3616" s="152" t="s">
        <v>2792</v>
      </c>
      <c r="D3616" s="103"/>
      <c r="E3616" s="156">
        <v>5000</v>
      </c>
    </row>
    <row r="3617" spans="1:5" x14ac:dyDescent="0.25">
      <c r="A3617" s="100">
        <f t="shared" si="62"/>
        <v>5</v>
      </c>
      <c r="B3617" s="151" t="s">
        <v>357</v>
      </c>
      <c r="C3617" s="152" t="s">
        <v>348</v>
      </c>
      <c r="D3617" s="103"/>
      <c r="E3617" s="156">
        <v>5000</v>
      </c>
    </row>
    <row r="3618" spans="1:5" x14ac:dyDescent="0.25">
      <c r="A3618" s="100">
        <f t="shared" si="62"/>
        <v>6</v>
      </c>
      <c r="B3618" s="151" t="s">
        <v>2796</v>
      </c>
      <c r="C3618" s="152" t="s">
        <v>2793</v>
      </c>
      <c r="D3618" s="103"/>
      <c r="E3618" s="156">
        <v>82500</v>
      </c>
    </row>
    <row r="3619" spans="1:5" x14ac:dyDescent="0.25">
      <c r="A3619" s="100">
        <f t="shared" si="62"/>
        <v>7</v>
      </c>
      <c r="B3619" s="151" t="s">
        <v>2797</v>
      </c>
      <c r="C3619" s="152" t="s">
        <v>2794</v>
      </c>
      <c r="D3619" s="103"/>
      <c r="E3619" s="156">
        <v>22500</v>
      </c>
    </row>
    <row r="3620" spans="1:5" x14ac:dyDescent="0.25">
      <c r="A3620" s="100">
        <f t="shared" si="62"/>
        <v>8</v>
      </c>
      <c r="B3620" s="151" t="s">
        <v>764</v>
      </c>
      <c r="C3620" s="152" t="s">
        <v>754</v>
      </c>
      <c r="D3620" s="103"/>
      <c r="E3620" s="156">
        <v>5000</v>
      </c>
    </row>
    <row r="3621" spans="1:5" x14ac:dyDescent="0.25">
      <c r="A3621" s="100">
        <f t="shared" si="62"/>
        <v>9</v>
      </c>
      <c r="B3621" s="151" t="s">
        <v>139</v>
      </c>
      <c r="C3621" s="152" t="s">
        <v>2795</v>
      </c>
      <c r="D3621" s="103"/>
      <c r="E3621" s="156">
        <v>12500</v>
      </c>
    </row>
    <row r="3622" spans="1:5" x14ac:dyDescent="0.25">
      <c r="A3622" s="100">
        <f t="shared" si="62"/>
        <v>10</v>
      </c>
      <c r="B3622" s="151" t="s">
        <v>2798</v>
      </c>
      <c r="C3622" s="152" t="s">
        <v>2800</v>
      </c>
      <c r="D3622" s="103"/>
      <c r="E3622" s="156">
        <v>22500</v>
      </c>
    </row>
    <row r="3623" spans="1:5" x14ac:dyDescent="0.25">
      <c r="A3623" s="100">
        <f t="shared" si="62"/>
        <v>11</v>
      </c>
      <c r="B3623" s="151" t="s">
        <v>2799</v>
      </c>
      <c r="C3623" s="152" t="s">
        <v>2801</v>
      </c>
      <c r="D3623" s="103"/>
      <c r="E3623" s="156">
        <v>42500</v>
      </c>
    </row>
    <row r="3624" spans="1:5" x14ac:dyDescent="0.25">
      <c r="A3624" s="100">
        <f t="shared" si="62"/>
        <v>12</v>
      </c>
      <c r="B3624" s="151" t="s">
        <v>300</v>
      </c>
      <c r="C3624" s="152" t="s">
        <v>287</v>
      </c>
      <c r="D3624" s="103"/>
      <c r="E3624" s="156">
        <v>20000</v>
      </c>
    </row>
    <row r="3625" spans="1:5" x14ac:dyDescent="0.25">
      <c r="A3625" s="100">
        <f t="shared" si="62"/>
        <v>13</v>
      </c>
      <c r="B3625" s="151" t="s">
        <v>1383</v>
      </c>
      <c r="C3625" s="152" t="s">
        <v>1395</v>
      </c>
      <c r="D3625" s="103"/>
      <c r="E3625" s="156">
        <v>5000</v>
      </c>
    </row>
    <row r="3626" spans="1:5" x14ac:dyDescent="0.25">
      <c r="A3626" s="100">
        <f t="shared" si="62"/>
        <v>14</v>
      </c>
      <c r="B3626" s="151" t="s">
        <v>1161</v>
      </c>
      <c r="C3626" s="152" t="s">
        <v>1167</v>
      </c>
      <c r="D3626" s="103"/>
      <c r="E3626" s="156">
        <v>5000</v>
      </c>
    </row>
    <row r="3627" spans="1:5" x14ac:dyDescent="0.25">
      <c r="A3627" s="100">
        <f t="shared" si="62"/>
        <v>15</v>
      </c>
      <c r="B3627" s="151" t="s">
        <v>681</v>
      </c>
      <c r="C3627" s="152" t="s">
        <v>672</v>
      </c>
      <c r="D3627" s="103"/>
      <c r="E3627" s="156">
        <v>5000</v>
      </c>
    </row>
    <row r="3628" spans="1:5" x14ac:dyDescent="0.25">
      <c r="A3628" s="100">
        <f t="shared" si="62"/>
        <v>16</v>
      </c>
      <c r="B3628" s="151" t="s">
        <v>682</v>
      </c>
      <c r="C3628" s="152" t="s">
        <v>673</v>
      </c>
      <c r="D3628" s="103"/>
      <c r="E3628" s="156">
        <v>5000</v>
      </c>
    </row>
    <row r="3629" spans="1:5" x14ac:dyDescent="0.25">
      <c r="A3629" s="100">
        <f t="shared" si="62"/>
        <v>17</v>
      </c>
      <c r="B3629" s="151" t="s">
        <v>2808</v>
      </c>
      <c r="C3629" s="152" t="s">
        <v>2802</v>
      </c>
      <c r="D3629" s="103"/>
      <c r="E3629" s="156">
        <v>12500</v>
      </c>
    </row>
    <row r="3630" spans="1:5" x14ac:dyDescent="0.25">
      <c r="A3630" s="100">
        <f t="shared" si="62"/>
        <v>18</v>
      </c>
      <c r="B3630" s="151" t="s">
        <v>428</v>
      </c>
      <c r="C3630" s="152" t="s">
        <v>424</v>
      </c>
      <c r="D3630" s="103"/>
      <c r="E3630" s="156">
        <v>5000</v>
      </c>
    </row>
    <row r="3631" spans="1:5" x14ac:dyDescent="0.25">
      <c r="A3631" s="100">
        <f t="shared" si="62"/>
        <v>19</v>
      </c>
      <c r="B3631" s="151" t="s">
        <v>2809</v>
      </c>
      <c r="C3631" s="152" t="s">
        <v>2803</v>
      </c>
      <c r="D3631" s="103"/>
      <c r="E3631" s="156">
        <v>5000</v>
      </c>
    </row>
    <row r="3632" spans="1:5" x14ac:dyDescent="0.25">
      <c r="A3632" s="100">
        <f t="shared" si="62"/>
        <v>20</v>
      </c>
      <c r="B3632" s="151" t="s">
        <v>2810</v>
      </c>
      <c r="C3632" s="152" t="s">
        <v>2807</v>
      </c>
      <c r="D3632" s="103"/>
      <c r="E3632" s="156">
        <v>12500</v>
      </c>
    </row>
    <row r="3633" spans="1:5" x14ac:dyDescent="0.25">
      <c r="A3633" s="100">
        <f t="shared" si="62"/>
        <v>21</v>
      </c>
      <c r="B3633" s="151" t="s">
        <v>2811</v>
      </c>
      <c r="C3633" s="152" t="s">
        <v>2804</v>
      </c>
      <c r="D3633" s="103"/>
      <c r="E3633" s="156">
        <v>22500</v>
      </c>
    </row>
    <row r="3634" spans="1:5" x14ac:dyDescent="0.25">
      <c r="A3634" s="100">
        <f t="shared" si="62"/>
        <v>22</v>
      </c>
      <c r="B3634" s="151" t="s">
        <v>2812</v>
      </c>
      <c r="C3634" s="152" t="s">
        <v>2805</v>
      </c>
      <c r="D3634" s="103"/>
      <c r="E3634" s="156">
        <v>5000</v>
      </c>
    </row>
    <row r="3635" spans="1:5" x14ac:dyDescent="0.25">
      <c r="A3635" s="100">
        <f t="shared" si="62"/>
        <v>23</v>
      </c>
      <c r="B3635" s="151" t="s">
        <v>2813</v>
      </c>
      <c r="C3635" s="152" t="s">
        <v>2806</v>
      </c>
      <c r="D3635" s="103"/>
      <c r="E3635" s="156">
        <v>5000</v>
      </c>
    </row>
    <row r="3636" spans="1:5" x14ac:dyDescent="0.25">
      <c r="A3636" s="153"/>
      <c r="B3636" s="151"/>
      <c r="C3636" s="152"/>
      <c r="D3636" s="154"/>
      <c r="E3636" s="155"/>
    </row>
    <row r="3637" spans="1:5" ht="15.75" thickBot="1" x14ac:dyDescent="0.3">
      <c r="A3637" s="105"/>
      <c r="B3637" s="240" t="s">
        <v>10</v>
      </c>
      <c r="C3637" s="241"/>
      <c r="D3637" s="242"/>
      <c r="E3637" s="106">
        <f>SUM(E3613:E3635)</f>
        <v>347500</v>
      </c>
    </row>
    <row r="3638" spans="1:5" x14ac:dyDescent="0.25">
      <c r="A3638" s="95"/>
      <c r="B3638" s="130"/>
      <c r="C3638" s="130"/>
      <c r="E3638" s="131"/>
    </row>
    <row r="3639" spans="1:5" x14ac:dyDescent="0.25">
      <c r="A3639" s="94"/>
      <c r="B3639" s="94"/>
      <c r="C3639" s="95"/>
      <c r="D3639" s="108" t="s">
        <v>2786</v>
      </c>
      <c r="E3639" s="94"/>
    </row>
    <row r="3640" spans="1:5" x14ac:dyDescent="0.25">
      <c r="D3640" s="108" t="s">
        <v>83</v>
      </c>
    </row>
    <row r="3658" spans="1:5" x14ac:dyDescent="0.25">
      <c r="A3658" s="93" t="s">
        <v>0</v>
      </c>
      <c r="B3658" s="129"/>
      <c r="C3658" s="129"/>
      <c r="D3658" s="129"/>
      <c r="E3658" s="129"/>
    </row>
    <row r="3659" spans="1:5" x14ac:dyDescent="0.25">
      <c r="A3659" s="93" t="s">
        <v>1</v>
      </c>
      <c r="B3659" s="94"/>
      <c r="C3659" s="95"/>
      <c r="D3659" s="94"/>
      <c r="E3659" s="94"/>
    </row>
    <row r="3660" spans="1:5" x14ac:dyDescent="0.25">
      <c r="A3660" s="93"/>
      <c r="B3660" s="94"/>
      <c r="C3660" s="95"/>
      <c r="D3660" s="94"/>
      <c r="E3660" s="94"/>
    </row>
    <row r="3661" spans="1:5" x14ac:dyDescent="0.25">
      <c r="A3661" s="96" t="s">
        <v>84</v>
      </c>
      <c r="B3661" s="96"/>
      <c r="C3661" s="96"/>
      <c r="D3661" s="96"/>
      <c r="E3661" s="96"/>
    </row>
    <row r="3662" spans="1:5" x14ac:dyDescent="0.25">
      <c r="A3662" s="238" t="s">
        <v>101</v>
      </c>
      <c r="B3662" s="239"/>
      <c r="C3662" s="239"/>
      <c r="D3662" s="239"/>
      <c r="E3662" s="239"/>
    </row>
    <row r="3663" spans="1:5" x14ac:dyDescent="0.25">
      <c r="A3663" s="95"/>
      <c r="B3663" s="95"/>
      <c r="C3663" s="95"/>
      <c r="D3663" s="95"/>
      <c r="E3663" s="95"/>
    </row>
    <row r="3664" spans="1:5" ht="15.75" thickBot="1" x14ac:dyDescent="0.3">
      <c r="A3664" s="94"/>
      <c r="B3664" s="94"/>
      <c r="C3664" s="95"/>
      <c r="D3664" s="94"/>
      <c r="E3664" s="109" t="s">
        <v>2814</v>
      </c>
    </row>
    <row r="3665" spans="1:5" x14ac:dyDescent="0.25">
      <c r="A3665" s="97" t="s">
        <v>16</v>
      </c>
      <c r="B3665" s="98" t="s">
        <v>79</v>
      </c>
      <c r="C3665" s="98" t="s">
        <v>80</v>
      </c>
      <c r="D3665" s="98" t="s">
        <v>77</v>
      </c>
      <c r="E3665" s="99" t="s">
        <v>10</v>
      </c>
    </row>
    <row r="3666" spans="1:5" x14ac:dyDescent="0.25">
      <c r="A3666" s="100">
        <v>1</v>
      </c>
      <c r="B3666" s="151" t="s">
        <v>1639</v>
      </c>
      <c r="C3666" s="152" t="s">
        <v>2816</v>
      </c>
      <c r="D3666" s="103"/>
      <c r="E3666" s="104">
        <v>20000</v>
      </c>
    </row>
    <row r="3667" spans="1:5" x14ac:dyDescent="0.25">
      <c r="A3667" s="100">
        <f>A3666+1</f>
        <v>2</v>
      </c>
      <c r="B3667" s="151" t="s">
        <v>119</v>
      </c>
      <c r="C3667" s="152" t="s">
        <v>2817</v>
      </c>
      <c r="D3667" s="103"/>
      <c r="E3667" s="104">
        <v>42500</v>
      </c>
    </row>
    <row r="3668" spans="1:5" x14ac:dyDescent="0.25">
      <c r="A3668" s="100">
        <f t="shared" ref="A3668:A3711" si="63">A3667+1</f>
        <v>3</v>
      </c>
      <c r="B3668" s="151" t="s">
        <v>1069</v>
      </c>
      <c r="C3668" s="152" t="s">
        <v>1065</v>
      </c>
      <c r="D3668" s="103"/>
      <c r="E3668" s="156">
        <v>5000</v>
      </c>
    </row>
    <row r="3669" spans="1:5" x14ac:dyDescent="0.25">
      <c r="A3669" s="100">
        <f t="shared" si="63"/>
        <v>4</v>
      </c>
      <c r="B3669" s="151" t="s">
        <v>2820</v>
      </c>
      <c r="C3669" s="152" t="s">
        <v>2818</v>
      </c>
      <c r="D3669" s="103"/>
      <c r="E3669" s="156">
        <v>22500</v>
      </c>
    </row>
    <row r="3670" spans="1:5" x14ac:dyDescent="0.25">
      <c r="A3670" s="100">
        <f t="shared" si="63"/>
        <v>5</v>
      </c>
      <c r="B3670" s="151" t="s">
        <v>2821</v>
      </c>
      <c r="C3670" s="152" t="s">
        <v>2819</v>
      </c>
      <c r="D3670" s="103"/>
      <c r="E3670" s="156">
        <v>22500</v>
      </c>
    </row>
    <row r="3671" spans="1:5" x14ac:dyDescent="0.25">
      <c r="A3671" s="100">
        <f t="shared" si="63"/>
        <v>6</v>
      </c>
      <c r="B3671" s="151" t="s">
        <v>104</v>
      </c>
      <c r="C3671" s="152" t="s">
        <v>110</v>
      </c>
      <c r="D3671" s="103"/>
      <c r="E3671" s="156">
        <v>5000</v>
      </c>
    </row>
    <row r="3672" spans="1:5" x14ac:dyDescent="0.25">
      <c r="A3672" s="100">
        <f t="shared" si="63"/>
        <v>7</v>
      </c>
      <c r="B3672" s="151" t="s">
        <v>853</v>
      </c>
      <c r="C3672" s="152" t="s">
        <v>843</v>
      </c>
      <c r="D3672" s="103"/>
      <c r="E3672" s="156">
        <v>5000</v>
      </c>
    </row>
    <row r="3673" spans="1:5" x14ac:dyDescent="0.25">
      <c r="A3673" s="100">
        <f t="shared" si="63"/>
        <v>8</v>
      </c>
      <c r="B3673" s="151" t="s">
        <v>2822</v>
      </c>
      <c r="C3673" s="152" t="s">
        <v>2827</v>
      </c>
      <c r="D3673" s="103"/>
      <c r="E3673" s="156">
        <v>5000</v>
      </c>
    </row>
    <row r="3674" spans="1:5" x14ac:dyDescent="0.25">
      <c r="A3674" s="100">
        <f t="shared" si="63"/>
        <v>9</v>
      </c>
      <c r="B3674" s="151" t="s">
        <v>1642</v>
      </c>
      <c r="C3674" s="152" t="s">
        <v>1649</v>
      </c>
      <c r="D3674" s="103"/>
      <c r="E3674" s="156">
        <v>5000</v>
      </c>
    </row>
    <row r="3675" spans="1:5" x14ac:dyDescent="0.25">
      <c r="A3675" s="100">
        <f t="shared" si="63"/>
        <v>10</v>
      </c>
      <c r="B3675" s="151" t="s">
        <v>2823</v>
      </c>
      <c r="C3675" s="152" t="s">
        <v>2828</v>
      </c>
      <c r="D3675" s="103"/>
      <c r="E3675" s="156">
        <v>22500</v>
      </c>
    </row>
    <row r="3676" spans="1:5" x14ac:dyDescent="0.25">
      <c r="A3676" s="100">
        <f t="shared" si="63"/>
        <v>11</v>
      </c>
      <c r="B3676" s="151" t="s">
        <v>2824</v>
      </c>
      <c r="C3676" s="152" t="s">
        <v>2829</v>
      </c>
      <c r="D3676" s="103"/>
      <c r="E3676" s="156">
        <v>20000</v>
      </c>
    </row>
    <row r="3677" spans="1:5" x14ac:dyDescent="0.25">
      <c r="A3677" s="100">
        <f t="shared" si="63"/>
        <v>12</v>
      </c>
      <c r="B3677" s="151" t="s">
        <v>2825</v>
      </c>
      <c r="C3677" s="152" t="s">
        <v>2830</v>
      </c>
      <c r="D3677" s="103"/>
      <c r="E3677" s="156">
        <v>12500</v>
      </c>
    </row>
    <row r="3678" spans="1:5" x14ac:dyDescent="0.25">
      <c r="A3678" s="100">
        <f t="shared" si="63"/>
        <v>13</v>
      </c>
      <c r="B3678" s="151" t="s">
        <v>547</v>
      </c>
      <c r="C3678" s="152" t="s">
        <v>556</v>
      </c>
      <c r="D3678" s="103"/>
      <c r="E3678" s="156">
        <v>5000</v>
      </c>
    </row>
    <row r="3679" spans="1:5" x14ac:dyDescent="0.25">
      <c r="A3679" s="100">
        <f t="shared" si="63"/>
        <v>14</v>
      </c>
      <c r="B3679" s="151" t="s">
        <v>2826</v>
      </c>
      <c r="C3679" s="152" t="s">
        <v>2831</v>
      </c>
      <c r="D3679" s="103"/>
      <c r="E3679" s="156">
        <v>40000</v>
      </c>
    </row>
    <row r="3680" spans="1:5" x14ac:dyDescent="0.25">
      <c r="A3680" s="100">
        <f t="shared" si="63"/>
        <v>15</v>
      </c>
      <c r="B3680" s="151" t="s">
        <v>2839</v>
      </c>
      <c r="C3680" s="152" t="s">
        <v>2832</v>
      </c>
      <c r="D3680" s="103"/>
      <c r="E3680" s="156">
        <v>5000</v>
      </c>
    </row>
    <row r="3681" spans="1:5" x14ac:dyDescent="0.25">
      <c r="A3681" s="100">
        <f t="shared" si="63"/>
        <v>16</v>
      </c>
      <c r="B3681" s="151" t="s">
        <v>2840</v>
      </c>
      <c r="C3681" s="152" t="s">
        <v>2833</v>
      </c>
      <c r="D3681" s="103"/>
      <c r="E3681" s="156">
        <v>12500</v>
      </c>
    </row>
    <row r="3682" spans="1:5" x14ac:dyDescent="0.25">
      <c r="A3682" s="100">
        <f t="shared" si="63"/>
        <v>17</v>
      </c>
      <c r="B3682" s="151" t="s">
        <v>1027</v>
      </c>
      <c r="C3682" s="152" t="s">
        <v>1015</v>
      </c>
      <c r="D3682" s="103"/>
      <c r="E3682" s="156">
        <v>5000</v>
      </c>
    </row>
    <row r="3683" spans="1:5" x14ac:dyDescent="0.25">
      <c r="A3683" s="100">
        <f t="shared" si="63"/>
        <v>18</v>
      </c>
      <c r="B3683" s="151" t="s">
        <v>719</v>
      </c>
      <c r="C3683" s="152" t="s">
        <v>713</v>
      </c>
      <c r="D3683" s="103"/>
      <c r="E3683" s="156">
        <v>5000</v>
      </c>
    </row>
    <row r="3684" spans="1:5" x14ac:dyDescent="0.25">
      <c r="A3684" s="100">
        <f t="shared" si="63"/>
        <v>19</v>
      </c>
      <c r="B3684" s="151" t="s">
        <v>2841</v>
      </c>
      <c r="C3684" s="152" t="s">
        <v>2834</v>
      </c>
      <c r="D3684" s="103"/>
      <c r="E3684" s="156">
        <v>5000</v>
      </c>
    </row>
    <row r="3685" spans="1:5" x14ac:dyDescent="0.25">
      <c r="A3685" s="100">
        <f t="shared" si="63"/>
        <v>20</v>
      </c>
      <c r="B3685" s="151" t="s">
        <v>1114</v>
      </c>
      <c r="C3685" s="152" t="s">
        <v>1110</v>
      </c>
      <c r="D3685" s="103"/>
      <c r="E3685" s="156">
        <v>5000</v>
      </c>
    </row>
    <row r="3686" spans="1:5" x14ac:dyDescent="0.25">
      <c r="A3686" s="100">
        <f t="shared" si="63"/>
        <v>21</v>
      </c>
      <c r="B3686" s="151" t="s">
        <v>1160</v>
      </c>
      <c r="C3686" s="152" t="s">
        <v>1166</v>
      </c>
      <c r="D3686" s="103"/>
      <c r="E3686" s="156">
        <v>5000</v>
      </c>
    </row>
    <row r="3687" spans="1:5" x14ac:dyDescent="0.25">
      <c r="A3687" s="100">
        <f t="shared" si="63"/>
        <v>22</v>
      </c>
      <c r="B3687" s="151" t="s">
        <v>302</v>
      </c>
      <c r="C3687" s="152" t="s">
        <v>289</v>
      </c>
      <c r="D3687" s="103"/>
      <c r="E3687" s="156">
        <v>5000</v>
      </c>
    </row>
    <row r="3688" spans="1:5" x14ac:dyDescent="0.25">
      <c r="A3688" s="100">
        <f t="shared" si="63"/>
        <v>23</v>
      </c>
      <c r="B3688" s="151" t="s">
        <v>2842</v>
      </c>
      <c r="C3688" s="152" t="s">
        <v>2835</v>
      </c>
      <c r="D3688" s="103"/>
      <c r="E3688" s="156">
        <v>12500</v>
      </c>
    </row>
    <row r="3689" spans="1:5" x14ac:dyDescent="0.25">
      <c r="A3689" s="100">
        <f t="shared" si="63"/>
        <v>24</v>
      </c>
      <c r="B3689" s="151" t="s">
        <v>2843</v>
      </c>
      <c r="C3689" s="152" t="s">
        <v>2836</v>
      </c>
      <c r="D3689" s="154"/>
      <c r="E3689" s="157">
        <v>12500</v>
      </c>
    </row>
    <row r="3690" spans="1:5" x14ac:dyDescent="0.25">
      <c r="A3690" s="100">
        <f t="shared" si="63"/>
        <v>25</v>
      </c>
      <c r="B3690" s="151" t="s">
        <v>2844</v>
      </c>
      <c r="C3690" s="152" t="s">
        <v>2837</v>
      </c>
      <c r="D3690" s="154"/>
      <c r="E3690" s="157">
        <v>5000</v>
      </c>
    </row>
    <row r="3691" spans="1:5" x14ac:dyDescent="0.25">
      <c r="A3691" s="100">
        <f t="shared" si="63"/>
        <v>26</v>
      </c>
      <c r="B3691" s="151" t="s">
        <v>305</v>
      </c>
      <c r="C3691" s="152" t="s">
        <v>292</v>
      </c>
      <c r="D3691" s="154"/>
      <c r="E3691" s="157">
        <v>5000</v>
      </c>
    </row>
    <row r="3692" spans="1:5" x14ac:dyDescent="0.25">
      <c r="A3692" s="100">
        <f t="shared" si="63"/>
        <v>27</v>
      </c>
      <c r="B3692" s="151" t="s">
        <v>2845</v>
      </c>
      <c r="C3692" s="152" t="s">
        <v>2838</v>
      </c>
      <c r="D3692" s="154"/>
      <c r="E3692" s="157">
        <v>5000</v>
      </c>
    </row>
    <row r="3693" spans="1:5" x14ac:dyDescent="0.25">
      <c r="A3693" s="100">
        <f t="shared" si="63"/>
        <v>28</v>
      </c>
      <c r="B3693" s="151" t="s">
        <v>2846</v>
      </c>
      <c r="C3693" s="152" t="s">
        <v>2850</v>
      </c>
      <c r="D3693" s="154"/>
      <c r="E3693" s="157">
        <v>5000</v>
      </c>
    </row>
    <row r="3694" spans="1:5" x14ac:dyDescent="0.25">
      <c r="A3694" s="100">
        <f t="shared" si="63"/>
        <v>29</v>
      </c>
      <c r="B3694" s="151" t="s">
        <v>495</v>
      </c>
      <c r="C3694" s="152" t="s">
        <v>503</v>
      </c>
      <c r="D3694" s="154"/>
      <c r="E3694" s="157">
        <v>5000</v>
      </c>
    </row>
    <row r="3695" spans="1:5" x14ac:dyDescent="0.25">
      <c r="A3695" s="100">
        <f t="shared" si="63"/>
        <v>30</v>
      </c>
      <c r="B3695" s="151" t="s">
        <v>2847</v>
      </c>
      <c r="C3695" s="152" t="s">
        <v>1168</v>
      </c>
      <c r="D3695" s="154"/>
      <c r="E3695" s="157">
        <v>5000</v>
      </c>
    </row>
    <row r="3696" spans="1:5" x14ac:dyDescent="0.25">
      <c r="A3696" s="100">
        <f t="shared" si="63"/>
        <v>31</v>
      </c>
      <c r="B3696" s="151" t="s">
        <v>2134</v>
      </c>
      <c r="C3696" s="152" t="s">
        <v>2144</v>
      </c>
      <c r="D3696" s="154"/>
      <c r="E3696" s="157">
        <v>5000</v>
      </c>
    </row>
    <row r="3697" spans="1:5" x14ac:dyDescent="0.25">
      <c r="A3697" s="100">
        <f t="shared" si="63"/>
        <v>32</v>
      </c>
      <c r="B3697" s="151" t="s">
        <v>808</v>
      </c>
      <c r="C3697" s="152" t="s">
        <v>820</v>
      </c>
      <c r="D3697" s="154"/>
      <c r="E3697" s="157">
        <v>5000</v>
      </c>
    </row>
    <row r="3698" spans="1:5" x14ac:dyDescent="0.25">
      <c r="A3698" s="100">
        <f t="shared" si="63"/>
        <v>33</v>
      </c>
      <c r="B3698" s="151" t="s">
        <v>903</v>
      </c>
      <c r="C3698" s="152" t="s">
        <v>897</v>
      </c>
      <c r="D3698" s="154"/>
      <c r="E3698" s="157">
        <v>5000</v>
      </c>
    </row>
    <row r="3699" spans="1:5" x14ac:dyDescent="0.25">
      <c r="A3699" s="100">
        <f t="shared" si="63"/>
        <v>34</v>
      </c>
      <c r="B3699" s="151" t="s">
        <v>2848</v>
      </c>
      <c r="C3699" s="152" t="s">
        <v>2851</v>
      </c>
      <c r="D3699" s="154"/>
      <c r="E3699" s="157">
        <v>5000</v>
      </c>
    </row>
    <row r="3700" spans="1:5" x14ac:dyDescent="0.25">
      <c r="A3700" s="100">
        <f t="shared" si="63"/>
        <v>35</v>
      </c>
      <c r="B3700" s="151" t="s">
        <v>2849</v>
      </c>
      <c r="C3700" s="152" t="s">
        <v>2852</v>
      </c>
      <c r="D3700" s="154"/>
      <c r="E3700" s="157">
        <v>12500</v>
      </c>
    </row>
    <row r="3701" spans="1:5" x14ac:dyDescent="0.25">
      <c r="A3701" s="100">
        <f t="shared" si="63"/>
        <v>36</v>
      </c>
      <c r="B3701" s="151" t="s">
        <v>2858</v>
      </c>
      <c r="C3701" s="152" t="s">
        <v>2853</v>
      </c>
      <c r="D3701" s="154"/>
      <c r="E3701" s="157">
        <v>5000</v>
      </c>
    </row>
    <row r="3702" spans="1:5" x14ac:dyDescent="0.25">
      <c r="A3702" s="100">
        <f t="shared" si="63"/>
        <v>37</v>
      </c>
      <c r="B3702" s="151" t="s">
        <v>735</v>
      </c>
      <c r="C3702" s="152" t="s">
        <v>730</v>
      </c>
      <c r="D3702" s="154"/>
      <c r="E3702" s="157">
        <v>5000</v>
      </c>
    </row>
    <row r="3703" spans="1:5" x14ac:dyDescent="0.25">
      <c r="A3703" s="100">
        <f t="shared" si="63"/>
        <v>38</v>
      </c>
      <c r="B3703" s="151" t="s">
        <v>2859</v>
      </c>
      <c r="C3703" s="152" t="s">
        <v>2854</v>
      </c>
      <c r="D3703" s="154"/>
      <c r="E3703" s="157">
        <v>12500</v>
      </c>
    </row>
    <row r="3704" spans="1:5" x14ac:dyDescent="0.25">
      <c r="A3704" s="100">
        <f t="shared" si="63"/>
        <v>39</v>
      </c>
      <c r="B3704" s="151" t="s">
        <v>374</v>
      </c>
      <c r="C3704" s="152" t="s">
        <v>383</v>
      </c>
      <c r="D3704" s="154"/>
      <c r="E3704" s="157">
        <v>5000</v>
      </c>
    </row>
    <row r="3705" spans="1:5" x14ac:dyDescent="0.25">
      <c r="A3705" s="100">
        <f t="shared" si="63"/>
        <v>40</v>
      </c>
      <c r="B3705" s="151" t="s">
        <v>2860</v>
      </c>
      <c r="C3705" s="152" t="s">
        <v>2855</v>
      </c>
      <c r="D3705" s="154"/>
      <c r="E3705" s="157">
        <v>5000</v>
      </c>
    </row>
    <row r="3706" spans="1:5" x14ac:dyDescent="0.25">
      <c r="A3706" s="100">
        <f t="shared" si="63"/>
        <v>41</v>
      </c>
      <c r="B3706" s="151" t="s">
        <v>2861</v>
      </c>
      <c r="C3706" s="152" t="s">
        <v>2856</v>
      </c>
      <c r="D3706" s="154"/>
      <c r="E3706" s="157">
        <v>5000</v>
      </c>
    </row>
    <row r="3707" spans="1:5" x14ac:dyDescent="0.25">
      <c r="A3707" s="100">
        <f t="shared" si="63"/>
        <v>42</v>
      </c>
      <c r="B3707" s="151" t="s">
        <v>2862</v>
      </c>
      <c r="C3707" s="152" t="s">
        <v>2857</v>
      </c>
      <c r="D3707" s="154"/>
      <c r="E3707" s="157">
        <v>5000</v>
      </c>
    </row>
    <row r="3708" spans="1:5" x14ac:dyDescent="0.25">
      <c r="A3708" s="100">
        <f t="shared" si="63"/>
        <v>43</v>
      </c>
      <c r="B3708" s="151" t="s">
        <v>2863</v>
      </c>
      <c r="C3708" s="152" t="s">
        <v>1127</v>
      </c>
      <c r="D3708" s="154"/>
      <c r="E3708" s="157">
        <v>5000</v>
      </c>
    </row>
    <row r="3709" spans="1:5" x14ac:dyDescent="0.25">
      <c r="A3709" s="100">
        <f t="shared" si="63"/>
        <v>44</v>
      </c>
      <c r="B3709" s="151" t="s">
        <v>389</v>
      </c>
      <c r="C3709" s="152" t="s">
        <v>319</v>
      </c>
      <c r="D3709" s="154"/>
      <c r="E3709" s="157">
        <v>5000</v>
      </c>
    </row>
    <row r="3710" spans="1:5" x14ac:dyDescent="0.25">
      <c r="A3710" s="100">
        <f t="shared" si="63"/>
        <v>45</v>
      </c>
      <c r="B3710" s="151" t="s">
        <v>2864</v>
      </c>
      <c r="C3710" s="152" t="s">
        <v>2866</v>
      </c>
      <c r="D3710" s="154"/>
      <c r="E3710" s="157">
        <v>22500</v>
      </c>
    </row>
    <row r="3711" spans="1:5" x14ac:dyDescent="0.25">
      <c r="A3711" s="100">
        <f t="shared" si="63"/>
        <v>46</v>
      </c>
      <c r="B3711" s="151" t="s">
        <v>2865</v>
      </c>
      <c r="C3711" s="152" t="s">
        <v>2867</v>
      </c>
      <c r="D3711" s="154"/>
      <c r="E3711" s="157">
        <v>5000</v>
      </c>
    </row>
    <row r="3712" spans="1:5" x14ac:dyDescent="0.25">
      <c r="A3712" s="153"/>
      <c r="B3712" s="151"/>
      <c r="C3712" s="152"/>
      <c r="D3712" s="154"/>
      <c r="E3712" s="155"/>
    </row>
    <row r="3713" spans="1:5" ht="15.75" thickBot="1" x14ac:dyDescent="0.3">
      <c r="A3713" s="105"/>
      <c r="B3713" s="240" t="s">
        <v>10</v>
      </c>
      <c r="C3713" s="241"/>
      <c r="D3713" s="242"/>
      <c r="E3713" s="106">
        <f>SUM(E3666:E3712)</f>
        <v>447500</v>
      </c>
    </row>
    <row r="3714" spans="1:5" x14ac:dyDescent="0.25">
      <c r="A3714" s="95"/>
      <c r="B3714" s="130"/>
      <c r="C3714" s="130"/>
      <c r="E3714" s="131"/>
    </row>
    <row r="3715" spans="1:5" x14ac:dyDescent="0.25">
      <c r="A3715" s="94"/>
      <c r="B3715" s="94"/>
      <c r="C3715" s="95"/>
      <c r="D3715" s="108" t="s">
        <v>2815</v>
      </c>
      <c r="E3715" s="94"/>
    </row>
    <row r="3716" spans="1:5" x14ac:dyDescent="0.25">
      <c r="D3716" s="108" t="s">
        <v>83</v>
      </c>
    </row>
    <row r="3764" spans="1:5" x14ac:dyDescent="0.25">
      <c r="A3764" s="93" t="s">
        <v>0</v>
      </c>
      <c r="B3764" s="129"/>
      <c r="C3764" s="129"/>
      <c r="D3764" s="129"/>
      <c r="E3764" s="129"/>
    </row>
    <row r="3765" spans="1:5" x14ac:dyDescent="0.25">
      <c r="A3765" s="93" t="s">
        <v>1</v>
      </c>
      <c r="B3765" s="94"/>
      <c r="C3765" s="95"/>
      <c r="D3765" s="94"/>
      <c r="E3765" s="94"/>
    </row>
    <row r="3766" spans="1:5" x14ac:dyDescent="0.25">
      <c r="A3766" s="93"/>
      <c r="B3766" s="94"/>
      <c r="C3766" s="95"/>
      <c r="D3766" s="94"/>
      <c r="E3766" s="94"/>
    </row>
    <row r="3767" spans="1:5" x14ac:dyDescent="0.25">
      <c r="A3767" s="96" t="s">
        <v>84</v>
      </c>
      <c r="B3767" s="96"/>
      <c r="C3767" s="96"/>
      <c r="D3767" s="96"/>
      <c r="E3767" s="96"/>
    </row>
    <row r="3768" spans="1:5" x14ac:dyDescent="0.25">
      <c r="A3768" s="238" t="s">
        <v>101</v>
      </c>
      <c r="B3768" s="239"/>
      <c r="C3768" s="239"/>
      <c r="D3768" s="239"/>
      <c r="E3768" s="239"/>
    </row>
    <row r="3769" spans="1:5" x14ac:dyDescent="0.25">
      <c r="A3769" s="95"/>
      <c r="B3769" s="95"/>
      <c r="C3769" s="95"/>
      <c r="D3769" s="95"/>
      <c r="E3769" s="95"/>
    </row>
    <row r="3770" spans="1:5" ht="15.75" thickBot="1" x14ac:dyDescent="0.3">
      <c r="A3770" s="94"/>
      <c r="B3770" s="94"/>
      <c r="C3770" s="95"/>
      <c r="D3770" s="94"/>
      <c r="E3770" s="109" t="s">
        <v>2868</v>
      </c>
    </row>
    <row r="3771" spans="1:5" x14ac:dyDescent="0.25">
      <c r="A3771" s="97" t="s">
        <v>16</v>
      </c>
      <c r="B3771" s="98" t="s">
        <v>79</v>
      </c>
      <c r="C3771" s="98" t="s">
        <v>80</v>
      </c>
      <c r="D3771" s="98" t="s">
        <v>77</v>
      </c>
      <c r="E3771" s="99" t="s">
        <v>10</v>
      </c>
    </row>
    <row r="3772" spans="1:5" x14ac:dyDescent="0.25">
      <c r="A3772" s="100">
        <v>1</v>
      </c>
      <c r="B3772" s="151" t="s">
        <v>742</v>
      </c>
      <c r="C3772" s="152" t="s">
        <v>748</v>
      </c>
      <c r="D3772" s="103"/>
      <c r="E3772" s="104">
        <v>5000</v>
      </c>
    </row>
    <row r="3773" spans="1:5" x14ac:dyDescent="0.25">
      <c r="A3773" s="100">
        <f>A3772+1</f>
        <v>2</v>
      </c>
      <c r="B3773" s="151" t="s">
        <v>2870</v>
      </c>
      <c r="C3773" s="152" t="s">
        <v>2871</v>
      </c>
      <c r="D3773" s="103"/>
      <c r="E3773" s="104">
        <v>132500</v>
      </c>
    </row>
    <row r="3774" spans="1:5" x14ac:dyDescent="0.25">
      <c r="A3774" s="100">
        <f t="shared" ref="A3774:A3810" si="64">A3773+1</f>
        <v>3</v>
      </c>
      <c r="B3774" s="151" t="s">
        <v>2877</v>
      </c>
      <c r="C3774" s="152" t="s">
        <v>2872</v>
      </c>
      <c r="D3774" s="103"/>
      <c r="E3774" s="156">
        <v>22500</v>
      </c>
    </row>
    <row r="3775" spans="1:5" x14ac:dyDescent="0.25">
      <c r="A3775" s="100">
        <f t="shared" si="64"/>
        <v>4</v>
      </c>
      <c r="B3775" s="151" t="s">
        <v>924</v>
      </c>
      <c r="C3775" s="152" t="s">
        <v>919</v>
      </c>
      <c r="D3775" s="103"/>
      <c r="E3775" s="156">
        <v>5000</v>
      </c>
    </row>
    <row r="3776" spans="1:5" x14ac:dyDescent="0.25">
      <c r="A3776" s="100">
        <f t="shared" si="64"/>
        <v>5</v>
      </c>
      <c r="B3776" s="151" t="s">
        <v>2878</v>
      </c>
      <c r="C3776" s="152" t="s">
        <v>2873</v>
      </c>
      <c r="D3776" s="103"/>
      <c r="E3776" s="156">
        <v>22500</v>
      </c>
    </row>
    <row r="3777" spans="1:5" x14ac:dyDescent="0.25">
      <c r="A3777" s="100">
        <f t="shared" si="64"/>
        <v>6</v>
      </c>
      <c r="B3777" s="151" t="s">
        <v>2879</v>
      </c>
      <c r="C3777" s="152" t="s">
        <v>2874</v>
      </c>
      <c r="D3777" s="103"/>
      <c r="E3777" s="156">
        <v>102500</v>
      </c>
    </row>
    <row r="3778" spans="1:5" x14ac:dyDescent="0.25">
      <c r="A3778" s="100">
        <f t="shared" si="64"/>
        <v>7</v>
      </c>
      <c r="B3778" s="151" t="s">
        <v>2880</v>
      </c>
      <c r="C3778" s="152" t="s">
        <v>2875</v>
      </c>
      <c r="D3778" s="103"/>
      <c r="E3778" s="156">
        <v>12500</v>
      </c>
    </row>
    <row r="3779" spans="1:5" x14ac:dyDescent="0.25">
      <c r="A3779" s="100">
        <f t="shared" si="64"/>
        <v>8</v>
      </c>
      <c r="B3779" s="151" t="s">
        <v>2881</v>
      </c>
      <c r="C3779" s="152" t="s">
        <v>2876</v>
      </c>
      <c r="D3779" s="103"/>
      <c r="E3779" s="156">
        <v>112500</v>
      </c>
    </row>
    <row r="3780" spans="1:5" x14ac:dyDescent="0.25">
      <c r="A3780" s="100">
        <f t="shared" si="64"/>
        <v>9</v>
      </c>
      <c r="B3780" s="151" t="s">
        <v>2882</v>
      </c>
      <c r="C3780" s="152" t="s">
        <v>2885</v>
      </c>
      <c r="D3780" s="103"/>
      <c r="E3780" s="156">
        <v>12500</v>
      </c>
    </row>
    <row r="3781" spans="1:5" x14ac:dyDescent="0.25">
      <c r="A3781" s="100">
        <f t="shared" si="64"/>
        <v>10</v>
      </c>
      <c r="B3781" s="151" t="s">
        <v>647</v>
      </c>
      <c r="C3781" s="152" t="s">
        <v>657</v>
      </c>
      <c r="D3781" s="103"/>
      <c r="E3781" s="156">
        <v>5000</v>
      </c>
    </row>
    <row r="3782" spans="1:5" x14ac:dyDescent="0.25">
      <c r="A3782" s="100">
        <f t="shared" si="64"/>
        <v>11</v>
      </c>
      <c r="B3782" s="151" t="s">
        <v>2883</v>
      </c>
      <c r="C3782" s="152" t="s">
        <v>2886</v>
      </c>
      <c r="D3782" s="103"/>
      <c r="E3782" s="156">
        <v>12500</v>
      </c>
    </row>
    <row r="3783" spans="1:5" x14ac:dyDescent="0.25">
      <c r="A3783" s="100">
        <f t="shared" si="64"/>
        <v>12</v>
      </c>
      <c r="B3783" s="151" t="s">
        <v>2884</v>
      </c>
      <c r="C3783" s="152" t="s">
        <v>2887</v>
      </c>
      <c r="D3783" s="103"/>
      <c r="E3783" s="156">
        <v>20000</v>
      </c>
    </row>
    <row r="3784" spans="1:5" x14ac:dyDescent="0.25">
      <c r="A3784" s="100">
        <f t="shared" si="64"/>
        <v>13</v>
      </c>
      <c r="B3784" s="151" t="s">
        <v>2892</v>
      </c>
      <c r="C3784" s="152" t="s">
        <v>2888</v>
      </c>
      <c r="D3784" s="103"/>
      <c r="E3784" s="156">
        <v>12500</v>
      </c>
    </row>
    <row r="3785" spans="1:5" x14ac:dyDescent="0.25">
      <c r="A3785" s="100">
        <f t="shared" si="64"/>
        <v>14</v>
      </c>
      <c r="B3785" s="151" t="s">
        <v>2893</v>
      </c>
      <c r="C3785" s="152" t="s">
        <v>2889</v>
      </c>
      <c r="D3785" s="103"/>
      <c r="E3785" s="156">
        <v>12500</v>
      </c>
    </row>
    <row r="3786" spans="1:5" x14ac:dyDescent="0.25">
      <c r="A3786" s="100">
        <f t="shared" si="64"/>
        <v>15</v>
      </c>
      <c r="B3786" s="151" t="s">
        <v>2894</v>
      </c>
      <c r="C3786" s="152" t="s">
        <v>2890</v>
      </c>
      <c r="D3786" s="103"/>
      <c r="E3786" s="156">
        <v>12500</v>
      </c>
    </row>
    <row r="3787" spans="1:5" x14ac:dyDescent="0.25">
      <c r="A3787" s="100">
        <f t="shared" si="64"/>
        <v>16</v>
      </c>
      <c r="B3787" s="151" t="s">
        <v>2895</v>
      </c>
      <c r="C3787" s="152" t="s">
        <v>2891</v>
      </c>
      <c r="D3787" s="103"/>
      <c r="E3787" s="156">
        <v>52500</v>
      </c>
    </row>
    <row r="3788" spans="1:5" x14ac:dyDescent="0.25">
      <c r="A3788" s="100">
        <f t="shared" si="64"/>
        <v>17</v>
      </c>
      <c r="B3788" s="151" t="s">
        <v>1074</v>
      </c>
      <c r="C3788" s="152" t="s">
        <v>1081</v>
      </c>
      <c r="D3788" s="103"/>
      <c r="E3788" s="156">
        <v>5000</v>
      </c>
    </row>
    <row r="3789" spans="1:5" x14ac:dyDescent="0.25">
      <c r="A3789" s="100">
        <f t="shared" si="64"/>
        <v>18</v>
      </c>
      <c r="B3789" s="151" t="s">
        <v>2896</v>
      </c>
      <c r="C3789" s="152" t="s">
        <v>2899</v>
      </c>
      <c r="D3789" s="103"/>
      <c r="E3789" s="156">
        <v>32500</v>
      </c>
    </row>
    <row r="3790" spans="1:5" x14ac:dyDescent="0.25">
      <c r="A3790" s="100">
        <f t="shared" si="64"/>
        <v>19</v>
      </c>
      <c r="B3790" s="151" t="s">
        <v>2897</v>
      </c>
      <c r="C3790" s="152" t="s">
        <v>2900</v>
      </c>
      <c r="D3790" s="103"/>
      <c r="E3790" s="156">
        <v>12500</v>
      </c>
    </row>
    <row r="3791" spans="1:5" x14ac:dyDescent="0.25">
      <c r="A3791" s="100">
        <f t="shared" si="64"/>
        <v>20</v>
      </c>
      <c r="B3791" s="151" t="s">
        <v>2901</v>
      </c>
      <c r="C3791" s="152" t="s">
        <v>2902</v>
      </c>
      <c r="D3791" s="103"/>
      <c r="E3791" s="156">
        <v>10000</v>
      </c>
    </row>
    <row r="3792" spans="1:5" x14ac:dyDescent="0.25">
      <c r="A3792" s="100">
        <f t="shared" si="64"/>
        <v>21</v>
      </c>
      <c r="B3792" s="151" t="s">
        <v>949</v>
      </c>
      <c r="C3792" s="152" t="s">
        <v>943</v>
      </c>
      <c r="D3792" s="103"/>
      <c r="E3792" s="156">
        <v>5000</v>
      </c>
    </row>
    <row r="3793" spans="1:5" x14ac:dyDescent="0.25">
      <c r="A3793" s="100">
        <f t="shared" si="64"/>
        <v>22</v>
      </c>
      <c r="B3793" s="151" t="s">
        <v>2898</v>
      </c>
      <c r="C3793" s="152" t="s">
        <v>2903</v>
      </c>
      <c r="D3793" s="103"/>
      <c r="E3793" s="156">
        <v>12500</v>
      </c>
    </row>
    <row r="3794" spans="1:5" x14ac:dyDescent="0.25">
      <c r="A3794" s="100">
        <f t="shared" si="64"/>
        <v>23</v>
      </c>
      <c r="B3794" s="151" t="s">
        <v>1547</v>
      </c>
      <c r="C3794" s="152" t="s">
        <v>2904</v>
      </c>
      <c r="D3794" s="103"/>
      <c r="E3794" s="156">
        <v>12500</v>
      </c>
    </row>
    <row r="3795" spans="1:5" x14ac:dyDescent="0.25">
      <c r="A3795" s="100">
        <f t="shared" si="64"/>
        <v>24</v>
      </c>
      <c r="B3795" s="151" t="s">
        <v>2905</v>
      </c>
      <c r="C3795" s="152" t="s">
        <v>2908</v>
      </c>
      <c r="D3795" s="103"/>
      <c r="E3795" s="156">
        <v>92500</v>
      </c>
    </row>
    <row r="3796" spans="1:5" x14ac:dyDescent="0.25">
      <c r="A3796" s="100">
        <f t="shared" si="64"/>
        <v>25</v>
      </c>
      <c r="B3796" s="151" t="s">
        <v>2906</v>
      </c>
      <c r="C3796" s="152" t="s">
        <v>2909</v>
      </c>
      <c r="D3796" s="154"/>
      <c r="E3796" s="157">
        <v>12500</v>
      </c>
    </row>
    <row r="3797" spans="1:5" x14ac:dyDescent="0.25">
      <c r="A3797" s="100">
        <f t="shared" si="64"/>
        <v>26</v>
      </c>
      <c r="B3797" s="151" t="s">
        <v>1726</v>
      </c>
      <c r="C3797" s="152" t="s">
        <v>2910</v>
      </c>
      <c r="D3797" s="154"/>
      <c r="E3797" s="157">
        <v>12500</v>
      </c>
    </row>
    <row r="3798" spans="1:5" x14ac:dyDescent="0.25">
      <c r="A3798" s="100">
        <f t="shared" si="64"/>
        <v>27</v>
      </c>
      <c r="B3798" s="151" t="s">
        <v>770</v>
      </c>
      <c r="C3798" s="152" t="s">
        <v>760</v>
      </c>
      <c r="D3798" s="154"/>
      <c r="E3798" s="157">
        <v>5000</v>
      </c>
    </row>
    <row r="3799" spans="1:5" x14ac:dyDescent="0.25">
      <c r="A3799" s="100">
        <f t="shared" si="64"/>
        <v>28</v>
      </c>
      <c r="B3799" s="151" t="s">
        <v>773</v>
      </c>
      <c r="C3799" s="152" t="s">
        <v>762</v>
      </c>
      <c r="D3799" s="154"/>
      <c r="E3799" s="157">
        <v>5000</v>
      </c>
    </row>
    <row r="3800" spans="1:5" x14ac:dyDescent="0.25">
      <c r="A3800" s="100">
        <f t="shared" si="64"/>
        <v>29</v>
      </c>
      <c r="B3800" s="151" t="s">
        <v>690</v>
      </c>
      <c r="C3800" s="152" t="s">
        <v>697</v>
      </c>
      <c r="D3800" s="154"/>
      <c r="E3800" s="157">
        <v>5000</v>
      </c>
    </row>
    <row r="3801" spans="1:5" x14ac:dyDescent="0.25">
      <c r="A3801" s="100">
        <f t="shared" si="64"/>
        <v>30</v>
      </c>
      <c r="B3801" s="151" t="s">
        <v>2129</v>
      </c>
      <c r="C3801" s="152" t="s">
        <v>2139</v>
      </c>
      <c r="D3801" s="154"/>
      <c r="E3801" s="157">
        <v>5000</v>
      </c>
    </row>
    <row r="3802" spans="1:5" x14ac:dyDescent="0.25">
      <c r="A3802" s="100">
        <f t="shared" si="64"/>
        <v>31</v>
      </c>
      <c r="B3802" s="151" t="s">
        <v>2907</v>
      </c>
      <c r="C3802" s="152" t="s">
        <v>2911</v>
      </c>
      <c r="D3802" s="154"/>
      <c r="E3802" s="157">
        <v>22500</v>
      </c>
    </row>
    <row r="3803" spans="1:5" x14ac:dyDescent="0.25">
      <c r="A3803" s="100">
        <f t="shared" si="64"/>
        <v>32</v>
      </c>
      <c r="B3803" s="151" t="s">
        <v>2916</v>
      </c>
      <c r="C3803" s="152" t="s">
        <v>2912</v>
      </c>
      <c r="D3803" s="154"/>
      <c r="E3803" s="157">
        <v>102500</v>
      </c>
    </row>
    <row r="3804" spans="1:5" x14ac:dyDescent="0.25">
      <c r="A3804" s="100">
        <f t="shared" si="64"/>
        <v>33</v>
      </c>
      <c r="B3804" s="151" t="s">
        <v>2917</v>
      </c>
      <c r="C3804" s="152" t="s">
        <v>2913</v>
      </c>
      <c r="D3804" s="154"/>
      <c r="E3804" s="157">
        <v>32500</v>
      </c>
    </row>
    <row r="3805" spans="1:5" x14ac:dyDescent="0.25">
      <c r="A3805" s="100">
        <f t="shared" si="64"/>
        <v>34</v>
      </c>
      <c r="B3805" s="151" t="s">
        <v>2918</v>
      </c>
      <c r="C3805" s="152" t="s">
        <v>2914</v>
      </c>
      <c r="D3805" s="154"/>
      <c r="E3805" s="157">
        <v>12500</v>
      </c>
    </row>
    <row r="3806" spans="1:5" x14ac:dyDescent="0.25">
      <c r="A3806" s="100">
        <f t="shared" si="64"/>
        <v>35</v>
      </c>
      <c r="B3806" s="151" t="s">
        <v>2919</v>
      </c>
      <c r="C3806" s="152" t="s">
        <v>1348</v>
      </c>
      <c r="D3806" s="154"/>
      <c r="E3806" s="157">
        <v>5000</v>
      </c>
    </row>
    <row r="3807" spans="1:5" x14ac:dyDescent="0.25">
      <c r="A3807" s="100">
        <f t="shared" si="64"/>
        <v>36</v>
      </c>
      <c r="B3807" s="151" t="s">
        <v>2920</v>
      </c>
      <c r="C3807" s="152" t="s">
        <v>2915</v>
      </c>
      <c r="D3807" s="154"/>
      <c r="E3807" s="157">
        <v>22500</v>
      </c>
    </row>
    <row r="3808" spans="1:5" x14ac:dyDescent="0.25">
      <c r="A3808" s="100">
        <f t="shared" si="64"/>
        <v>37</v>
      </c>
      <c r="B3808" s="151" t="s">
        <v>1415</v>
      </c>
      <c r="C3808" s="152" t="s">
        <v>1422</v>
      </c>
      <c r="D3808" s="154"/>
      <c r="E3808" s="157">
        <v>5000</v>
      </c>
    </row>
    <row r="3809" spans="1:5" x14ac:dyDescent="0.25">
      <c r="A3809" s="100">
        <f t="shared" si="64"/>
        <v>38</v>
      </c>
      <c r="B3809" s="151" t="s">
        <v>1072</v>
      </c>
      <c r="C3809" s="152" t="s">
        <v>1323</v>
      </c>
      <c r="D3809" s="154"/>
      <c r="E3809" s="157">
        <v>5000</v>
      </c>
    </row>
    <row r="3810" spans="1:5" x14ac:dyDescent="0.25">
      <c r="A3810" s="100">
        <f t="shared" si="64"/>
        <v>39</v>
      </c>
      <c r="B3810" s="151" t="s">
        <v>1359</v>
      </c>
      <c r="C3810" s="152" t="s">
        <v>1368</v>
      </c>
      <c r="D3810" s="154"/>
      <c r="E3810" s="157">
        <v>5000</v>
      </c>
    </row>
    <row r="3811" spans="1:5" x14ac:dyDescent="0.25">
      <c r="A3811" s="153"/>
      <c r="B3811" s="151"/>
      <c r="C3811" s="152"/>
      <c r="D3811" s="154"/>
      <c r="E3811" s="155"/>
    </row>
    <row r="3812" spans="1:5" ht="15.75" thickBot="1" x14ac:dyDescent="0.3">
      <c r="A3812" s="105"/>
      <c r="B3812" s="240" t="s">
        <v>10</v>
      </c>
      <c r="C3812" s="241"/>
      <c r="D3812" s="242"/>
      <c r="E3812" s="106">
        <f>SUM(E3772:E3811)</f>
        <v>995000</v>
      </c>
    </row>
    <row r="3813" spans="1:5" x14ac:dyDescent="0.25">
      <c r="A3813" s="95"/>
      <c r="B3813" s="130"/>
      <c r="C3813" s="130"/>
      <c r="E3813" s="131"/>
    </row>
    <row r="3814" spans="1:5" x14ac:dyDescent="0.25">
      <c r="A3814" s="94"/>
      <c r="B3814" s="94"/>
      <c r="C3814" s="95"/>
      <c r="D3814" s="108" t="s">
        <v>2869</v>
      </c>
      <c r="E3814" s="94"/>
    </row>
    <row r="3815" spans="1:5" x14ac:dyDescent="0.25">
      <c r="D3815" s="108" t="s">
        <v>83</v>
      </c>
    </row>
    <row r="3817" spans="1:5" x14ac:dyDescent="0.25">
      <c r="A3817" s="93" t="s">
        <v>0</v>
      </c>
      <c r="B3817" s="129"/>
      <c r="C3817" s="129"/>
      <c r="D3817" s="129"/>
      <c r="E3817" s="129"/>
    </row>
    <row r="3818" spans="1:5" x14ac:dyDescent="0.25">
      <c r="A3818" s="93" t="s">
        <v>1</v>
      </c>
      <c r="B3818" s="94"/>
      <c r="C3818" s="95"/>
      <c r="D3818" s="94"/>
      <c r="E3818" s="94"/>
    </row>
    <row r="3819" spans="1:5" x14ac:dyDescent="0.25">
      <c r="A3819" s="93"/>
      <c r="B3819" s="94"/>
      <c r="C3819" s="95"/>
      <c r="D3819" s="94"/>
      <c r="E3819" s="94"/>
    </row>
    <row r="3820" spans="1:5" x14ac:dyDescent="0.25">
      <c r="A3820" s="96" t="s">
        <v>84</v>
      </c>
      <c r="B3820" s="96"/>
      <c r="C3820" s="96"/>
      <c r="D3820" s="96"/>
      <c r="E3820" s="96"/>
    </row>
    <row r="3821" spans="1:5" x14ac:dyDescent="0.25">
      <c r="A3821" s="238" t="s">
        <v>101</v>
      </c>
      <c r="B3821" s="239"/>
      <c r="C3821" s="239"/>
      <c r="D3821" s="239"/>
      <c r="E3821" s="239"/>
    </row>
    <row r="3822" spans="1:5" x14ac:dyDescent="0.25">
      <c r="A3822" s="95"/>
      <c r="B3822" s="95"/>
      <c r="C3822" s="95"/>
      <c r="D3822" s="95"/>
      <c r="E3822" s="95"/>
    </row>
    <row r="3823" spans="1:5" ht="15.75" thickBot="1" x14ac:dyDescent="0.3">
      <c r="A3823" s="94"/>
      <c r="B3823" s="94"/>
      <c r="C3823" s="95"/>
      <c r="D3823" s="94"/>
      <c r="E3823" s="109" t="s">
        <v>2921</v>
      </c>
    </row>
    <row r="3824" spans="1:5" x14ac:dyDescent="0.25">
      <c r="A3824" s="97" t="s">
        <v>16</v>
      </c>
      <c r="B3824" s="98" t="s">
        <v>79</v>
      </c>
      <c r="C3824" s="98" t="s">
        <v>80</v>
      </c>
      <c r="D3824" s="98" t="s">
        <v>77</v>
      </c>
      <c r="E3824" s="99" t="s">
        <v>10</v>
      </c>
    </row>
    <row r="3825" spans="1:5" x14ac:dyDescent="0.25">
      <c r="A3825" s="100">
        <v>1</v>
      </c>
      <c r="B3825" s="151" t="s">
        <v>1028</v>
      </c>
      <c r="C3825" s="152" t="s">
        <v>2927</v>
      </c>
      <c r="D3825" s="103"/>
      <c r="E3825" s="104">
        <v>22500</v>
      </c>
    </row>
    <row r="3826" spans="1:5" x14ac:dyDescent="0.25">
      <c r="A3826" s="100">
        <f>A3825+1</f>
        <v>2</v>
      </c>
      <c r="B3826" s="151" t="s">
        <v>2923</v>
      </c>
      <c r="C3826" s="152" t="s">
        <v>2928</v>
      </c>
      <c r="D3826" s="103"/>
      <c r="E3826" s="104">
        <v>52500</v>
      </c>
    </row>
    <row r="3827" spans="1:5" x14ac:dyDescent="0.25">
      <c r="A3827" s="100">
        <f t="shared" ref="A3827:A3856" si="65">A3826+1</f>
        <v>3</v>
      </c>
      <c r="B3827" s="151" t="s">
        <v>2924</v>
      </c>
      <c r="C3827" s="152" t="s">
        <v>2929</v>
      </c>
      <c r="D3827" s="103"/>
      <c r="E3827" s="156">
        <v>5000</v>
      </c>
    </row>
    <row r="3828" spans="1:5" x14ac:dyDescent="0.25">
      <c r="A3828" s="100">
        <f t="shared" si="65"/>
        <v>4</v>
      </c>
      <c r="B3828" s="151" t="s">
        <v>2925</v>
      </c>
      <c r="C3828" s="152" t="s">
        <v>2930</v>
      </c>
      <c r="D3828" s="103"/>
      <c r="E3828" s="156">
        <v>102500</v>
      </c>
    </row>
    <row r="3829" spans="1:5" x14ac:dyDescent="0.25">
      <c r="A3829" s="100">
        <f t="shared" si="65"/>
        <v>5</v>
      </c>
      <c r="B3829" s="151" t="s">
        <v>1258</v>
      </c>
      <c r="C3829" s="152" t="s">
        <v>1231</v>
      </c>
      <c r="D3829" s="103"/>
      <c r="E3829" s="156">
        <v>5000</v>
      </c>
    </row>
    <row r="3830" spans="1:5" x14ac:dyDescent="0.25">
      <c r="A3830" s="100">
        <f t="shared" si="65"/>
        <v>6</v>
      </c>
      <c r="B3830" s="151" t="s">
        <v>1072</v>
      </c>
      <c r="C3830" s="152" t="s">
        <v>1079</v>
      </c>
      <c r="D3830" s="103"/>
      <c r="E3830" s="156">
        <v>5000</v>
      </c>
    </row>
    <row r="3831" spans="1:5" x14ac:dyDescent="0.25">
      <c r="A3831" s="100">
        <f t="shared" si="65"/>
        <v>7</v>
      </c>
      <c r="B3831" s="151" t="s">
        <v>2926</v>
      </c>
      <c r="C3831" s="152" t="s">
        <v>2931</v>
      </c>
      <c r="D3831" s="103"/>
      <c r="E3831" s="156">
        <v>97500</v>
      </c>
    </row>
    <row r="3832" spans="1:5" x14ac:dyDescent="0.25">
      <c r="A3832" s="100">
        <f t="shared" si="65"/>
        <v>8</v>
      </c>
      <c r="B3832" s="151" t="s">
        <v>2932</v>
      </c>
      <c r="C3832" s="152" t="s">
        <v>2943</v>
      </c>
      <c r="D3832" s="103"/>
      <c r="E3832" s="156">
        <v>5000</v>
      </c>
    </row>
    <row r="3833" spans="1:5" x14ac:dyDescent="0.25">
      <c r="A3833" s="100">
        <f t="shared" si="65"/>
        <v>9</v>
      </c>
      <c r="B3833" s="151" t="s">
        <v>1111</v>
      </c>
      <c r="C3833" s="152" t="s">
        <v>1107</v>
      </c>
      <c r="D3833" s="103"/>
      <c r="E3833" s="156">
        <v>5000</v>
      </c>
    </row>
    <row r="3834" spans="1:5" x14ac:dyDescent="0.25">
      <c r="A3834" s="100">
        <f t="shared" si="65"/>
        <v>10</v>
      </c>
      <c r="B3834" s="151" t="s">
        <v>2933</v>
      </c>
      <c r="C3834" s="152" t="s">
        <v>2944</v>
      </c>
      <c r="D3834" s="103"/>
      <c r="E3834" s="156">
        <v>5000</v>
      </c>
    </row>
    <row r="3835" spans="1:5" x14ac:dyDescent="0.25">
      <c r="A3835" s="100">
        <f t="shared" si="65"/>
        <v>11</v>
      </c>
      <c r="B3835" s="151" t="s">
        <v>2934</v>
      </c>
      <c r="C3835" s="152" t="s">
        <v>2945</v>
      </c>
      <c r="D3835" s="103"/>
      <c r="E3835" s="156">
        <v>5000</v>
      </c>
    </row>
    <row r="3836" spans="1:5" x14ac:dyDescent="0.25">
      <c r="A3836" s="100">
        <f t="shared" si="65"/>
        <v>12</v>
      </c>
      <c r="B3836" s="151" t="s">
        <v>2935</v>
      </c>
      <c r="C3836" s="152" t="s">
        <v>2946</v>
      </c>
      <c r="D3836" s="103"/>
      <c r="E3836" s="156">
        <v>5000</v>
      </c>
    </row>
    <row r="3837" spans="1:5" x14ac:dyDescent="0.25">
      <c r="A3837" s="100">
        <f t="shared" si="65"/>
        <v>13</v>
      </c>
      <c r="B3837" s="151" t="s">
        <v>2936</v>
      </c>
      <c r="C3837" s="152" t="s">
        <v>2947</v>
      </c>
      <c r="D3837" s="103"/>
      <c r="E3837" s="156">
        <v>62500</v>
      </c>
    </row>
    <row r="3838" spans="1:5" x14ac:dyDescent="0.25">
      <c r="A3838" s="100">
        <f t="shared" si="65"/>
        <v>14</v>
      </c>
      <c r="B3838" s="151" t="s">
        <v>2937</v>
      </c>
      <c r="C3838" s="152" t="s">
        <v>2948</v>
      </c>
      <c r="D3838" s="103"/>
      <c r="E3838" s="156">
        <v>22500</v>
      </c>
    </row>
    <row r="3839" spans="1:5" x14ac:dyDescent="0.25">
      <c r="A3839" s="100">
        <f t="shared" si="65"/>
        <v>15</v>
      </c>
      <c r="B3839" s="151" t="s">
        <v>2938</v>
      </c>
      <c r="C3839" s="152" t="s">
        <v>2949</v>
      </c>
      <c r="D3839" s="103"/>
      <c r="E3839" s="156">
        <v>10000</v>
      </c>
    </row>
    <row r="3840" spans="1:5" x14ac:dyDescent="0.25">
      <c r="A3840" s="100">
        <f t="shared" si="65"/>
        <v>16</v>
      </c>
      <c r="B3840" s="151" t="s">
        <v>983</v>
      </c>
      <c r="C3840" s="152" t="s">
        <v>986</v>
      </c>
      <c r="D3840" s="103"/>
      <c r="E3840" s="156">
        <v>5000</v>
      </c>
    </row>
    <row r="3841" spans="1:5" x14ac:dyDescent="0.25">
      <c r="A3841" s="100">
        <f t="shared" si="65"/>
        <v>17</v>
      </c>
      <c r="B3841" s="151" t="s">
        <v>862</v>
      </c>
      <c r="C3841" s="152" t="s">
        <v>2950</v>
      </c>
      <c r="D3841" s="103"/>
      <c r="E3841" s="156">
        <v>92500</v>
      </c>
    </row>
    <row r="3842" spans="1:5" x14ac:dyDescent="0.25">
      <c r="A3842" s="100">
        <f t="shared" si="65"/>
        <v>18</v>
      </c>
      <c r="B3842" s="151" t="s">
        <v>2939</v>
      </c>
      <c r="C3842" s="152" t="s">
        <v>2951</v>
      </c>
      <c r="D3842" s="103"/>
      <c r="E3842" s="156">
        <v>20000</v>
      </c>
    </row>
    <row r="3843" spans="1:5" x14ac:dyDescent="0.25">
      <c r="A3843" s="100">
        <f t="shared" si="65"/>
        <v>19</v>
      </c>
      <c r="B3843" s="151" t="s">
        <v>309</v>
      </c>
      <c r="C3843" s="152" t="s">
        <v>316</v>
      </c>
      <c r="D3843" s="103"/>
      <c r="E3843" s="156">
        <v>12500</v>
      </c>
    </row>
    <row r="3844" spans="1:5" x14ac:dyDescent="0.25">
      <c r="A3844" s="100">
        <f t="shared" si="65"/>
        <v>20</v>
      </c>
      <c r="B3844" s="151" t="s">
        <v>2940</v>
      </c>
      <c r="C3844" s="152" t="s">
        <v>2952</v>
      </c>
      <c r="D3844" s="103"/>
      <c r="E3844" s="156">
        <v>42500</v>
      </c>
    </row>
    <row r="3845" spans="1:5" x14ac:dyDescent="0.25">
      <c r="A3845" s="100">
        <f t="shared" si="65"/>
        <v>21</v>
      </c>
      <c r="B3845" s="151" t="s">
        <v>2941</v>
      </c>
      <c r="C3845" s="152" t="s">
        <v>2953</v>
      </c>
      <c r="D3845" s="103"/>
      <c r="E3845" s="156">
        <v>5000</v>
      </c>
    </row>
    <row r="3846" spans="1:5" x14ac:dyDescent="0.25">
      <c r="A3846" s="100">
        <f t="shared" si="65"/>
        <v>22</v>
      </c>
      <c r="B3846" s="151" t="s">
        <v>2942</v>
      </c>
      <c r="C3846" s="152" t="s">
        <v>2954</v>
      </c>
      <c r="D3846" s="103"/>
      <c r="E3846" s="156">
        <v>102500</v>
      </c>
    </row>
    <row r="3847" spans="1:5" x14ac:dyDescent="0.25">
      <c r="A3847" s="100">
        <f t="shared" si="65"/>
        <v>23</v>
      </c>
      <c r="B3847" s="151" t="s">
        <v>2964</v>
      </c>
      <c r="C3847" s="152" t="s">
        <v>2955</v>
      </c>
      <c r="D3847" s="103"/>
      <c r="E3847" s="156">
        <v>22500</v>
      </c>
    </row>
    <row r="3848" spans="1:5" x14ac:dyDescent="0.25">
      <c r="A3848" s="100">
        <f t="shared" si="65"/>
        <v>24</v>
      </c>
      <c r="B3848" s="151" t="s">
        <v>418</v>
      </c>
      <c r="C3848" s="152" t="s">
        <v>2956</v>
      </c>
      <c r="D3848" s="103"/>
      <c r="E3848" s="156">
        <v>122500</v>
      </c>
    </row>
    <row r="3849" spans="1:5" x14ac:dyDescent="0.25">
      <c r="A3849" s="100">
        <f t="shared" si="65"/>
        <v>25</v>
      </c>
      <c r="B3849" s="151" t="s">
        <v>2965</v>
      </c>
      <c r="C3849" s="152" t="s">
        <v>2957</v>
      </c>
      <c r="D3849" s="154"/>
      <c r="E3849" s="157">
        <v>22500</v>
      </c>
    </row>
    <row r="3850" spans="1:5" x14ac:dyDescent="0.25">
      <c r="A3850" s="100">
        <f t="shared" si="65"/>
        <v>26</v>
      </c>
      <c r="B3850" s="151" t="s">
        <v>2966</v>
      </c>
      <c r="C3850" s="152" t="s">
        <v>2958</v>
      </c>
      <c r="D3850" s="154"/>
      <c r="E3850" s="157">
        <v>5000</v>
      </c>
    </row>
    <row r="3851" spans="1:5" x14ac:dyDescent="0.25">
      <c r="A3851" s="100">
        <f t="shared" si="65"/>
        <v>27</v>
      </c>
      <c r="B3851" s="151" t="s">
        <v>2967</v>
      </c>
      <c r="C3851" s="152" t="s">
        <v>2959</v>
      </c>
      <c r="D3851" s="154"/>
      <c r="E3851" s="157">
        <v>5000</v>
      </c>
    </row>
    <row r="3852" spans="1:5" x14ac:dyDescent="0.25">
      <c r="A3852" s="100">
        <f t="shared" si="65"/>
        <v>28</v>
      </c>
      <c r="B3852" s="151" t="s">
        <v>2968</v>
      </c>
      <c r="C3852" s="152" t="s">
        <v>2960</v>
      </c>
      <c r="D3852" s="154"/>
      <c r="E3852" s="157">
        <v>42500</v>
      </c>
    </row>
    <row r="3853" spans="1:5" x14ac:dyDescent="0.25">
      <c r="A3853" s="100">
        <f t="shared" si="65"/>
        <v>29</v>
      </c>
      <c r="B3853" s="151" t="s">
        <v>1328</v>
      </c>
      <c r="C3853" s="152" t="s">
        <v>1319</v>
      </c>
      <c r="D3853" s="154"/>
      <c r="E3853" s="157">
        <v>5000</v>
      </c>
    </row>
    <row r="3854" spans="1:5" x14ac:dyDescent="0.25">
      <c r="A3854" s="100">
        <f t="shared" si="65"/>
        <v>30</v>
      </c>
      <c r="B3854" s="151" t="s">
        <v>2969</v>
      </c>
      <c r="C3854" s="152" t="s">
        <v>2961</v>
      </c>
      <c r="D3854" s="154"/>
      <c r="E3854" s="157">
        <v>5000</v>
      </c>
    </row>
    <row r="3855" spans="1:5" x14ac:dyDescent="0.25">
      <c r="A3855" s="100">
        <f t="shared" si="65"/>
        <v>31</v>
      </c>
      <c r="B3855" s="151" t="s">
        <v>1270</v>
      </c>
      <c r="C3855" s="152" t="s">
        <v>2962</v>
      </c>
      <c r="D3855" s="154"/>
      <c r="E3855" s="157">
        <v>5000</v>
      </c>
    </row>
    <row r="3856" spans="1:5" x14ac:dyDescent="0.25">
      <c r="A3856" s="100">
        <f t="shared" si="65"/>
        <v>32</v>
      </c>
      <c r="B3856" s="151" t="s">
        <v>2970</v>
      </c>
      <c r="C3856" s="152" t="s">
        <v>2963</v>
      </c>
      <c r="D3856" s="154"/>
      <c r="E3856" s="157">
        <v>5000</v>
      </c>
    </row>
    <row r="3857" spans="1:5" x14ac:dyDescent="0.25">
      <c r="A3857" s="153"/>
      <c r="B3857" s="151"/>
      <c r="C3857" s="152"/>
      <c r="D3857" s="154"/>
      <c r="E3857" s="155"/>
    </row>
    <row r="3858" spans="1:5" ht="15.75" thickBot="1" x14ac:dyDescent="0.3">
      <c r="A3858" s="105"/>
      <c r="B3858" s="240" t="s">
        <v>10</v>
      </c>
      <c r="C3858" s="241"/>
      <c r="D3858" s="242"/>
      <c r="E3858" s="106">
        <f>SUM(E3825:E3857)</f>
        <v>930000</v>
      </c>
    </row>
    <row r="3859" spans="1:5" x14ac:dyDescent="0.25">
      <c r="A3859" s="95"/>
      <c r="B3859" s="130"/>
      <c r="C3859" s="130"/>
      <c r="E3859" s="131"/>
    </row>
    <row r="3860" spans="1:5" x14ac:dyDescent="0.25">
      <c r="A3860" s="94"/>
      <c r="B3860" s="94"/>
      <c r="C3860" s="95"/>
      <c r="D3860" s="108" t="s">
        <v>2922</v>
      </c>
      <c r="E3860" s="94"/>
    </row>
    <row r="3861" spans="1:5" x14ac:dyDescent="0.25">
      <c r="D3861" s="108" t="s">
        <v>83</v>
      </c>
    </row>
    <row r="3870" spans="1:5" x14ac:dyDescent="0.25">
      <c r="A3870" s="93" t="s">
        <v>0</v>
      </c>
      <c r="B3870" s="129"/>
      <c r="C3870" s="129"/>
      <c r="D3870" s="129"/>
      <c r="E3870" s="129"/>
    </row>
    <row r="3871" spans="1:5" x14ac:dyDescent="0.25">
      <c r="A3871" s="93" t="s">
        <v>1</v>
      </c>
      <c r="B3871" s="94"/>
      <c r="C3871" s="95"/>
      <c r="D3871" s="94"/>
      <c r="E3871" s="94"/>
    </row>
    <row r="3872" spans="1:5" x14ac:dyDescent="0.25">
      <c r="A3872" s="93"/>
      <c r="B3872" s="94"/>
      <c r="C3872" s="95"/>
      <c r="D3872" s="94"/>
      <c r="E3872" s="94"/>
    </row>
    <row r="3873" spans="1:5" x14ac:dyDescent="0.25">
      <c r="A3873" s="96" t="s">
        <v>84</v>
      </c>
      <c r="B3873" s="96"/>
      <c r="C3873" s="96"/>
      <c r="D3873" s="96"/>
      <c r="E3873" s="96"/>
    </row>
    <row r="3874" spans="1:5" x14ac:dyDescent="0.25">
      <c r="A3874" s="238" t="s">
        <v>101</v>
      </c>
      <c r="B3874" s="239"/>
      <c r="C3874" s="239"/>
      <c r="D3874" s="239"/>
      <c r="E3874" s="239"/>
    </row>
    <row r="3875" spans="1:5" x14ac:dyDescent="0.25">
      <c r="A3875" s="95"/>
      <c r="B3875" s="95"/>
      <c r="C3875" s="95"/>
      <c r="D3875" s="95"/>
      <c r="E3875" s="95"/>
    </row>
    <row r="3876" spans="1:5" ht="15.75" thickBot="1" x14ac:dyDescent="0.3">
      <c r="A3876" s="94"/>
      <c r="B3876" s="94"/>
      <c r="C3876" s="95"/>
      <c r="D3876" s="94"/>
      <c r="E3876" s="109" t="s">
        <v>2971</v>
      </c>
    </row>
    <row r="3877" spans="1:5" x14ac:dyDescent="0.25">
      <c r="A3877" s="97" t="s">
        <v>16</v>
      </c>
      <c r="B3877" s="98" t="s">
        <v>79</v>
      </c>
      <c r="C3877" s="98" t="s">
        <v>80</v>
      </c>
      <c r="D3877" s="98" t="s">
        <v>77</v>
      </c>
      <c r="E3877" s="99" t="s">
        <v>10</v>
      </c>
    </row>
    <row r="3878" spans="1:5" x14ac:dyDescent="0.25">
      <c r="A3878" s="100">
        <v>1</v>
      </c>
      <c r="B3878" s="151" t="s">
        <v>2351</v>
      </c>
      <c r="C3878" s="152" t="s">
        <v>2360</v>
      </c>
      <c r="D3878" s="103"/>
      <c r="E3878" s="104">
        <v>5000</v>
      </c>
    </row>
    <row r="3879" spans="1:5" x14ac:dyDescent="0.25">
      <c r="A3879" s="100">
        <f>A3878+1</f>
        <v>2</v>
      </c>
      <c r="B3879" s="151" t="s">
        <v>2973</v>
      </c>
      <c r="C3879" s="152" t="s">
        <v>2982</v>
      </c>
      <c r="D3879" s="103"/>
      <c r="E3879" s="104">
        <v>10000</v>
      </c>
    </row>
    <row r="3880" spans="1:5" x14ac:dyDescent="0.25">
      <c r="A3880" s="100">
        <f t="shared" ref="A3880:A3906" si="66">A3879+1</f>
        <v>3</v>
      </c>
      <c r="B3880" s="151" t="s">
        <v>1291</v>
      </c>
      <c r="C3880" s="152" t="s">
        <v>1304</v>
      </c>
      <c r="D3880" s="103"/>
      <c r="E3880" s="156">
        <v>5000</v>
      </c>
    </row>
    <row r="3881" spans="1:5" x14ac:dyDescent="0.25">
      <c r="A3881" s="100">
        <f t="shared" si="66"/>
        <v>4</v>
      </c>
      <c r="B3881" s="151" t="s">
        <v>2974</v>
      </c>
      <c r="C3881" s="152" t="s">
        <v>2983</v>
      </c>
      <c r="D3881" s="103"/>
      <c r="E3881" s="156">
        <v>5000</v>
      </c>
    </row>
    <row r="3882" spans="1:5" x14ac:dyDescent="0.25">
      <c r="A3882" s="100">
        <f t="shared" si="66"/>
        <v>5</v>
      </c>
      <c r="B3882" s="151" t="s">
        <v>2975</v>
      </c>
      <c r="C3882" s="152" t="s">
        <v>2984</v>
      </c>
      <c r="D3882" s="103"/>
      <c r="E3882" s="156">
        <v>5000</v>
      </c>
    </row>
    <row r="3883" spans="1:5" x14ac:dyDescent="0.25">
      <c r="A3883" s="100">
        <f t="shared" si="66"/>
        <v>6</v>
      </c>
      <c r="B3883" s="151" t="s">
        <v>2976</v>
      </c>
      <c r="C3883" s="152" t="s">
        <v>2985</v>
      </c>
      <c r="D3883" s="103"/>
      <c r="E3883" s="156">
        <v>5000</v>
      </c>
    </row>
    <row r="3884" spans="1:5" x14ac:dyDescent="0.25">
      <c r="A3884" s="100">
        <f t="shared" si="66"/>
        <v>7</v>
      </c>
      <c r="B3884" s="151" t="s">
        <v>651</v>
      </c>
      <c r="C3884" s="152" t="s">
        <v>661</v>
      </c>
      <c r="D3884" s="103"/>
      <c r="E3884" s="156">
        <v>5000</v>
      </c>
    </row>
    <row r="3885" spans="1:5" x14ac:dyDescent="0.25">
      <c r="A3885" s="100">
        <f t="shared" si="66"/>
        <v>8</v>
      </c>
      <c r="B3885" s="151" t="s">
        <v>2977</v>
      </c>
      <c r="C3885" s="152" t="s">
        <v>2991</v>
      </c>
      <c r="D3885" s="103"/>
      <c r="E3885" s="156">
        <v>5000</v>
      </c>
    </row>
    <row r="3886" spans="1:5" x14ac:dyDescent="0.25">
      <c r="A3886" s="100">
        <f t="shared" si="66"/>
        <v>9</v>
      </c>
      <c r="B3886" s="151" t="s">
        <v>2978</v>
      </c>
      <c r="C3886" s="152" t="s">
        <v>2986</v>
      </c>
      <c r="D3886" s="103"/>
      <c r="E3886" s="156">
        <v>32500</v>
      </c>
    </row>
    <row r="3887" spans="1:5" x14ac:dyDescent="0.25">
      <c r="A3887" s="100">
        <f t="shared" si="66"/>
        <v>10</v>
      </c>
      <c r="B3887" s="151" t="s">
        <v>1029</v>
      </c>
      <c r="C3887" s="152" t="s">
        <v>1018</v>
      </c>
      <c r="D3887" s="103"/>
      <c r="E3887" s="156">
        <v>20000</v>
      </c>
    </row>
    <row r="3888" spans="1:5" x14ac:dyDescent="0.25">
      <c r="A3888" s="100">
        <f t="shared" si="66"/>
        <v>11</v>
      </c>
      <c r="B3888" s="151" t="s">
        <v>2979</v>
      </c>
      <c r="C3888" s="152" t="s">
        <v>2987</v>
      </c>
      <c r="D3888" s="103"/>
      <c r="E3888" s="156">
        <v>12500</v>
      </c>
    </row>
    <row r="3889" spans="1:5" x14ac:dyDescent="0.25">
      <c r="A3889" s="100">
        <f t="shared" si="66"/>
        <v>12</v>
      </c>
      <c r="B3889" s="151" t="s">
        <v>767</v>
      </c>
      <c r="C3889" s="152" t="s">
        <v>757</v>
      </c>
      <c r="D3889" s="103"/>
      <c r="E3889" s="156">
        <v>20000</v>
      </c>
    </row>
    <row r="3890" spans="1:5" x14ac:dyDescent="0.25">
      <c r="A3890" s="100">
        <f t="shared" si="66"/>
        <v>13</v>
      </c>
      <c r="B3890" s="151" t="s">
        <v>1077</v>
      </c>
      <c r="C3890" s="152" t="s">
        <v>1084</v>
      </c>
      <c r="D3890" s="103"/>
      <c r="E3890" s="156">
        <v>22500</v>
      </c>
    </row>
    <row r="3891" spans="1:5" x14ac:dyDescent="0.25">
      <c r="A3891" s="100">
        <f t="shared" si="66"/>
        <v>14</v>
      </c>
      <c r="B3891" s="151" t="s">
        <v>2055</v>
      </c>
      <c r="C3891" s="152" t="s">
        <v>2059</v>
      </c>
      <c r="D3891" s="103"/>
      <c r="E3891" s="156">
        <v>5000</v>
      </c>
    </row>
    <row r="3892" spans="1:5" x14ac:dyDescent="0.25">
      <c r="A3892" s="100">
        <f t="shared" si="66"/>
        <v>15</v>
      </c>
      <c r="B3892" s="151" t="s">
        <v>2980</v>
      </c>
      <c r="C3892" s="152" t="s">
        <v>2988</v>
      </c>
      <c r="D3892" s="103"/>
      <c r="E3892" s="156">
        <v>5000</v>
      </c>
    </row>
    <row r="3893" spans="1:5" x14ac:dyDescent="0.25">
      <c r="A3893" s="100">
        <f t="shared" si="66"/>
        <v>16</v>
      </c>
      <c r="B3893" s="151" t="s">
        <v>2981</v>
      </c>
      <c r="C3893" s="152" t="s">
        <v>2989</v>
      </c>
      <c r="D3893" s="103"/>
      <c r="E3893" s="156">
        <v>5000</v>
      </c>
    </row>
    <row r="3894" spans="1:5" x14ac:dyDescent="0.25">
      <c r="A3894" s="100">
        <f t="shared" si="66"/>
        <v>17</v>
      </c>
      <c r="B3894" s="151" t="s">
        <v>2266</v>
      </c>
      <c r="C3894" s="152" t="s">
        <v>2990</v>
      </c>
      <c r="D3894" s="103"/>
      <c r="E3894" s="156">
        <v>100000</v>
      </c>
    </row>
    <row r="3895" spans="1:5" x14ac:dyDescent="0.25">
      <c r="A3895" s="100">
        <f t="shared" si="66"/>
        <v>18</v>
      </c>
      <c r="B3895" s="151" t="s">
        <v>1780</v>
      </c>
      <c r="C3895" s="152" t="s">
        <v>2992</v>
      </c>
      <c r="D3895" s="103"/>
      <c r="E3895" s="156">
        <v>40000</v>
      </c>
    </row>
    <row r="3896" spans="1:5" x14ac:dyDescent="0.25">
      <c r="A3896" s="100">
        <f t="shared" si="66"/>
        <v>19</v>
      </c>
      <c r="B3896" s="151" t="s">
        <v>3000</v>
      </c>
      <c r="C3896" s="152" t="s">
        <v>2993</v>
      </c>
      <c r="D3896" s="103"/>
      <c r="E3896" s="156">
        <v>17500</v>
      </c>
    </row>
    <row r="3897" spans="1:5" x14ac:dyDescent="0.25">
      <c r="A3897" s="100">
        <f t="shared" si="66"/>
        <v>20</v>
      </c>
      <c r="B3897" s="151" t="s">
        <v>1271</v>
      </c>
      <c r="C3897" s="152" t="s">
        <v>2994</v>
      </c>
      <c r="D3897" s="103"/>
      <c r="E3897" s="156">
        <v>80000</v>
      </c>
    </row>
    <row r="3898" spans="1:5" x14ac:dyDescent="0.25">
      <c r="A3898" s="100">
        <f t="shared" si="66"/>
        <v>21</v>
      </c>
      <c r="B3898" s="151" t="s">
        <v>1666</v>
      </c>
      <c r="C3898" s="152" t="s">
        <v>1944</v>
      </c>
      <c r="D3898" s="103"/>
      <c r="E3898" s="156">
        <v>5000</v>
      </c>
    </row>
    <row r="3899" spans="1:5" x14ac:dyDescent="0.25">
      <c r="A3899" s="100">
        <f t="shared" si="66"/>
        <v>22</v>
      </c>
      <c r="B3899" s="151" t="s">
        <v>3001</v>
      </c>
      <c r="C3899" s="152" t="s">
        <v>2995</v>
      </c>
      <c r="D3899" s="103"/>
      <c r="E3899" s="156">
        <v>12500</v>
      </c>
    </row>
    <row r="3900" spans="1:5" x14ac:dyDescent="0.25">
      <c r="A3900" s="100">
        <f t="shared" si="66"/>
        <v>23</v>
      </c>
      <c r="B3900" s="151" t="s">
        <v>3002</v>
      </c>
      <c r="C3900" s="152" t="s">
        <v>2344</v>
      </c>
      <c r="D3900" s="103"/>
      <c r="E3900" s="156">
        <v>5000</v>
      </c>
    </row>
    <row r="3901" spans="1:5" x14ac:dyDescent="0.25">
      <c r="A3901" s="100">
        <f t="shared" si="66"/>
        <v>24</v>
      </c>
      <c r="B3901" s="151" t="s">
        <v>906</v>
      </c>
      <c r="C3901" s="152" t="s">
        <v>900</v>
      </c>
      <c r="D3901" s="103"/>
      <c r="E3901" s="156">
        <v>5000</v>
      </c>
    </row>
    <row r="3902" spans="1:5" x14ac:dyDescent="0.25">
      <c r="A3902" s="100">
        <f t="shared" si="66"/>
        <v>25</v>
      </c>
      <c r="B3902" s="151" t="s">
        <v>3003</v>
      </c>
      <c r="C3902" s="152" t="s">
        <v>2996</v>
      </c>
      <c r="D3902" s="154"/>
      <c r="E3902" s="157">
        <v>32500</v>
      </c>
    </row>
    <row r="3903" spans="1:5" x14ac:dyDescent="0.25">
      <c r="A3903" s="100">
        <f t="shared" si="66"/>
        <v>26</v>
      </c>
      <c r="B3903" s="151" t="s">
        <v>3004</v>
      </c>
      <c r="C3903" s="152" t="s">
        <v>2997</v>
      </c>
      <c r="D3903" s="154"/>
      <c r="E3903" s="157">
        <v>5000</v>
      </c>
    </row>
    <row r="3904" spans="1:5" x14ac:dyDescent="0.25">
      <c r="A3904" s="100">
        <f t="shared" si="66"/>
        <v>27</v>
      </c>
      <c r="B3904" s="151" t="s">
        <v>3005</v>
      </c>
      <c r="C3904" s="152" t="s">
        <v>2998</v>
      </c>
      <c r="D3904" s="154"/>
      <c r="E3904" s="157">
        <v>5000</v>
      </c>
    </row>
    <row r="3905" spans="1:5" x14ac:dyDescent="0.25">
      <c r="A3905" s="100">
        <f t="shared" si="66"/>
        <v>28</v>
      </c>
      <c r="B3905" s="151" t="s">
        <v>692</v>
      </c>
      <c r="C3905" s="152" t="s">
        <v>698</v>
      </c>
      <c r="D3905" s="154"/>
      <c r="E3905" s="157">
        <v>5000</v>
      </c>
    </row>
    <row r="3906" spans="1:5" x14ac:dyDescent="0.25">
      <c r="A3906" s="100">
        <f t="shared" si="66"/>
        <v>29</v>
      </c>
      <c r="B3906" s="151" t="s">
        <v>1603</v>
      </c>
      <c r="C3906" s="152" t="s">
        <v>2999</v>
      </c>
      <c r="D3906" s="154"/>
      <c r="E3906" s="157">
        <v>5000</v>
      </c>
    </row>
    <row r="3907" spans="1:5" x14ac:dyDescent="0.25">
      <c r="A3907" s="153"/>
      <c r="B3907" s="151"/>
      <c r="C3907" s="152"/>
      <c r="D3907" s="154"/>
      <c r="E3907" s="155"/>
    </row>
    <row r="3908" spans="1:5" ht="15.75" thickBot="1" x14ac:dyDescent="0.3">
      <c r="A3908" s="105"/>
      <c r="B3908" s="240" t="s">
        <v>10</v>
      </c>
      <c r="C3908" s="241"/>
      <c r="D3908" s="242"/>
      <c r="E3908" s="106">
        <f>SUM(E3878:E3907)</f>
        <v>485000</v>
      </c>
    </row>
    <row r="3909" spans="1:5" x14ac:dyDescent="0.25">
      <c r="A3909" s="95"/>
      <c r="B3909" s="130"/>
      <c r="C3909" s="130"/>
      <c r="E3909" s="131"/>
    </row>
    <row r="3910" spans="1:5" x14ac:dyDescent="0.25">
      <c r="A3910" s="94"/>
      <c r="B3910" s="94"/>
      <c r="C3910" s="95"/>
      <c r="D3910" s="108" t="s">
        <v>2972</v>
      </c>
      <c r="E3910" s="94"/>
    </row>
    <row r="3911" spans="1:5" x14ac:dyDescent="0.25">
      <c r="D3911" s="108" t="s">
        <v>83</v>
      </c>
    </row>
    <row r="3923" spans="1:5" x14ac:dyDescent="0.25">
      <c r="A3923" s="93" t="s">
        <v>0</v>
      </c>
      <c r="B3923" s="129"/>
      <c r="C3923" s="129"/>
      <c r="D3923" s="129"/>
      <c r="E3923" s="129"/>
    </row>
    <row r="3924" spans="1:5" x14ac:dyDescent="0.25">
      <c r="A3924" s="93" t="s">
        <v>1</v>
      </c>
      <c r="B3924" s="94"/>
      <c r="C3924" s="95"/>
      <c r="D3924" s="94"/>
      <c r="E3924" s="94"/>
    </row>
    <row r="3925" spans="1:5" x14ac:dyDescent="0.25">
      <c r="A3925" s="93"/>
      <c r="B3925" s="94"/>
      <c r="C3925" s="95"/>
      <c r="D3925" s="94"/>
      <c r="E3925" s="94"/>
    </row>
    <row r="3926" spans="1:5" x14ac:dyDescent="0.25">
      <c r="A3926" s="96" t="s">
        <v>84</v>
      </c>
      <c r="B3926" s="96"/>
      <c r="C3926" s="96"/>
      <c r="D3926" s="96"/>
      <c r="E3926" s="96"/>
    </row>
    <row r="3927" spans="1:5" x14ac:dyDescent="0.25">
      <c r="A3927" s="238" t="s">
        <v>101</v>
      </c>
      <c r="B3927" s="239"/>
      <c r="C3927" s="239"/>
      <c r="D3927" s="239"/>
      <c r="E3927" s="239"/>
    </row>
    <row r="3928" spans="1:5" x14ac:dyDescent="0.25">
      <c r="A3928" s="95"/>
      <c r="B3928" s="95"/>
      <c r="C3928" s="95"/>
      <c r="D3928" s="95"/>
      <c r="E3928" s="95"/>
    </row>
    <row r="3929" spans="1:5" ht="15.75" thickBot="1" x14ac:dyDescent="0.3">
      <c r="A3929" s="94"/>
      <c r="B3929" s="94"/>
      <c r="C3929" s="95"/>
      <c r="D3929" s="94"/>
      <c r="E3929" s="109" t="s">
        <v>3006</v>
      </c>
    </row>
    <row r="3930" spans="1:5" x14ac:dyDescent="0.25">
      <c r="A3930" s="97" t="s">
        <v>16</v>
      </c>
      <c r="B3930" s="98" t="s">
        <v>79</v>
      </c>
      <c r="C3930" s="98" t="s">
        <v>80</v>
      </c>
      <c r="D3930" s="98" t="s">
        <v>77</v>
      </c>
      <c r="E3930" s="99" t="s">
        <v>10</v>
      </c>
    </row>
    <row r="3931" spans="1:5" x14ac:dyDescent="0.25">
      <c r="A3931" s="100">
        <v>1</v>
      </c>
      <c r="B3931" s="151" t="s">
        <v>911</v>
      </c>
      <c r="C3931" s="152" t="s">
        <v>915</v>
      </c>
      <c r="D3931" s="103"/>
      <c r="E3931" s="104">
        <v>5000</v>
      </c>
    </row>
    <row r="3932" spans="1:5" x14ac:dyDescent="0.25">
      <c r="A3932" s="100">
        <f>A3931+1</f>
        <v>2</v>
      </c>
      <c r="B3932" s="151" t="s">
        <v>3010</v>
      </c>
      <c r="C3932" s="152" t="s">
        <v>3016</v>
      </c>
      <c r="D3932" s="103"/>
      <c r="E3932" s="104">
        <v>5000</v>
      </c>
    </row>
    <row r="3933" spans="1:5" x14ac:dyDescent="0.25">
      <c r="A3933" s="100">
        <f t="shared" ref="A3933:A3952" si="67">A3932+1</f>
        <v>3</v>
      </c>
      <c r="B3933" s="151" t="s">
        <v>3011</v>
      </c>
      <c r="C3933" s="152" t="s">
        <v>3017</v>
      </c>
      <c r="D3933" s="103"/>
      <c r="E3933" s="156">
        <v>92500</v>
      </c>
    </row>
    <row r="3934" spans="1:5" x14ac:dyDescent="0.25">
      <c r="A3934" s="100">
        <f t="shared" si="67"/>
        <v>4</v>
      </c>
      <c r="B3934" s="151" t="s">
        <v>437</v>
      </c>
      <c r="C3934" s="152" t="s">
        <v>442</v>
      </c>
      <c r="D3934" s="103"/>
      <c r="E3934" s="156">
        <v>7500</v>
      </c>
    </row>
    <row r="3935" spans="1:5" x14ac:dyDescent="0.25">
      <c r="A3935" s="100">
        <f t="shared" si="67"/>
        <v>5</v>
      </c>
      <c r="B3935" s="151" t="s">
        <v>2035</v>
      </c>
      <c r="C3935" s="152" t="s">
        <v>2042</v>
      </c>
      <c r="D3935" s="103"/>
      <c r="E3935" s="156">
        <v>5000</v>
      </c>
    </row>
    <row r="3936" spans="1:5" x14ac:dyDescent="0.25">
      <c r="A3936" s="100">
        <f t="shared" si="67"/>
        <v>6</v>
      </c>
      <c r="B3936" s="151" t="s">
        <v>3012</v>
      </c>
      <c r="C3936" s="152" t="s">
        <v>3018</v>
      </c>
      <c r="D3936" s="103"/>
      <c r="E3936" s="156">
        <v>22500</v>
      </c>
    </row>
    <row r="3937" spans="1:5" x14ac:dyDescent="0.25">
      <c r="A3937" s="100">
        <f t="shared" si="67"/>
        <v>7</v>
      </c>
      <c r="B3937" s="151" t="s">
        <v>3013</v>
      </c>
      <c r="C3937" s="152" t="s">
        <v>3019</v>
      </c>
      <c r="D3937" s="103"/>
      <c r="E3937" s="156">
        <v>22500</v>
      </c>
    </row>
    <row r="3938" spans="1:5" x14ac:dyDescent="0.25">
      <c r="A3938" s="100">
        <f t="shared" si="67"/>
        <v>8</v>
      </c>
      <c r="B3938" s="151" t="s">
        <v>2105</v>
      </c>
      <c r="C3938" s="152" t="s">
        <v>2112</v>
      </c>
      <c r="D3938" s="103"/>
      <c r="E3938" s="156">
        <v>5000</v>
      </c>
    </row>
    <row r="3939" spans="1:5" x14ac:dyDescent="0.25">
      <c r="A3939" s="100">
        <f t="shared" si="67"/>
        <v>9</v>
      </c>
      <c r="B3939" s="151" t="s">
        <v>3014</v>
      </c>
      <c r="C3939" s="152" t="s">
        <v>3020</v>
      </c>
      <c r="D3939" s="103"/>
      <c r="E3939" s="156">
        <v>32500</v>
      </c>
    </row>
    <row r="3940" spans="1:5" x14ac:dyDescent="0.25">
      <c r="A3940" s="100">
        <f t="shared" si="67"/>
        <v>10</v>
      </c>
      <c r="B3940" s="151" t="s">
        <v>3015</v>
      </c>
      <c r="C3940" s="152" t="s">
        <v>3021</v>
      </c>
      <c r="D3940" s="103"/>
      <c r="E3940" s="156">
        <v>92500</v>
      </c>
    </row>
    <row r="3941" spans="1:5" x14ac:dyDescent="0.25">
      <c r="A3941" s="100">
        <f t="shared" si="67"/>
        <v>11</v>
      </c>
      <c r="B3941" s="151" t="s">
        <v>3029</v>
      </c>
      <c r="C3941" s="152" t="s">
        <v>3022</v>
      </c>
      <c r="D3941" s="103"/>
      <c r="E3941" s="156">
        <v>42500</v>
      </c>
    </row>
    <row r="3942" spans="1:5" x14ac:dyDescent="0.25">
      <c r="A3942" s="100">
        <f t="shared" si="67"/>
        <v>12</v>
      </c>
      <c r="B3942" s="151" t="s">
        <v>3030</v>
      </c>
      <c r="C3942" s="152" t="s">
        <v>3023</v>
      </c>
      <c r="D3942" s="103"/>
      <c r="E3942" s="156">
        <v>17500</v>
      </c>
    </row>
    <row r="3943" spans="1:5" x14ac:dyDescent="0.25">
      <c r="A3943" s="100">
        <f t="shared" si="67"/>
        <v>13</v>
      </c>
      <c r="B3943" s="151" t="s">
        <v>189</v>
      </c>
      <c r="C3943" s="152" t="s">
        <v>179</v>
      </c>
      <c r="D3943" s="103"/>
      <c r="E3943" s="156">
        <v>12500</v>
      </c>
    </row>
    <row r="3944" spans="1:5" x14ac:dyDescent="0.25">
      <c r="A3944" s="100">
        <f t="shared" si="67"/>
        <v>14</v>
      </c>
      <c r="B3944" s="151" t="s">
        <v>3031</v>
      </c>
      <c r="C3944" s="152" t="s">
        <v>3024</v>
      </c>
      <c r="D3944" s="103"/>
      <c r="E3944" s="156">
        <v>12500</v>
      </c>
    </row>
    <row r="3945" spans="1:5" x14ac:dyDescent="0.25">
      <c r="A3945" s="100">
        <f t="shared" si="67"/>
        <v>15</v>
      </c>
      <c r="B3945" s="151" t="s">
        <v>496</v>
      </c>
      <c r="C3945" s="152" t="s">
        <v>504</v>
      </c>
      <c r="D3945" s="103"/>
      <c r="E3945" s="156">
        <v>12500</v>
      </c>
    </row>
    <row r="3946" spans="1:5" x14ac:dyDescent="0.25">
      <c r="A3946" s="100">
        <f t="shared" si="67"/>
        <v>16</v>
      </c>
      <c r="B3946" s="151" t="s">
        <v>2729</v>
      </c>
      <c r="C3946" s="152" t="s">
        <v>3025</v>
      </c>
      <c r="D3946" s="103"/>
      <c r="E3946" s="156">
        <v>5000</v>
      </c>
    </row>
    <row r="3947" spans="1:5" x14ac:dyDescent="0.25">
      <c r="A3947" s="100">
        <f t="shared" si="67"/>
        <v>17</v>
      </c>
      <c r="B3947" s="151" t="s">
        <v>3032</v>
      </c>
      <c r="C3947" s="152" t="s">
        <v>3026</v>
      </c>
      <c r="D3947" s="103"/>
      <c r="E3947" s="156">
        <v>32500</v>
      </c>
    </row>
    <row r="3948" spans="1:5" x14ac:dyDescent="0.25">
      <c r="A3948" s="100">
        <f t="shared" si="67"/>
        <v>18</v>
      </c>
      <c r="B3948" s="151" t="s">
        <v>1813</v>
      </c>
      <c r="C3948" s="152" t="s">
        <v>3027</v>
      </c>
      <c r="D3948" s="103"/>
      <c r="E3948" s="156">
        <v>12500</v>
      </c>
    </row>
    <row r="3949" spans="1:5" x14ac:dyDescent="0.25">
      <c r="A3949" s="100">
        <f t="shared" si="67"/>
        <v>19</v>
      </c>
      <c r="B3949" s="151" t="s">
        <v>3033</v>
      </c>
      <c r="C3949" s="152" t="s">
        <v>2277</v>
      </c>
      <c r="D3949" s="103"/>
      <c r="E3949" s="156">
        <v>5000</v>
      </c>
    </row>
    <row r="3950" spans="1:5" x14ac:dyDescent="0.25">
      <c r="A3950" s="100">
        <f t="shared" si="67"/>
        <v>20</v>
      </c>
      <c r="B3950" s="151" t="s">
        <v>1284</v>
      </c>
      <c r="C3950" s="152" t="s">
        <v>1279</v>
      </c>
      <c r="D3950" s="103"/>
      <c r="E3950" s="156">
        <v>12500</v>
      </c>
    </row>
    <row r="3951" spans="1:5" x14ac:dyDescent="0.25">
      <c r="A3951" s="100">
        <f t="shared" si="67"/>
        <v>21</v>
      </c>
      <c r="B3951" s="151" t="s">
        <v>1285</v>
      </c>
      <c r="C3951" s="152" t="s">
        <v>1280</v>
      </c>
      <c r="D3951" s="103"/>
      <c r="E3951" s="156">
        <v>12500</v>
      </c>
    </row>
    <row r="3952" spans="1:5" x14ac:dyDescent="0.25">
      <c r="A3952" s="100">
        <f t="shared" si="67"/>
        <v>22</v>
      </c>
      <c r="B3952" s="151" t="s">
        <v>3034</v>
      </c>
      <c r="C3952" s="152" t="s">
        <v>3028</v>
      </c>
      <c r="D3952" s="103"/>
      <c r="E3952" s="156">
        <v>22500</v>
      </c>
    </row>
    <row r="3953" spans="1:5" x14ac:dyDescent="0.25">
      <c r="A3953" s="153"/>
      <c r="B3953" s="151"/>
      <c r="C3953" s="152"/>
      <c r="D3953" s="154"/>
      <c r="E3953" s="155"/>
    </row>
    <row r="3954" spans="1:5" ht="15.75" thickBot="1" x14ac:dyDescent="0.3">
      <c r="A3954" s="105"/>
      <c r="B3954" s="240" t="s">
        <v>10</v>
      </c>
      <c r="C3954" s="241"/>
      <c r="D3954" s="242"/>
      <c r="E3954" s="106">
        <f>SUM(E3931:E3953)</f>
        <v>490000</v>
      </c>
    </row>
    <row r="3955" spans="1:5" x14ac:dyDescent="0.25">
      <c r="A3955" s="95"/>
      <c r="B3955" s="130"/>
      <c r="C3955" s="130"/>
      <c r="E3955" s="131"/>
    </row>
    <row r="3956" spans="1:5" x14ac:dyDescent="0.25">
      <c r="A3956" s="94"/>
      <c r="B3956" s="94"/>
      <c r="C3956" s="95"/>
      <c r="D3956" s="108" t="s">
        <v>3007</v>
      </c>
      <c r="E3956" s="94"/>
    </row>
    <row r="3957" spans="1:5" x14ac:dyDescent="0.25">
      <c r="D3957" s="108" t="s">
        <v>83</v>
      </c>
    </row>
    <row r="3976" spans="1:5" x14ac:dyDescent="0.25">
      <c r="A3976" s="93" t="s">
        <v>0</v>
      </c>
      <c r="B3976" s="129"/>
      <c r="C3976" s="129"/>
      <c r="D3976" s="129"/>
      <c r="E3976" s="129"/>
    </row>
    <row r="3977" spans="1:5" x14ac:dyDescent="0.25">
      <c r="A3977" s="93" t="s">
        <v>1</v>
      </c>
      <c r="B3977" s="94"/>
      <c r="C3977" s="95"/>
      <c r="D3977" s="94"/>
      <c r="E3977" s="94"/>
    </row>
    <row r="3978" spans="1:5" x14ac:dyDescent="0.25">
      <c r="A3978" s="93"/>
      <c r="B3978" s="94"/>
      <c r="C3978" s="95"/>
      <c r="D3978" s="94"/>
      <c r="E3978" s="94"/>
    </row>
    <row r="3979" spans="1:5" x14ac:dyDescent="0.25">
      <c r="A3979" s="96" t="s">
        <v>84</v>
      </c>
      <c r="B3979" s="96"/>
      <c r="C3979" s="96"/>
      <c r="D3979" s="96"/>
      <c r="E3979" s="96"/>
    </row>
    <row r="3980" spans="1:5" x14ac:dyDescent="0.25">
      <c r="A3980" s="238" t="s">
        <v>101</v>
      </c>
      <c r="B3980" s="239"/>
      <c r="C3980" s="239"/>
      <c r="D3980" s="239"/>
      <c r="E3980" s="239"/>
    </row>
    <row r="3981" spans="1:5" x14ac:dyDescent="0.25">
      <c r="A3981" s="95"/>
      <c r="B3981" s="95"/>
      <c r="C3981" s="95"/>
      <c r="D3981" s="95"/>
      <c r="E3981" s="95"/>
    </row>
    <row r="3982" spans="1:5" ht="15.75" thickBot="1" x14ac:dyDescent="0.3">
      <c r="A3982" s="94"/>
      <c r="B3982" s="94"/>
      <c r="C3982" s="95"/>
      <c r="D3982" s="94"/>
      <c r="E3982" s="109" t="s">
        <v>3008</v>
      </c>
    </row>
    <row r="3983" spans="1:5" x14ac:dyDescent="0.25">
      <c r="A3983" s="97" t="s">
        <v>16</v>
      </c>
      <c r="B3983" s="98" t="s">
        <v>79</v>
      </c>
      <c r="C3983" s="98" t="s">
        <v>80</v>
      </c>
      <c r="D3983" s="98" t="s">
        <v>77</v>
      </c>
      <c r="E3983" s="99" t="s">
        <v>10</v>
      </c>
    </row>
    <row r="3984" spans="1:5" x14ac:dyDescent="0.25">
      <c r="A3984" s="100">
        <v>1</v>
      </c>
      <c r="B3984" s="151" t="s">
        <v>3035</v>
      </c>
      <c r="C3984" s="152" t="s">
        <v>3040</v>
      </c>
      <c r="D3984" s="103"/>
      <c r="E3984" s="104">
        <v>42500</v>
      </c>
    </row>
    <row r="3985" spans="1:5" x14ac:dyDescent="0.25">
      <c r="A3985" s="100">
        <f>A3984+1</f>
        <v>2</v>
      </c>
      <c r="B3985" s="151" t="s">
        <v>3036</v>
      </c>
      <c r="C3985" s="152" t="s">
        <v>3041</v>
      </c>
      <c r="D3985" s="103"/>
      <c r="E3985" s="104">
        <v>92500</v>
      </c>
    </row>
    <row r="3986" spans="1:5" x14ac:dyDescent="0.25">
      <c r="A3986" s="100">
        <f t="shared" ref="A3986:A3996" si="68">A3985+1</f>
        <v>3</v>
      </c>
      <c r="B3986" s="151" t="s">
        <v>3037</v>
      </c>
      <c r="C3986" s="152" t="s">
        <v>3042</v>
      </c>
      <c r="D3986" s="103"/>
      <c r="E3986" s="156">
        <v>42500</v>
      </c>
    </row>
    <row r="3987" spans="1:5" x14ac:dyDescent="0.25">
      <c r="A3987" s="100">
        <f t="shared" si="68"/>
        <v>4</v>
      </c>
      <c r="B3987" s="151" t="s">
        <v>313</v>
      </c>
      <c r="C3987" s="152" t="s">
        <v>3043</v>
      </c>
      <c r="D3987" s="103"/>
      <c r="E3987" s="156">
        <v>30000</v>
      </c>
    </row>
    <row r="3988" spans="1:5" x14ac:dyDescent="0.25">
      <c r="A3988" s="100">
        <f t="shared" si="68"/>
        <v>5</v>
      </c>
      <c r="B3988" s="151" t="s">
        <v>3038</v>
      </c>
      <c r="C3988" s="152" t="s">
        <v>278</v>
      </c>
      <c r="D3988" s="103"/>
      <c r="E3988" s="156">
        <v>30000</v>
      </c>
    </row>
    <row r="3989" spans="1:5" x14ac:dyDescent="0.25">
      <c r="A3989" s="100">
        <f t="shared" si="68"/>
        <v>6</v>
      </c>
      <c r="B3989" s="151" t="s">
        <v>3039</v>
      </c>
      <c r="C3989" s="152" t="s">
        <v>407</v>
      </c>
      <c r="D3989" s="103"/>
      <c r="E3989" s="156">
        <v>12500</v>
      </c>
    </row>
    <row r="3990" spans="1:5" x14ac:dyDescent="0.25">
      <c r="A3990" s="100">
        <f t="shared" si="68"/>
        <v>7</v>
      </c>
      <c r="B3990" s="151" t="s">
        <v>2066</v>
      </c>
      <c r="C3990" s="152" t="s">
        <v>3044</v>
      </c>
      <c r="D3990" s="103"/>
      <c r="E3990" s="156">
        <v>20000</v>
      </c>
    </row>
    <row r="3991" spans="1:5" x14ac:dyDescent="0.25">
      <c r="A3991" s="100">
        <f t="shared" si="68"/>
        <v>8</v>
      </c>
      <c r="B3991" s="151" t="s">
        <v>3047</v>
      </c>
      <c r="C3991" s="152" t="s">
        <v>3045</v>
      </c>
      <c r="D3991" s="103"/>
      <c r="E3991" s="156">
        <v>70000</v>
      </c>
    </row>
    <row r="3992" spans="1:5" x14ac:dyDescent="0.25">
      <c r="A3992" s="100">
        <f t="shared" si="68"/>
        <v>9</v>
      </c>
      <c r="B3992" s="151" t="s">
        <v>3048</v>
      </c>
      <c r="C3992" s="152" t="s">
        <v>3046</v>
      </c>
      <c r="D3992" s="103"/>
      <c r="E3992" s="156">
        <v>112500</v>
      </c>
    </row>
    <row r="3993" spans="1:5" x14ac:dyDescent="0.25">
      <c r="A3993" s="100">
        <f t="shared" si="68"/>
        <v>10</v>
      </c>
      <c r="B3993" s="151" t="s">
        <v>1842</v>
      </c>
      <c r="C3993" s="152" t="s">
        <v>1852</v>
      </c>
      <c r="D3993" s="103"/>
      <c r="E3993" s="156">
        <v>5000</v>
      </c>
    </row>
    <row r="3994" spans="1:5" x14ac:dyDescent="0.25">
      <c r="A3994" s="100">
        <f t="shared" si="68"/>
        <v>11</v>
      </c>
      <c r="B3994" s="151" t="s">
        <v>2331</v>
      </c>
      <c r="C3994" s="152" t="s">
        <v>1170</v>
      </c>
      <c r="D3994" s="103"/>
      <c r="E3994" s="156">
        <v>5000</v>
      </c>
    </row>
    <row r="3995" spans="1:5" x14ac:dyDescent="0.25">
      <c r="A3995" s="100">
        <f t="shared" si="68"/>
        <v>12</v>
      </c>
      <c r="B3995" s="151" t="s">
        <v>1360</v>
      </c>
      <c r="C3995" s="152" t="s">
        <v>1369</v>
      </c>
      <c r="D3995" s="103"/>
      <c r="E3995" s="156">
        <v>12500</v>
      </c>
    </row>
    <row r="3996" spans="1:5" x14ac:dyDescent="0.25">
      <c r="A3996" s="100">
        <f t="shared" si="68"/>
        <v>13</v>
      </c>
      <c r="B3996" s="151" t="s">
        <v>956</v>
      </c>
      <c r="C3996" s="152" t="s">
        <v>959</v>
      </c>
      <c r="D3996" s="103"/>
      <c r="E3996" s="156">
        <v>12500</v>
      </c>
    </row>
    <row r="3997" spans="1:5" x14ac:dyDescent="0.25">
      <c r="A3997" s="153"/>
      <c r="B3997" s="151"/>
      <c r="C3997" s="152"/>
      <c r="D3997" s="154"/>
      <c r="E3997" s="155"/>
    </row>
    <row r="3998" spans="1:5" ht="15.75" thickBot="1" x14ac:dyDescent="0.3">
      <c r="A3998" s="105"/>
      <c r="B3998" s="240" t="s">
        <v>10</v>
      </c>
      <c r="C3998" s="241"/>
      <c r="D3998" s="242"/>
      <c r="E3998" s="106">
        <f>SUM(E3984:E3997)</f>
        <v>487500</v>
      </c>
    </row>
    <row r="3999" spans="1:5" x14ac:dyDescent="0.25">
      <c r="A3999" s="95"/>
      <c r="B3999" s="130"/>
      <c r="C3999" s="130"/>
      <c r="E3999" s="131"/>
    </row>
    <row r="4000" spans="1:5" x14ac:dyDescent="0.25">
      <c r="A4000" s="94"/>
      <c r="B4000" s="94"/>
      <c r="C4000" s="95"/>
      <c r="D4000" s="108" t="s">
        <v>3009</v>
      </c>
      <c r="E4000" s="94"/>
    </row>
    <row r="4001" spans="4:4" x14ac:dyDescent="0.25">
      <c r="D4001" s="108" t="s">
        <v>83</v>
      </c>
    </row>
    <row r="4029" spans="1:5" x14ac:dyDescent="0.25">
      <c r="A4029" s="93" t="s">
        <v>0</v>
      </c>
      <c r="B4029" s="129"/>
      <c r="C4029" s="129"/>
      <c r="D4029" s="129"/>
      <c r="E4029" s="129"/>
    </row>
    <row r="4030" spans="1:5" x14ac:dyDescent="0.25">
      <c r="A4030" s="93" t="s">
        <v>1</v>
      </c>
      <c r="B4030" s="94"/>
      <c r="C4030" s="95"/>
      <c r="D4030" s="94"/>
      <c r="E4030" s="94"/>
    </row>
    <row r="4031" spans="1:5" x14ac:dyDescent="0.25">
      <c r="A4031" s="93"/>
      <c r="B4031" s="94"/>
      <c r="C4031" s="95"/>
      <c r="D4031" s="94"/>
      <c r="E4031" s="94"/>
    </row>
    <row r="4032" spans="1:5" x14ac:dyDescent="0.25">
      <c r="A4032" s="96" t="s">
        <v>84</v>
      </c>
      <c r="B4032" s="96"/>
      <c r="C4032" s="96"/>
      <c r="D4032" s="96"/>
      <c r="E4032" s="96"/>
    </row>
    <row r="4033" spans="1:5" x14ac:dyDescent="0.25">
      <c r="A4033" s="238" t="s">
        <v>101</v>
      </c>
      <c r="B4033" s="239"/>
      <c r="C4033" s="239"/>
      <c r="D4033" s="239"/>
      <c r="E4033" s="239"/>
    </row>
    <row r="4034" spans="1:5" x14ac:dyDescent="0.25">
      <c r="A4034" s="95"/>
      <c r="B4034" s="95"/>
      <c r="C4034" s="95"/>
      <c r="D4034" s="95"/>
      <c r="E4034" s="95"/>
    </row>
    <row r="4035" spans="1:5" ht="15.75" thickBot="1" x14ac:dyDescent="0.3">
      <c r="A4035" s="94"/>
      <c r="B4035" s="94"/>
      <c r="C4035" s="95"/>
      <c r="D4035" s="94"/>
      <c r="E4035" s="109" t="s">
        <v>3049</v>
      </c>
    </row>
    <row r="4036" spans="1:5" x14ac:dyDescent="0.25">
      <c r="A4036" s="97" t="s">
        <v>16</v>
      </c>
      <c r="B4036" s="98" t="s">
        <v>79</v>
      </c>
      <c r="C4036" s="98" t="s">
        <v>80</v>
      </c>
      <c r="D4036" s="98" t="s">
        <v>77</v>
      </c>
      <c r="E4036" s="99" t="s">
        <v>10</v>
      </c>
    </row>
    <row r="4037" spans="1:5" x14ac:dyDescent="0.25">
      <c r="A4037" s="100">
        <v>1</v>
      </c>
      <c r="B4037" s="151" t="s">
        <v>3050</v>
      </c>
      <c r="C4037" s="152" t="s">
        <v>3055</v>
      </c>
      <c r="D4037" s="103"/>
      <c r="E4037" s="104">
        <v>5000</v>
      </c>
    </row>
    <row r="4038" spans="1:5" x14ac:dyDescent="0.25">
      <c r="A4038" s="100">
        <f>A4037+1</f>
        <v>2</v>
      </c>
      <c r="B4038" s="151" t="s">
        <v>3051</v>
      </c>
      <c r="C4038" s="152" t="s">
        <v>3056</v>
      </c>
      <c r="D4038" s="103"/>
      <c r="E4038" s="104">
        <v>5000</v>
      </c>
    </row>
    <row r="4039" spans="1:5" x14ac:dyDescent="0.25">
      <c r="A4039" s="100">
        <f t="shared" ref="A4039:A4055" si="69">A4038+1</f>
        <v>3</v>
      </c>
      <c r="B4039" s="151" t="s">
        <v>1057</v>
      </c>
      <c r="C4039" s="152" t="s">
        <v>1063</v>
      </c>
      <c r="D4039" s="103"/>
      <c r="E4039" s="156">
        <v>12500</v>
      </c>
    </row>
    <row r="4040" spans="1:5" x14ac:dyDescent="0.25">
      <c r="A4040" s="100">
        <f t="shared" si="69"/>
        <v>4</v>
      </c>
      <c r="B4040" s="151" t="s">
        <v>3052</v>
      </c>
      <c r="C4040" s="152" t="s">
        <v>3057</v>
      </c>
      <c r="D4040" s="103"/>
      <c r="E4040" s="156">
        <v>5000</v>
      </c>
    </row>
    <row r="4041" spans="1:5" x14ac:dyDescent="0.25">
      <c r="A4041" s="100">
        <f t="shared" si="69"/>
        <v>5</v>
      </c>
      <c r="B4041" s="151" t="s">
        <v>3053</v>
      </c>
      <c r="C4041" s="152" t="s">
        <v>3058</v>
      </c>
      <c r="D4041" s="103"/>
      <c r="E4041" s="156">
        <v>192500</v>
      </c>
    </row>
    <row r="4042" spans="1:5" x14ac:dyDescent="0.25">
      <c r="A4042" s="100">
        <f t="shared" si="69"/>
        <v>6</v>
      </c>
      <c r="B4042" s="151" t="s">
        <v>3054</v>
      </c>
      <c r="C4042" s="152" t="s">
        <v>3059</v>
      </c>
      <c r="D4042" s="103"/>
      <c r="E4042" s="156">
        <v>50000</v>
      </c>
    </row>
    <row r="4043" spans="1:5" x14ac:dyDescent="0.25">
      <c r="A4043" s="100">
        <f t="shared" si="69"/>
        <v>7</v>
      </c>
      <c r="B4043" s="151" t="s">
        <v>2297</v>
      </c>
      <c r="C4043" s="152" t="s">
        <v>2304</v>
      </c>
      <c r="D4043" s="103"/>
      <c r="E4043" s="156">
        <v>5000</v>
      </c>
    </row>
    <row r="4044" spans="1:5" x14ac:dyDescent="0.25">
      <c r="A4044" s="100">
        <f t="shared" si="69"/>
        <v>8</v>
      </c>
      <c r="B4044" s="151" t="s">
        <v>1705</v>
      </c>
      <c r="C4044" s="152" t="s">
        <v>1710</v>
      </c>
      <c r="D4044" s="103"/>
      <c r="E4044" s="156">
        <v>5000</v>
      </c>
    </row>
    <row r="4045" spans="1:5" x14ac:dyDescent="0.25">
      <c r="A4045" s="100">
        <f t="shared" si="69"/>
        <v>9</v>
      </c>
      <c r="B4045" s="151" t="s">
        <v>3060</v>
      </c>
      <c r="C4045" s="152" t="s">
        <v>3064</v>
      </c>
      <c r="D4045" s="103"/>
      <c r="E4045" s="156">
        <v>82500</v>
      </c>
    </row>
    <row r="4046" spans="1:5" x14ac:dyDescent="0.25">
      <c r="A4046" s="100">
        <f t="shared" si="69"/>
        <v>10</v>
      </c>
      <c r="B4046" s="151" t="s">
        <v>3061</v>
      </c>
      <c r="C4046" s="152" t="s">
        <v>3065</v>
      </c>
      <c r="D4046" s="103"/>
      <c r="E4046" s="156">
        <v>5000</v>
      </c>
    </row>
    <row r="4047" spans="1:5" x14ac:dyDescent="0.25">
      <c r="A4047" s="100">
        <f t="shared" si="69"/>
        <v>11</v>
      </c>
      <c r="B4047" s="151" t="s">
        <v>3062</v>
      </c>
      <c r="C4047" s="152" t="s">
        <v>3066</v>
      </c>
      <c r="D4047" s="103"/>
      <c r="E4047" s="156">
        <v>82500</v>
      </c>
    </row>
    <row r="4048" spans="1:5" x14ac:dyDescent="0.25">
      <c r="A4048" s="100">
        <f t="shared" si="69"/>
        <v>12</v>
      </c>
      <c r="B4048" s="151" t="s">
        <v>1159</v>
      </c>
      <c r="C4048" s="152" t="s">
        <v>1152</v>
      </c>
      <c r="D4048" s="103"/>
      <c r="E4048" s="156">
        <v>12500</v>
      </c>
    </row>
    <row r="4049" spans="1:5" x14ac:dyDescent="0.25">
      <c r="A4049" s="100">
        <f t="shared" si="69"/>
        <v>13</v>
      </c>
      <c r="B4049" s="151" t="s">
        <v>2464</v>
      </c>
      <c r="C4049" s="152" t="s">
        <v>3067</v>
      </c>
      <c r="D4049" s="103"/>
      <c r="E4049" s="156">
        <v>92500</v>
      </c>
    </row>
    <row r="4050" spans="1:5" x14ac:dyDescent="0.25">
      <c r="A4050" s="100">
        <f t="shared" si="69"/>
        <v>14</v>
      </c>
      <c r="B4050" s="151" t="s">
        <v>2232</v>
      </c>
      <c r="C4050" s="152" t="s">
        <v>2271</v>
      </c>
      <c r="D4050" s="103"/>
      <c r="E4050" s="156">
        <v>5000</v>
      </c>
    </row>
    <row r="4051" spans="1:5" x14ac:dyDescent="0.25">
      <c r="A4051" s="100">
        <f t="shared" si="69"/>
        <v>15</v>
      </c>
      <c r="B4051" s="151" t="s">
        <v>119</v>
      </c>
      <c r="C4051" s="152" t="s">
        <v>182</v>
      </c>
      <c r="D4051" s="103"/>
      <c r="E4051" s="156">
        <v>12500</v>
      </c>
    </row>
    <row r="4052" spans="1:5" x14ac:dyDescent="0.25">
      <c r="A4052" s="100">
        <f t="shared" si="69"/>
        <v>16</v>
      </c>
      <c r="B4052" s="151" t="s">
        <v>3063</v>
      </c>
      <c r="C4052" s="152" t="s">
        <v>3068</v>
      </c>
      <c r="D4052" s="103"/>
      <c r="E4052" s="156">
        <v>92500</v>
      </c>
    </row>
    <row r="4053" spans="1:5" x14ac:dyDescent="0.25">
      <c r="A4053" s="100">
        <f t="shared" si="69"/>
        <v>17</v>
      </c>
      <c r="B4053" s="151" t="s">
        <v>3069</v>
      </c>
      <c r="C4053" s="152" t="s">
        <v>3070</v>
      </c>
      <c r="D4053" s="103"/>
      <c r="E4053" s="156">
        <v>5000</v>
      </c>
    </row>
    <row r="4054" spans="1:5" x14ac:dyDescent="0.25">
      <c r="A4054" s="100">
        <f t="shared" si="69"/>
        <v>18</v>
      </c>
      <c r="B4054" s="151" t="s">
        <v>1413</v>
      </c>
      <c r="C4054" s="152" t="s">
        <v>1420</v>
      </c>
      <c r="D4054" s="103"/>
      <c r="E4054" s="156">
        <v>52500</v>
      </c>
    </row>
    <row r="4055" spans="1:5" x14ac:dyDescent="0.25">
      <c r="A4055" s="100">
        <f t="shared" si="69"/>
        <v>19</v>
      </c>
      <c r="B4055" s="151" t="s">
        <v>809</v>
      </c>
      <c r="C4055" s="152" t="s">
        <v>821</v>
      </c>
      <c r="D4055" s="103"/>
      <c r="E4055" s="156">
        <v>12500</v>
      </c>
    </row>
    <row r="4056" spans="1:5" x14ac:dyDescent="0.25">
      <c r="A4056" s="153"/>
      <c r="B4056" s="151"/>
      <c r="C4056" s="152"/>
      <c r="D4056" s="154"/>
      <c r="E4056" s="155"/>
    </row>
    <row r="4057" spans="1:5" ht="15.75" thickBot="1" x14ac:dyDescent="0.3">
      <c r="A4057" s="105"/>
      <c r="B4057" s="240" t="s">
        <v>10</v>
      </c>
      <c r="C4057" s="241"/>
      <c r="D4057" s="242"/>
      <c r="E4057" s="106">
        <f>SUM(E4037:E4056)</f>
        <v>735000</v>
      </c>
    </row>
    <row r="4058" spans="1:5" x14ac:dyDescent="0.25">
      <c r="A4058" s="95"/>
      <c r="B4058" s="130"/>
      <c r="C4058" s="130"/>
      <c r="E4058" s="131"/>
    </row>
    <row r="4059" spans="1:5" x14ac:dyDescent="0.25">
      <c r="A4059" s="94"/>
      <c r="B4059" s="94"/>
      <c r="C4059" s="95"/>
      <c r="D4059" s="108" t="s">
        <v>3071</v>
      </c>
      <c r="E4059" s="94"/>
    </row>
    <row r="4060" spans="1:5" x14ac:dyDescent="0.25">
      <c r="D4060" s="108" t="s">
        <v>83</v>
      </c>
    </row>
    <row r="4082" spans="1:5" x14ac:dyDescent="0.25">
      <c r="A4082" s="93" t="s">
        <v>0</v>
      </c>
      <c r="B4082" s="129"/>
      <c r="C4082" s="129"/>
      <c r="D4082" s="129"/>
      <c r="E4082" s="129"/>
    </row>
    <row r="4083" spans="1:5" x14ac:dyDescent="0.25">
      <c r="A4083" s="93" t="s">
        <v>1</v>
      </c>
      <c r="B4083" s="94"/>
      <c r="C4083" s="95"/>
      <c r="D4083" s="94"/>
      <c r="E4083" s="94"/>
    </row>
    <row r="4084" spans="1:5" x14ac:dyDescent="0.25">
      <c r="A4084" s="93"/>
      <c r="B4084" s="94"/>
      <c r="C4084" s="95"/>
      <c r="D4084" s="94"/>
      <c r="E4084" s="94"/>
    </row>
    <row r="4085" spans="1:5" x14ac:dyDescent="0.25">
      <c r="A4085" s="96" t="s">
        <v>84</v>
      </c>
      <c r="B4085" s="96"/>
      <c r="C4085" s="96"/>
      <c r="D4085" s="96"/>
      <c r="E4085" s="96"/>
    </row>
    <row r="4086" spans="1:5" x14ac:dyDescent="0.25">
      <c r="A4086" s="238" t="s">
        <v>101</v>
      </c>
      <c r="B4086" s="239"/>
      <c r="C4086" s="239"/>
      <c r="D4086" s="239"/>
      <c r="E4086" s="239"/>
    </row>
    <row r="4087" spans="1:5" x14ac:dyDescent="0.25">
      <c r="A4087" s="95"/>
      <c r="B4087" s="95"/>
      <c r="C4087" s="95"/>
      <c r="D4087" s="95"/>
      <c r="E4087" s="95"/>
    </row>
    <row r="4088" spans="1:5" ht="15.75" thickBot="1" x14ac:dyDescent="0.3">
      <c r="A4088" s="94"/>
      <c r="B4088" s="94"/>
      <c r="C4088" s="95"/>
      <c r="D4088" s="94"/>
      <c r="E4088" s="109" t="s">
        <v>3072</v>
      </c>
    </row>
    <row r="4089" spans="1:5" x14ac:dyDescent="0.25">
      <c r="A4089" s="97" t="s">
        <v>16</v>
      </c>
      <c r="B4089" s="98" t="s">
        <v>79</v>
      </c>
      <c r="C4089" s="98" t="s">
        <v>80</v>
      </c>
      <c r="D4089" s="98" t="s">
        <v>77</v>
      </c>
      <c r="E4089" s="99" t="s">
        <v>10</v>
      </c>
    </row>
    <row r="4090" spans="1:5" x14ac:dyDescent="0.25">
      <c r="A4090" s="100">
        <v>1</v>
      </c>
      <c r="B4090" s="151" t="s">
        <v>3074</v>
      </c>
      <c r="C4090" s="152" t="s">
        <v>3078</v>
      </c>
      <c r="D4090" s="103"/>
      <c r="E4090" s="104">
        <v>27500</v>
      </c>
    </row>
    <row r="4091" spans="1:5" x14ac:dyDescent="0.25">
      <c r="A4091" s="100">
        <f>A4090+1</f>
        <v>2</v>
      </c>
      <c r="B4091" s="151" t="s">
        <v>1374</v>
      </c>
      <c r="C4091" s="152" t="s">
        <v>1385</v>
      </c>
      <c r="D4091" s="103"/>
      <c r="E4091" s="104">
        <v>5000</v>
      </c>
    </row>
    <row r="4092" spans="1:5" x14ac:dyDescent="0.25">
      <c r="A4092" s="100">
        <f t="shared" ref="A4092:A4115" si="70">A4091+1</f>
        <v>3</v>
      </c>
      <c r="B4092" s="151" t="s">
        <v>1180</v>
      </c>
      <c r="C4092" s="152" t="s">
        <v>1192</v>
      </c>
      <c r="D4092" s="103"/>
      <c r="E4092" s="156">
        <v>5000</v>
      </c>
    </row>
    <row r="4093" spans="1:5" x14ac:dyDescent="0.25">
      <c r="A4093" s="100">
        <f t="shared" si="70"/>
        <v>4</v>
      </c>
      <c r="B4093" s="151" t="s">
        <v>254</v>
      </c>
      <c r="C4093" s="152" t="s">
        <v>246</v>
      </c>
      <c r="D4093" s="103"/>
      <c r="E4093" s="156">
        <v>12500</v>
      </c>
    </row>
    <row r="4094" spans="1:5" x14ac:dyDescent="0.25">
      <c r="A4094" s="100">
        <f t="shared" si="70"/>
        <v>5</v>
      </c>
      <c r="B4094" s="151" t="s">
        <v>3075</v>
      </c>
      <c r="C4094" s="152" t="s">
        <v>3079</v>
      </c>
      <c r="D4094" s="103"/>
      <c r="E4094" s="156">
        <v>72500</v>
      </c>
    </row>
    <row r="4095" spans="1:5" x14ac:dyDescent="0.25">
      <c r="A4095" s="100">
        <f t="shared" si="70"/>
        <v>6</v>
      </c>
      <c r="B4095" s="151" t="s">
        <v>255</v>
      </c>
      <c r="C4095" s="152" t="s">
        <v>3080</v>
      </c>
      <c r="D4095" s="103"/>
      <c r="E4095" s="156">
        <v>22500</v>
      </c>
    </row>
    <row r="4096" spans="1:5" x14ac:dyDescent="0.25">
      <c r="A4096" s="100">
        <f t="shared" si="70"/>
        <v>7</v>
      </c>
      <c r="B4096" s="151" t="s">
        <v>704</v>
      </c>
      <c r="C4096" s="152" t="s">
        <v>707</v>
      </c>
      <c r="D4096" s="103"/>
      <c r="E4096" s="156">
        <v>5000</v>
      </c>
    </row>
    <row r="4097" spans="1:5" x14ac:dyDescent="0.25">
      <c r="A4097" s="100">
        <f t="shared" si="70"/>
        <v>8</v>
      </c>
      <c r="B4097" s="151" t="s">
        <v>1070</v>
      </c>
      <c r="C4097" s="152" t="s">
        <v>1066</v>
      </c>
      <c r="D4097" s="103"/>
      <c r="E4097" s="156">
        <v>12500</v>
      </c>
    </row>
    <row r="4098" spans="1:5" x14ac:dyDescent="0.25">
      <c r="A4098" s="100">
        <f t="shared" si="70"/>
        <v>9</v>
      </c>
      <c r="B4098" s="151" t="s">
        <v>1006</v>
      </c>
      <c r="C4098" s="152" t="s">
        <v>1012</v>
      </c>
      <c r="D4098" s="103"/>
      <c r="E4098" s="156">
        <v>12500</v>
      </c>
    </row>
    <row r="4099" spans="1:5" x14ac:dyDescent="0.25">
      <c r="A4099" s="100">
        <f t="shared" si="70"/>
        <v>10</v>
      </c>
      <c r="B4099" s="151" t="s">
        <v>3076</v>
      </c>
      <c r="C4099" s="152" t="s">
        <v>3081</v>
      </c>
      <c r="D4099" s="103"/>
      <c r="E4099" s="156">
        <v>30000</v>
      </c>
    </row>
    <row r="4100" spans="1:5" x14ac:dyDescent="0.25">
      <c r="A4100" s="100">
        <f t="shared" si="70"/>
        <v>11</v>
      </c>
      <c r="B4100" s="151" t="s">
        <v>1181</v>
      </c>
      <c r="C4100" s="152" t="s">
        <v>1193</v>
      </c>
      <c r="D4100" s="103"/>
      <c r="E4100" s="156">
        <v>5000</v>
      </c>
    </row>
    <row r="4101" spans="1:5" x14ac:dyDescent="0.25">
      <c r="A4101" s="100">
        <f t="shared" si="70"/>
        <v>12</v>
      </c>
      <c r="B4101" s="151" t="s">
        <v>3077</v>
      </c>
      <c r="C4101" s="152" t="s">
        <v>3082</v>
      </c>
      <c r="D4101" s="103"/>
      <c r="E4101" s="156">
        <v>30000</v>
      </c>
    </row>
    <row r="4102" spans="1:5" x14ac:dyDescent="0.25">
      <c r="A4102" s="100">
        <f t="shared" si="70"/>
        <v>13</v>
      </c>
      <c r="B4102" s="151" t="s">
        <v>1163</v>
      </c>
      <c r="C4102" s="152" t="s">
        <v>3083</v>
      </c>
      <c r="D4102" s="103"/>
      <c r="E4102" s="156">
        <v>52500</v>
      </c>
    </row>
    <row r="4103" spans="1:5" x14ac:dyDescent="0.25">
      <c r="A4103" s="100">
        <f t="shared" si="70"/>
        <v>14</v>
      </c>
      <c r="B4103" s="151" t="s">
        <v>3089</v>
      </c>
      <c r="C4103" s="152" t="s">
        <v>3084</v>
      </c>
      <c r="D4103" s="103"/>
      <c r="E4103" s="156">
        <v>20000</v>
      </c>
    </row>
    <row r="4104" spans="1:5" x14ac:dyDescent="0.25">
      <c r="A4104" s="100">
        <f t="shared" si="70"/>
        <v>15</v>
      </c>
      <c r="B4104" s="151" t="s">
        <v>717</v>
      </c>
      <c r="C4104" s="152" t="s">
        <v>711</v>
      </c>
      <c r="D4104" s="103"/>
      <c r="E4104" s="156">
        <v>5000</v>
      </c>
    </row>
    <row r="4105" spans="1:5" x14ac:dyDescent="0.25">
      <c r="A4105" s="100">
        <f t="shared" si="70"/>
        <v>16</v>
      </c>
      <c r="B4105" s="151" t="s">
        <v>1381</v>
      </c>
      <c r="C4105" s="152" t="s">
        <v>1392</v>
      </c>
      <c r="D4105" s="103"/>
      <c r="E4105" s="156">
        <v>10000</v>
      </c>
    </row>
    <row r="4106" spans="1:5" x14ac:dyDescent="0.25">
      <c r="A4106" s="100">
        <f t="shared" si="70"/>
        <v>17</v>
      </c>
      <c r="B4106" s="151" t="s">
        <v>3090</v>
      </c>
      <c r="C4106" s="152" t="s">
        <v>3085</v>
      </c>
      <c r="D4106" s="103"/>
      <c r="E4106" s="156">
        <v>30000</v>
      </c>
    </row>
    <row r="4107" spans="1:5" x14ac:dyDescent="0.25">
      <c r="A4107" s="100">
        <f t="shared" si="70"/>
        <v>18</v>
      </c>
      <c r="B4107" s="151" t="s">
        <v>1271</v>
      </c>
      <c r="C4107" s="152" t="s">
        <v>3086</v>
      </c>
      <c r="D4107" s="103"/>
      <c r="E4107" s="156">
        <v>92500</v>
      </c>
    </row>
    <row r="4108" spans="1:5" x14ac:dyDescent="0.25">
      <c r="A4108" s="100">
        <f t="shared" si="70"/>
        <v>19</v>
      </c>
      <c r="B4108" s="151" t="s">
        <v>3091</v>
      </c>
      <c r="C4108" s="152" t="s">
        <v>3087</v>
      </c>
      <c r="D4108" s="103"/>
      <c r="E4108" s="156">
        <v>92500</v>
      </c>
    </row>
    <row r="4109" spans="1:5" x14ac:dyDescent="0.25">
      <c r="A4109" s="100">
        <f t="shared" si="70"/>
        <v>20</v>
      </c>
      <c r="B4109" s="151" t="s">
        <v>1006</v>
      </c>
      <c r="C4109" s="152" t="s">
        <v>1017</v>
      </c>
      <c r="D4109" s="103"/>
      <c r="E4109" s="156">
        <v>12500</v>
      </c>
    </row>
    <row r="4110" spans="1:5" x14ac:dyDescent="0.25">
      <c r="A4110" s="100">
        <f t="shared" si="70"/>
        <v>21</v>
      </c>
      <c r="B4110" s="151" t="s">
        <v>3092</v>
      </c>
      <c r="C4110" s="152" t="s">
        <v>3088</v>
      </c>
      <c r="D4110" s="103"/>
      <c r="E4110" s="156">
        <v>72500</v>
      </c>
    </row>
    <row r="4111" spans="1:5" x14ac:dyDescent="0.25">
      <c r="A4111" s="100">
        <f t="shared" si="70"/>
        <v>22</v>
      </c>
      <c r="B4111" s="151" t="s">
        <v>1185</v>
      </c>
      <c r="C4111" s="152" t="s">
        <v>1197</v>
      </c>
      <c r="D4111" s="103"/>
      <c r="E4111" s="156">
        <v>5000</v>
      </c>
    </row>
    <row r="4112" spans="1:5" x14ac:dyDescent="0.25">
      <c r="A4112" s="100">
        <f t="shared" si="70"/>
        <v>23</v>
      </c>
      <c r="B4112" s="151" t="s">
        <v>3096</v>
      </c>
      <c r="C4112" s="152" t="s">
        <v>3093</v>
      </c>
      <c r="D4112" s="103"/>
      <c r="E4112" s="156">
        <v>40000</v>
      </c>
    </row>
    <row r="4113" spans="1:5" x14ac:dyDescent="0.25">
      <c r="A4113" s="100">
        <f t="shared" si="70"/>
        <v>24</v>
      </c>
      <c r="B4113" s="151" t="s">
        <v>3097</v>
      </c>
      <c r="C4113" s="152" t="s">
        <v>3094</v>
      </c>
      <c r="D4113" s="103"/>
      <c r="E4113" s="156">
        <v>5000</v>
      </c>
    </row>
    <row r="4114" spans="1:5" x14ac:dyDescent="0.25">
      <c r="A4114" s="100">
        <f t="shared" si="70"/>
        <v>25</v>
      </c>
      <c r="B4114" s="151" t="s">
        <v>2074</v>
      </c>
      <c r="C4114" s="152" t="s">
        <v>2078</v>
      </c>
      <c r="D4114" s="103"/>
      <c r="E4114" s="156">
        <v>40000</v>
      </c>
    </row>
    <row r="4115" spans="1:5" x14ac:dyDescent="0.25">
      <c r="A4115" s="100">
        <f t="shared" si="70"/>
        <v>26</v>
      </c>
      <c r="B4115" s="151" t="s">
        <v>3098</v>
      </c>
      <c r="C4115" s="152" t="s">
        <v>3095</v>
      </c>
      <c r="D4115" s="103"/>
      <c r="E4115" s="156">
        <v>22500</v>
      </c>
    </row>
    <row r="4116" spans="1:5" x14ac:dyDescent="0.25">
      <c r="A4116" s="153"/>
      <c r="B4116" s="151"/>
      <c r="C4116" s="152"/>
      <c r="D4116" s="154"/>
      <c r="E4116" s="155"/>
    </row>
    <row r="4117" spans="1:5" ht="15.75" thickBot="1" x14ac:dyDescent="0.3">
      <c r="A4117" s="105"/>
      <c r="B4117" s="240" t="s">
        <v>10</v>
      </c>
      <c r="C4117" s="241"/>
      <c r="D4117" s="242"/>
      <c r="E4117" s="106">
        <f>SUM(E4090:E4116)</f>
        <v>740000</v>
      </c>
    </row>
    <row r="4118" spans="1:5" x14ac:dyDescent="0.25">
      <c r="A4118" s="95"/>
      <c r="B4118" s="130"/>
      <c r="C4118" s="130"/>
      <c r="E4118" s="131"/>
    </row>
    <row r="4119" spans="1:5" x14ac:dyDescent="0.25">
      <c r="A4119" s="94"/>
      <c r="B4119" s="94"/>
      <c r="C4119" s="95"/>
      <c r="D4119" s="108" t="s">
        <v>3073</v>
      </c>
      <c r="E4119" s="94"/>
    </row>
    <row r="4120" spans="1:5" x14ac:dyDescent="0.25">
      <c r="D4120" s="108" t="s">
        <v>83</v>
      </c>
    </row>
    <row r="4135" spans="1:5" x14ac:dyDescent="0.25">
      <c r="A4135" s="93" t="s">
        <v>0</v>
      </c>
      <c r="B4135" s="129"/>
      <c r="C4135" s="129"/>
      <c r="D4135" s="129"/>
      <c r="E4135" s="129"/>
    </row>
    <row r="4136" spans="1:5" x14ac:dyDescent="0.25">
      <c r="A4136" s="93" t="s">
        <v>1</v>
      </c>
      <c r="B4136" s="94"/>
      <c r="C4136" s="95"/>
      <c r="D4136" s="94"/>
      <c r="E4136" s="94"/>
    </row>
    <row r="4137" spans="1:5" x14ac:dyDescent="0.25">
      <c r="A4137" s="93"/>
      <c r="B4137" s="94"/>
      <c r="C4137" s="95"/>
      <c r="D4137" s="94"/>
      <c r="E4137" s="94"/>
    </row>
    <row r="4138" spans="1:5" x14ac:dyDescent="0.25">
      <c r="A4138" s="96" t="s">
        <v>84</v>
      </c>
      <c r="B4138" s="96"/>
      <c r="C4138" s="96"/>
      <c r="D4138" s="96"/>
      <c r="E4138" s="96"/>
    </row>
    <row r="4139" spans="1:5" x14ac:dyDescent="0.25">
      <c r="A4139" s="238" t="s">
        <v>101</v>
      </c>
      <c r="B4139" s="239"/>
      <c r="C4139" s="239"/>
      <c r="D4139" s="239"/>
      <c r="E4139" s="239"/>
    </row>
    <row r="4140" spans="1:5" x14ac:dyDescent="0.25">
      <c r="A4140" s="95"/>
      <c r="B4140" s="95"/>
      <c r="C4140" s="95"/>
      <c r="D4140" s="95"/>
      <c r="E4140" s="95"/>
    </row>
    <row r="4141" spans="1:5" ht="15.75" thickBot="1" x14ac:dyDescent="0.3">
      <c r="A4141" s="94"/>
      <c r="B4141" s="94"/>
      <c r="C4141" s="95"/>
      <c r="D4141" s="94"/>
      <c r="E4141" s="109" t="s">
        <v>3099</v>
      </c>
    </row>
    <row r="4142" spans="1:5" x14ac:dyDescent="0.25">
      <c r="A4142" s="97" t="s">
        <v>16</v>
      </c>
      <c r="B4142" s="98" t="s">
        <v>79</v>
      </c>
      <c r="C4142" s="98" t="s">
        <v>80</v>
      </c>
      <c r="D4142" s="98" t="s">
        <v>77</v>
      </c>
      <c r="E4142" s="99" t="s">
        <v>10</v>
      </c>
    </row>
    <row r="4143" spans="1:5" x14ac:dyDescent="0.25">
      <c r="A4143" s="100">
        <v>1</v>
      </c>
      <c r="B4143" s="151" t="s">
        <v>518</v>
      </c>
      <c r="C4143" s="152" t="s">
        <v>524</v>
      </c>
      <c r="D4143" s="103"/>
      <c r="E4143" s="104">
        <v>20000</v>
      </c>
    </row>
    <row r="4144" spans="1:5" x14ac:dyDescent="0.25">
      <c r="A4144" s="100">
        <f>A4143+1</f>
        <v>2</v>
      </c>
      <c r="B4144" s="151" t="s">
        <v>3101</v>
      </c>
      <c r="C4144" s="152" t="s">
        <v>3105</v>
      </c>
      <c r="D4144" s="103"/>
      <c r="E4144" s="104">
        <v>20000</v>
      </c>
    </row>
    <row r="4145" spans="1:5" x14ac:dyDescent="0.25">
      <c r="A4145" s="100">
        <f t="shared" ref="A4145:A4156" si="71">A4144+1</f>
        <v>3</v>
      </c>
      <c r="B4145" s="151" t="s">
        <v>3102</v>
      </c>
      <c r="C4145" s="152" t="s">
        <v>3106</v>
      </c>
      <c r="D4145" s="103"/>
      <c r="E4145" s="156">
        <v>50000</v>
      </c>
    </row>
    <row r="4146" spans="1:5" x14ac:dyDescent="0.25">
      <c r="A4146" s="100">
        <f t="shared" si="71"/>
        <v>4</v>
      </c>
      <c r="B4146" s="151" t="s">
        <v>1696</v>
      </c>
      <c r="C4146" s="152" t="s">
        <v>1688</v>
      </c>
      <c r="D4146" s="103"/>
      <c r="E4146" s="156">
        <v>22500</v>
      </c>
    </row>
    <row r="4147" spans="1:5" x14ac:dyDescent="0.25">
      <c r="A4147" s="100">
        <f t="shared" si="71"/>
        <v>5</v>
      </c>
      <c r="B4147" s="151" t="s">
        <v>3103</v>
      </c>
      <c r="C4147" s="152" t="s">
        <v>3107</v>
      </c>
      <c r="D4147" s="103"/>
      <c r="E4147" s="156">
        <v>82500</v>
      </c>
    </row>
    <row r="4148" spans="1:5" x14ac:dyDescent="0.25">
      <c r="A4148" s="100">
        <f t="shared" si="71"/>
        <v>6</v>
      </c>
      <c r="B4148" s="151" t="s">
        <v>3104</v>
      </c>
      <c r="C4148" s="152" t="s">
        <v>3108</v>
      </c>
      <c r="D4148" s="103"/>
      <c r="E4148" s="156">
        <v>72500</v>
      </c>
    </row>
    <row r="4149" spans="1:5" x14ac:dyDescent="0.25">
      <c r="A4149" s="100">
        <f t="shared" si="71"/>
        <v>7</v>
      </c>
      <c r="B4149" s="151" t="s">
        <v>1354</v>
      </c>
      <c r="C4149" s="152" t="s">
        <v>1363</v>
      </c>
      <c r="D4149" s="103"/>
      <c r="E4149" s="156">
        <v>12500</v>
      </c>
    </row>
    <row r="4150" spans="1:5" x14ac:dyDescent="0.25">
      <c r="A4150" s="100">
        <f t="shared" si="71"/>
        <v>8</v>
      </c>
      <c r="B4150" s="151" t="s">
        <v>3114</v>
      </c>
      <c r="C4150" s="152" t="s">
        <v>3109</v>
      </c>
      <c r="D4150" s="103"/>
      <c r="E4150" s="156">
        <v>22500</v>
      </c>
    </row>
    <row r="4151" spans="1:5" x14ac:dyDescent="0.25">
      <c r="A4151" s="100">
        <f t="shared" si="71"/>
        <v>9</v>
      </c>
      <c r="B4151" s="151" t="s">
        <v>3115</v>
      </c>
      <c r="C4151" s="152" t="s">
        <v>3110</v>
      </c>
      <c r="D4151" s="103"/>
      <c r="E4151" s="156">
        <v>62500</v>
      </c>
    </row>
    <row r="4152" spans="1:5" x14ac:dyDescent="0.25">
      <c r="A4152" s="100">
        <f t="shared" si="71"/>
        <v>10</v>
      </c>
      <c r="B4152" s="151" t="s">
        <v>1901</v>
      </c>
      <c r="C4152" s="152" t="s">
        <v>1908</v>
      </c>
      <c r="D4152" s="103"/>
      <c r="E4152" s="156">
        <v>5000</v>
      </c>
    </row>
    <row r="4153" spans="1:5" x14ac:dyDescent="0.25">
      <c r="A4153" s="100">
        <f t="shared" si="71"/>
        <v>11</v>
      </c>
      <c r="B4153" s="151" t="s">
        <v>3116</v>
      </c>
      <c r="C4153" s="152" t="s">
        <v>3111</v>
      </c>
      <c r="D4153" s="103"/>
      <c r="E4153" s="156">
        <v>5000</v>
      </c>
    </row>
    <row r="4154" spans="1:5" x14ac:dyDescent="0.25">
      <c r="A4154" s="100">
        <f t="shared" si="71"/>
        <v>12</v>
      </c>
      <c r="B4154" s="151" t="s">
        <v>3117</v>
      </c>
      <c r="C4154" s="152" t="s">
        <v>3112</v>
      </c>
      <c r="D4154" s="103"/>
      <c r="E4154" s="156">
        <v>12500</v>
      </c>
    </row>
    <row r="4155" spans="1:5" x14ac:dyDescent="0.25">
      <c r="A4155" s="100">
        <f t="shared" si="71"/>
        <v>13</v>
      </c>
      <c r="B4155" s="151" t="s">
        <v>3118</v>
      </c>
      <c r="C4155" s="152" t="s">
        <v>3113</v>
      </c>
      <c r="D4155" s="103"/>
      <c r="E4155" s="156">
        <v>22500</v>
      </c>
    </row>
    <row r="4156" spans="1:5" x14ac:dyDescent="0.25">
      <c r="A4156" s="100">
        <f t="shared" si="71"/>
        <v>14</v>
      </c>
      <c r="B4156" s="151" t="s">
        <v>1401</v>
      </c>
      <c r="C4156" s="152" t="s">
        <v>1407</v>
      </c>
      <c r="D4156" s="103"/>
      <c r="E4156" s="156">
        <v>12500</v>
      </c>
    </row>
    <row r="4157" spans="1:5" x14ac:dyDescent="0.25">
      <c r="A4157" s="153"/>
      <c r="B4157" s="151"/>
      <c r="C4157" s="152"/>
      <c r="D4157" s="154"/>
      <c r="E4157" s="155"/>
    </row>
    <row r="4158" spans="1:5" ht="15.75" thickBot="1" x14ac:dyDescent="0.3">
      <c r="A4158" s="105"/>
      <c r="B4158" s="240" t="s">
        <v>10</v>
      </c>
      <c r="C4158" s="241"/>
      <c r="D4158" s="242"/>
      <c r="E4158" s="106">
        <f>SUM(E4143:E4157)</f>
        <v>422500</v>
      </c>
    </row>
    <row r="4159" spans="1:5" x14ac:dyDescent="0.25">
      <c r="A4159" s="95"/>
      <c r="B4159" s="130"/>
      <c r="C4159" s="130"/>
      <c r="E4159" s="131"/>
    </row>
    <row r="4160" spans="1:5" x14ac:dyDescent="0.25">
      <c r="A4160" s="94"/>
      <c r="B4160" s="94"/>
      <c r="C4160" s="95"/>
      <c r="D4160" s="108" t="s">
        <v>3100</v>
      </c>
      <c r="E4160" s="94"/>
    </row>
    <row r="4161" spans="4:4" x14ac:dyDescent="0.25">
      <c r="D4161" s="108" t="s">
        <v>83</v>
      </c>
    </row>
    <row r="4188" spans="1:5" x14ac:dyDescent="0.25">
      <c r="A4188" s="93" t="s">
        <v>0</v>
      </c>
      <c r="B4188" s="129"/>
      <c r="C4188" s="129"/>
      <c r="D4188" s="129"/>
      <c r="E4188" s="129"/>
    </row>
    <row r="4189" spans="1:5" x14ac:dyDescent="0.25">
      <c r="A4189" s="93" t="s">
        <v>1</v>
      </c>
      <c r="B4189" s="94"/>
      <c r="C4189" s="95"/>
      <c r="D4189" s="94"/>
      <c r="E4189" s="94"/>
    </row>
    <row r="4190" spans="1:5" x14ac:dyDescent="0.25">
      <c r="A4190" s="93"/>
      <c r="B4190" s="94"/>
      <c r="C4190" s="95"/>
      <c r="D4190" s="94"/>
      <c r="E4190" s="94"/>
    </row>
    <row r="4191" spans="1:5" x14ac:dyDescent="0.25">
      <c r="A4191" s="96" t="s">
        <v>84</v>
      </c>
      <c r="B4191" s="96"/>
      <c r="C4191" s="96"/>
      <c r="D4191" s="96"/>
      <c r="E4191" s="96"/>
    </row>
    <row r="4192" spans="1:5" x14ac:dyDescent="0.25">
      <c r="A4192" s="238" t="s">
        <v>101</v>
      </c>
      <c r="B4192" s="239"/>
      <c r="C4192" s="239"/>
      <c r="D4192" s="239"/>
      <c r="E4192" s="239"/>
    </row>
    <row r="4193" spans="1:5" x14ac:dyDescent="0.25">
      <c r="A4193" s="95"/>
      <c r="B4193" s="95"/>
      <c r="C4193" s="95"/>
      <c r="D4193" s="95"/>
      <c r="E4193" s="95"/>
    </row>
    <row r="4194" spans="1:5" ht="15.75" thickBot="1" x14ac:dyDescent="0.3">
      <c r="A4194" s="94"/>
      <c r="B4194" s="94"/>
      <c r="C4194" s="95"/>
      <c r="D4194" s="94"/>
      <c r="E4194" s="109" t="s">
        <v>3119</v>
      </c>
    </row>
    <row r="4195" spans="1:5" x14ac:dyDescent="0.25">
      <c r="A4195" s="97" t="s">
        <v>16</v>
      </c>
      <c r="B4195" s="98" t="s">
        <v>79</v>
      </c>
      <c r="C4195" s="98" t="s">
        <v>80</v>
      </c>
      <c r="D4195" s="98" t="s">
        <v>77</v>
      </c>
      <c r="E4195" s="99" t="s">
        <v>10</v>
      </c>
    </row>
    <row r="4196" spans="1:5" x14ac:dyDescent="0.25">
      <c r="A4196" s="100">
        <v>1</v>
      </c>
      <c r="B4196" s="151" t="s">
        <v>1277</v>
      </c>
      <c r="C4196" s="152" t="s">
        <v>3124</v>
      </c>
      <c r="D4196" s="103"/>
      <c r="E4196" s="104">
        <v>22500</v>
      </c>
    </row>
    <row r="4197" spans="1:5" x14ac:dyDescent="0.25">
      <c r="A4197" s="100">
        <f>A4196+1</f>
        <v>2</v>
      </c>
      <c r="B4197" s="151" t="s">
        <v>3121</v>
      </c>
      <c r="C4197" s="152" t="s">
        <v>3125</v>
      </c>
      <c r="D4197" s="103"/>
      <c r="E4197" s="104">
        <v>72500</v>
      </c>
    </row>
    <row r="4198" spans="1:5" x14ac:dyDescent="0.25">
      <c r="A4198" s="100">
        <f t="shared" ref="A4198:A4216" si="72">A4197+1</f>
        <v>3</v>
      </c>
      <c r="B4198" s="151" t="s">
        <v>2583</v>
      </c>
      <c r="C4198" s="152" t="s">
        <v>3126</v>
      </c>
      <c r="D4198" s="103"/>
      <c r="E4198" s="156">
        <v>22500</v>
      </c>
    </row>
    <row r="4199" spans="1:5" x14ac:dyDescent="0.25">
      <c r="A4199" s="100">
        <f t="shared" si="72"/>
        <v>4</v>
      </c>
      <c r="B4199" s="151" t="s">
        <v>3122</v>
      </c>
      <c r="C4199" s="152" t="s">
        <v>3127</v>
      </c>
      <c r="D4199" s="103"/>
      <c r="E4199" s="156">
        <v>62500</v>
      </c>
    </row>
    <row r="4200" spans="1:5" x14ac:dyDescent="0.25">
      <c r="A4200" s="100">
        <f t="shared" si="72"/>
        <v>5</v>
      </c>
      <c r="B4200" s="151" t="s">
        <v>119</v>
      </c>
      <c r="C4200" s="152" t="s">
        <v>3128</v>
      </c>
      <c r="D4200" s="103"/>
      <c r="E4200" s="156">
        <v>32500</v>
      </c>
    </row>
    <row r="4201" spans="1:5" x14ac:dyDescent="0.25">
      <c r="A4201" s="100">
        <f t="shared" si="72"/>
        <v>6</v>
      </c>
      <c r="B4201" s="151" t="s">
        <v>3123</v>
      </c>
      <c r="C4201" s="152" t="s">
        <v>3129</v>
      </c>
      <c r="D4201" s="103"/>
      <c r="E4201" s="156">
        <v>62500</v>
      </c>
    </row>
    <row r="4202" spans="1:5" x14ac:dyDescent="0.25">
      <c r="A4202" s="100">
        <f t="shared" si="72"/>
        <v>7</v>
      </c>
      <c r="B4202" s="151" t="s">
        <v>3136</v>
      </c>
      <c r="C4202" s="152" t="s">
        <v>3130</v>
      </c>
      <c r="D4202" s="103"/>
      <c r="E4202" s="156">
        <v>5000</v>
      </c>
    </row>
    <row r="4203" spans="1:5" x14ac:dyDescent="0.25">
      <c r="A4203" s="100">
        <f t="shared" si="72"/>
        <v>8</v>
      </c>
      <c r="B4203" s="151" t="s">
        <v>1816</v>
      </c>
      <c r="C4203" s="152" t="s">
        <v>1822</v>
      </c>
      <c r="D4203" s="103"/>
      <c r="E4203" s="156">
        <v>5000</v>
      </c>
    </row>
    <row r="4204" spans="1:5" x14ac:dyDescent="0.25">
      <c r="A4204" s="100">
        <f t="shared" si="72"/>
        <v>9</v>
      </c>
      <c r="B4204" s="151" t="s">
        <v>3137</v>
      </c>
      <c r="C4204" s="152" t="s">
        <v>3131</v>
      </c>
      <c r="D4204" s="103"/>
      <c r="E4204" s="156">
        <v>62500</v>
      </c>
    </row>
    <row r="4205" spans="1:5" x14ac:dyDescent="0.25">
      <c r="A4205" s="100">
        <f t="shared" si="72"/>
        <v>10</v>
      </c>
      <c r="B4205" s="151" t="s">
        <v>3138</v>
      </c>
      <c r="C4205" s="152" t="s">
        <v>3132</v>
      </c>
      <c r="D4205" s="103"/>
      <c r="E4205" s="156">
        <v>22500</v>
      </c>
    </row>
    <row r="4206" spans="1:5" x14ac:dyDescent="0.25">
      <c r="A4206" s="100">
        <f t="shared" si="72"/>
        <v>11</v>
      </c>
      <c r="B4206" s="151" t="s">
        <v>1031</v>
      </c>
      <c r="C4206" s="152" t="s">
        <v>1020</v>
      </c>
      <c r="D4206" s="103"/>
      <c r="E4206" s="156">
        <v>5000</v>
      </c>
    </row>
    <row r="4207" spans="1:5" x14ac:dyDescent="0.25">
      <c r="A4207" s="100">
        <f t="shared" si="72"/>
        <v>12</v>
      </c>
      <c r="B4207" s="151" t="s">
        <v>1184</v>
      </c>
      <c r="C4207" s="152" t="s">
        <v>1196</v>
      </c>
      <c r="D4207" s="103"/>
      <c r="E4207" s="156">
        <v>5000</v>
      </c>
    </row>
    <row r="4208" spans="1:5" x14ac:dyDescent="0.25">
      <c r="A4208" s="100">
        <f t="shared" si="72"/>
        <v>13</v>
      </c>
      <c r="B4208" s="151" t="s">
        <v>1412</v>
      </c>
      <c r="C4208" s="152" t="s">
        <v>1419</v>
      </c>
      <c r="D4208" s="103"/>
      <c r="E4208" s="156">
        <v>5000</v>
      </c>
    </row>
    <row r="4209" spans="1:5" x14ac:dyDescent="0.25">
      <c r="A4209" s="100">
        <f t="shared" si="72"/>
        <v>14</v>
      </c>
      <c r="B4209" s="151" t="s">
        <v>3139</v>
      </c>
      <c r="C4209" s="152" t="s">
        <v>894</v>
      </c>
      <c r="D4209" s="103"/>
      <c r="E4209" s="156">
        <v>12500</v>
      </c>
    </row>
    <row r="4210" spans="1:5" x14ac:dyDescent="0.25">
      <c r="A4210" s="100">
        <f t="shared" si="72"/>
        <v>15</v>
      </c>
      <c r="B4210" s="151" t="s">
        <v>3098</v>
      </c>
      <c r="C4210" s="152" t="s">
        <v>3133</v>
      </c>
      <c r="D4210" s="154"/>
      <c r="E4210" s="157">
        <v>20000</v>
      </c>
    </row>
    <row r="4211" spans="1:5" x14ac:dyDescent="0.25">
      <c r="A4211" s="100">
        <f t="shared" si="72"/>
        <v>16</v>
      </c>
      <c r="B4211" s="151" t="s">
        <v>193</v>
      </c>
      <c r="C4211" s="152" t="s">
        <v>205</v>
      </c>
      <c r="D4211" s="154"/>
      <c r="E4211" s="157">
        <v>12500</v>
      </c>
    </row>
    <row r="4212" spans="1:5" x14ac:dyDescent="0.25">
      <c r="A4212" s="100">
        <f t="shared" si="72"/>
        <v>17</v>
      </c>
      <c r="B4212" s="151" t="s">
        <v>599</v>
      </c>
      <c r="C4212" s="152" t="s">
        <v>590</v>
      </c>
      <c r="D4212" s="154"/>
      <c r="E4212" s="157">
        <v>5000</v>
      </c>
    </row>
    <row r="4213" spans="1:5" x14ac:dyDescent="0.25">
      <c r="A4213" s="100">
        <f t="shared" si="72"/>
        <v>18</v>
      </c>
      <c r="B4213" s="151" t="s">
        <v>3141</v>
      </c>
      <c r="C4213" s="152" t="s">
        <v>3134</v>
      </c>
      <c r="D4213" s="154"/>
      <c r="E4213" s="157">
        <v>5000</v>
      </c>
    </row>
    <row r="4214" spans="1:5" x14ac:dyDescent="0.25">
      <c r="A4214" s="100">
        <f t="shared" si="72"/>
        <v>19</v>
      </c>
      <c r="B4214" s="151" t="s">
        <v>3140</v>
      </c>
      <c r="C4214" s="152" t="s">
        <v>3135</v>
      </c>
      <c r="D4214" s="154"/>
      <c r="E4214" s="157">
        <v>42500</v>
      </c>
    </row>
    <row r="4215" spans="1:5" x14ac:dyDescent="0.25">
      <c r="A4215" s="100">
        <f t="shared" si="72"/>
        <v>20</v>
      </c>
      <c r="B4215" s="151" t="s">
        <v>1187</v>
      </c>
      <c r="C4215" s="152" t="s">
        <v>1199</v>
      </c>
      <c r="D4215" s="154"/>
      <c r="E4215" s="157">
        <v>5000</v>
      </c>
    </row>
    <row r="4216" spans="1:5" x14ac:dyDescent="0.25">
      <c r="A4216" s="100">
        <f t="shared" si="72"/>
        <v>21</v>
      </c>
      <c r="B4216" s="151" t="s">
        <v>739</v>
      </c>
      <c r="C4216" s="152" t="s">
        <v>734</v>
      </c>
      <c r="D4216" s="154"/>
      <c r="E4216" s="157">
        <v>12500</v>
      </c>
    </row>
    <row r="4217" spans="1:5" x14ac:dyDescent="0.25">
      <c r="A4217" s="153"/>
      <c r="B4217" s="151"/>
      <c r="C4217" s="152"/>
      <c r="D4217" s="154"/>
      <c r="E4217" s="157"/>
    </row>
    <row r="4218" spans="1:5" ht="15.75" thickBot="1" x14ac:dyDescent="0.3">
      <c r="A4218" s="105"/>
      <c r="B4218" s="240" t="s">
        <v>10</v>
      </c>
      <c r="C4218" s="241"/>
      <c r="D4218" s="242"/>
      <c r="E4218" s="106">
        <f>SUM(E4196:E4217)</f>
        <v>500000</v>
      </c>
    </row>
    <row r="4219" spans="1:5" x14ac:dyDescent="0.25">
      <c r="A4219" s="95"/>
      <c r="B4219" s="130"/>
      <c r="C4219" s="130"/>
      <c r="E4219" s="131"/>
    </row>
    <row r="4220" spans="1:5" x14ac:dyDescent="0.25">
      <c r="A4220" s="94"/>
      <c r="B4220" s="94"/>
      <c r="C4220" s="95"/>
      <c r="D4220" s="108" t="s">
        <v>3120</v>
      </c>
      <c r="E4220" s="94"/>
    </row>
    <row r="4221" spans="1:5" x14ac:dyDescent="0.25">
      <c r="D4221" s="108" t="s">
        <v>83</v>
      </c>
    </row>
    <row r="4241" spans="1:5" x14ac:dyDescent="0.25">
      <c r="A4241" s="93" t="s">
        <v>0</v>
      </c>
      <c r="B4241" s="129"/>
      <c r="C4241" s="129"/>
      <c r="D4241" s="129"/>
      <c r="E4241" s="129"/>
    </row>
    <row r="4242" spans="1:5" x14ac:dyDescent="0.25">
      <c r="A4242" s="93" t="s">
        <v>1</v>
      </c>
      <c r="B4242" s="94"/>
      <c r="C4242" s="95"/>
      <c r="D4242" s="94"/>
      <c r="E4242" s="94"/>
    </row>
    <row r="4243" spans="1:5" x14ac:dyDescent="0.25">
      <c r="A4243" s="93"/>
      <c r="B4243" s="94"/>
      <c r="C4243" s="95"/>
      <c r="D4243" s="94"/>
      <c r="E4243" s="94"/>
    </row>
    <row r="4244" spans="1:5" x14ac:dyDescent="0.25">
      <c r="A4244" s="96" t="s">
        <v>84</v>
      </c>
      <c r="B4244" s="96"/>
      <c r="C4244" s="96"/>
      <c r="D4244" s="96"/>
      <c r="E4244" s="96"/>
    </row>
    <row r="4245" spans="1:5" x14ac:dyDescent="0.25">
      <c r="A4245" s="238" t="s">
        <v>101</v>
      </c>
      <c r="B4245" s="239"/>
      <c r="C4245" s="239"/>
      <c r="D4245" s="239"/>
      <c r="E4245" s="239"/>
    </row>
    <row r="4246" spans="1:5" x14ac:dyDescent="0.25">
      <c r="A4246" s="95"/>
      <c r="B4246" s="95"/>
      <c r="C4246" s="95"/>
      <c r="D4246" s="95"/>
      <c r="E4246" s="95"/>
    </row>
    <row r="4247" spans="1:5" ht="15.75" thickBot="1" x14ac:dyDescent="0.3">
      <c r="A4247" s="94"/>
      <c r="B4247" s="94"/>
      <c r="C4247" s="95"/>
      <c r="D4247" s="94"/>
      <c r="E4247" s="109" t="s">
        <v>3143</v>
      </c>
    </row>
    <row r="4248" spans="1:5" x14ac:dyDescent="0.25">
      <c r="A4248" s="97" t="s">
        <v>16</v>
      </c>
      <c r="B4248" s="98" t="s">
        <v>79</v>
      </c>
      <c r="C4248" s="98" t="s">
        <v>80</v>
      </c>
      <c r="D4248" s="98" t="s">
        <v>77</v>
      </c>
      <c r="E4248" s="99" t="s">
        <v>10</v>
      </c>
    </row>
    <row r="4249" spans="1:5" x14ac:dyDescent="0.25">
      <c r="A4249" s="100">
        <v>1</v>
      </c>
      <c r="B4249" s="151"/>
      <c r="C4249" s="152"/>
      <c r="D4249" s="103"/>
      <c r="E4249" s="104"/>
    </row>
    <row r="4250" spans="1:5" x14ac:dyDescent="0.25">
      <c r="A4250" s="100">
        <f>A4249+1</f>
        <v>2</v>
      </c>
      <c r="B4250" s="151"/>
      <c r="C4250" s="152"/>
      <c r="D4250" s="103"/>
      <c r="E4250" s="104"/>
    </row>
    <row r="4251" spans="1:5" x14ac:dyDescent="0.25">
      <c r="A4251" s="100">
        <f t="shared" ref="A4251:A4269" si="73">A4250+1</f>
        <v>3</v>
      </c>
      <c r="B4251" s="151"/>
      <c r="C4251" s="152"/>
      <c r="D4251" s="103"/>
      <c r="E4251" s="156"/>
    </row>
    <row r="4252" spans="1:5" x14ac:dyDescent="0.25">
      <c r="A4252" s="100">
        <f t="shared" si="73"/>
        <v>4</v>
      </c>
      <c r="B4252" s="250" t="s">
        <v>1541</v>
      </c>
      <c r="C4252" s="251"/>
      <c r="D4252" s="251"/>
      <c r="E4252" s="252"/>
    </row>
    <row r="4253" spans="1:5" x14ac:dyDescent="0.25">
      <c r="A4253" s="100">
        <f t="shared" si="73"/>
        <v>5</v>
      </c>
      <c r="B4253" s="253"/>
      <c r="C4253" s="254"/>
      <c r="D4253" s="254"/>
      <c r="E4253" s="255"/>
    </row>
    <row r="4254" spans="1:5" x14ac:dyDescent="0.25">
      <c r="A4254" s="100">
        <f t="shared" si="73"/>
        <v>6</v>
      </c>
      <c r="B4254" s="151"/>
      <c r="C4254" s="152"/>
      <c r="D4254" s="103"/>
      <c r="E4254" s="156"/>
    </row>
    <row r="4255" spans="1:5" x14ac:dyDescent="0.25">
      <c r="A4255" s="100">
        <f t="shared" si="73"/>
        <v>7</v>
      </c>
      <c r="B4255" s="151"/>
      <c r="C4255" s="152"/>
      <c r="D4255" s="103"/>
      <c r="E4255" s="156"/>
    </row>
    <row r="4256" spans="1:5" x14ac:dyDescent="0.25">
      <c r="A4256" s="100">
        <f t="shared" si="73"/>
        <v>8</v>
      </c>
      <c r="B4256" s="151"/>
      <c r="C4256" s="152"/>
      <c r="D4256" s="103"/>
      <c r="E4256" s="156"/>
    </row>
    <row r="4257" spans="1:5" x14ac:dyDescent="0.25">
      <c r="A4257" s="100">
        <f t="shared" si="73"/>
        <v>9</v>
      </c>
      <c r="B4257" s="151"/>
      <c r="C4257" s="152"/>
      <c r="D4257" s="103"/>
      <c r="E4257" s="156"/>
    </row>
    <row r="4258" spans="1:5" x14ac:dyDescent="0.25">
      <c r="A4258" s="100">
        <f t="shared" si="73"/>
        <v>10</v>
      </c>
      <c r="B4258" s="151"/>
      <c r="C4258" s="152"/>
      <c r="D4258" s="103"/>
      <c r="E4258" s="156"/>
    </row>
    <row r="4259" spans="1:5" x14ac:dyDescent="0.25">
      <c r="A4259" s="100">
        <f t="shared" si="73"/>
        <v>11</v>
      </c>
      <c r="B4259" s="151"/>
      <c r="C4259" s="152"/>
      <c r="D4259" s="103"/>
      <c r="E4259" s="156"/>
    </row>
    <row r="4260" spans="1:5" x14ac:dyDescent="0.25">
      <c r="A4260" s="100">
        <f t="shared" si="73"/>
        <v>12</v>
      </c>
      <c r="B4260" s="151"/>
      <c r="C4260" s="152"/>
      <c r="D4260" s="103"/>
      <c r="E4260" s="156"/>
    </row>
    <row r="4261" spans="1:5" x14ac:dyDescent="0.25">
      <c r="A4261" s="100">
        <f t="shared" si="73"/>
        <v>13</v>
      </c>
      <c r="B4261" s="151"/>
      <c r="C4261" s="152"/>
      <c r="D4261" s="103"/>
      <c r="E4261" s="156"/>
    </row>
    <row r="4262" spans="1:5" x14ac:dyDescent="0.25">
      <c r="A4262" s="100">
        <f t="shared" si="73"/>
        <v>14</v>
      </c>
      <c r="B4262" s="151"/>
      <c r="C4262" s="152"/>
      <c r="D4262" s="103"/>
      <c r="E4262" s="156"/>
    </row>
    <row r="4263" spans="1:5" x14ac:dyDescent="0.25">
      <c r="A4263" s="100">
        <f t="shared" si="73"/>
        <v>15</v>
      </c>
      <c r="B4263" s="151"/>
      <c r="C4263" s="152"/>
      <c r="D4263" s="154"/>
      <c r="E4263" s="157"/>
    </row>
    <row r="4264" spans="1:5" x14ac:dyDescent="0.25">
      <c r="A4264" s="100">
        <f t="shared" si="73"/>
        <v>16</v>
      </c>
      <c r="B4264" s="151"/>
      <c r="C4264" s="152"/>
      <c r="D4264" s="154"/>
      <c r="E4264" s="157"/>
    </row>
    <row r="4265" spans="1:5" x14ac:dyDescent="0.25">
      <c r="A4265" s="100">
        <f t="shared" si="73"/>
        <v>17</v>
      </c>
      <c r="B4265" s="151"/>
      <c r="C4265" s="152"/>
      <c r="D4265" s="154"/>
      <c r="E4265" s="157"/>
    </row>
    <row r="4266" spans="1:5" x14ac:dyDescent="0.25">
      <c r="A4266" s="100">
        <f t="shared" si="73"/>
        <v>18</v>
      </c>
      <c r="B4266" s="151"/>
      <c r="C4266" s="152"/>
      <c r="D4266" s="154"/>
      <c r="E4266" s="157"/>
    </row>
    <row r="4267" spans="1:5" x14ac:dyDescent="0.25">
      <c r="A4267" s="100">
        <f t="shared" si="73"/>
        <v>19</v>
      </c>
      <c r="B4267" s="151"/>
      <c r="C4267" s="152"/>
      <c r="D4267" s="154"/>
      <c r="E4267" s="157"/>
    </row>
    <row r="4268" spans="1:5" x14ac:dyDescent="0.25">
      <c r="A4268" s="100">
        <f t="shared" si="73"/>
        <v>20</v>
      </c>
      <c r="B4268" s="151"/>
      <c r="C4268" s="152"/>
      <c r="D4268" s="154"/>
      <c r="E4268" s="157"/>
    </row>
    <row r="4269" spans="1:5" x14ac:dyDescent="0.25">
      <c r="A4269" s="100">
        <f t="shared" si="73"/>
        <v>21</v>
      </c>
      <c r="B4269" s="151"/>
      <c r="C4269" s="152"/>
      <c r="D4269" s="154"/>
      <c r="E4269" s="157"/>
    </row>
    <row r="4270" spans="1:5" x14ac:dyDescent="0.25">
      <c r="A4270" s="153"/>
      <c r="B4270" s="151"/>
      <c r="C4270" s="152"/>
      <c r="D4270" s="154"/>
      <c r="E4270" s="157"/>
    </row>
    <row r="4271" spans="1:5" ht="15.75" thickBot="1" x14ac:dyDescent="0.3">
      <c r="A4271" s="105"/>
      <c r="B4271" s="240" t="s">
        <v>10</v>
      </c>
      <c r="C4271" s="241"/>
      <c r="D4271" s="242"/>
      <c r="E4271" s="106">
        <f>SUM(E4249:E4270)</f>
        <v>0</v>
      </c>
    </row>
    <row r="4272" spans="1:5" x14ac:dyDescent="0.25">
      <c r="A4272" s="95"/>
      <c r="B4272" s="130"/>
      <c r="C4272" s="130"/>
      <c r="E4272" s="131"/>
    </row>
    <row r="4273" spans="1:5" x14ac:dyDescent="0.25">
      <c r="A4273" s="94"/>
      <c r="B4273" s="94"/>
      <c r="C4273" s="95"/>
      <c r="D4273" s="108" t="s">
        <v>3144</v>
      </c>
      <c r="E4273" s="94"/>
    </row>
    <row r="4274" spans="1:5" x14ac:dyDescent="0.25">
      <c r="D4274" s="108" t="s">
        <v>83</v>
      </c>
    </row>
    <row r="4294" spans="1:5" x14ac:dyDescent="0.25">
      <c r="A4294" s="93" t="s">
        <v>0</v>
      </c>
      <c r="B4294" s="129"/>
      <c r="C4294" s="129"/>
      <c r="D4294" s="129"/>
      <c r="E4294" s="129"/>
    </row>
    <row r="4295" spans="1:5" x14ac:dyDescent="0.25">
      <c r="A4295" s="93" t="s">
        <v>1</v>
      </c>
      <c r="B4295" s="94"/>
      <c r="C4295" s="95"/>
      <c r="D4295" s="94"/>
      <c r="E4295" s="94"/>
    </row>
    <row r="4296" spans="1:5" x14ac:dyDescent="0.25">
      <c r="A4296" s="93"/>
      <c r="B4296" s="94"/>
      <c r="C4296" s="95"/>
      <c r="D4296" s="94"/>
      <c r="E4296" s="94"/>
    </row>
    <row r="4297" spans="1:5" x14ac:dyDescent="0.25">
      <c r="A4297" s="96" t="s">
        <v>84</v>
      </c>
      <c r="B4297" s="96"/>
      <c r="C4297" s="96"/>
      <c r="D4297" s="96"/>
      <c r="E4297" s="96"/>
    </row>
    <row r="4298" spans="1:5" x14ac:dyDescent="0.25">
      <c r="A4298" s="238" t="s">
        <v>102</v>
      </c>
      <c r="B4298" s="239"/>
      <c r="C4298" s="239"/>
      <c r="D4298" s="239"/>
      <c r="E4298" s="239"/>
    </row>
    <row r="4299" spans="1:5" x14ac:dyDescent="0.25">
      <c r="A4299" s="95"/>
      <c r="B4299" s="95"/>
      <c r="C4299" s="95"/>
      <c r="D4299" s="95"/>
      <c r="E4299" s="95"/>
    </row>
    <row r="4300" spans="1:5" ht="15.75" thickBot="1" x14ac:dyDescent="0.3">
      <c r="A4300" s="94"/>
      <c r="B4300" s="94"/>
      <c r="C4300" s="95"/>
      <c r="D4300" s="94"/>
      <c r="E4300" s="109" t="s">
        <v>3145</v>
      </c>
    </row>
    <row r="4301" spans="1:5" x14ac:dyDescent="0.25">
      <c r="A4301" s="97" t="s">
        <v>16</v>
      </c>
      <c r="B4301" s="98" t="s">
        <v>79</v>
      </c>
      <c r="C4301" s="98" t="s">
        <v>80</v>
      </c>
      <c r="D4301" s="98" t="s">
        <v>77</v>
      </c>
      <c r="E4301" s="99" t="s">
        <v>10</v>
      </c>
    </row>
    <row r="4302" spans="1:5" x14ac:dyDescent="0.25">
      <c r="A4302" s="100">
        <v>1</v>
      </c>
      <c r="B4302" s="151" t="s">
        <v>3147</v>
      </c>
      <c r="C4302" s="152" t="s">
        <v>2173</v>
      </c>
      <c r="D4302" s="103"/>
      <c r="E4302" s="104">
        <v>5000</v>
      </c>
    </row>
    <row r="4303" spans="1:5" x14ac:dyDescent="0.25">
      <c r="A4303" s="100">
        <f>A4302+1</f>
        <v>2</v>
      </c>
      <c r="B4303" s="151" t="s">
        <v>2158</v>
      </c>
      <c r="C4303" s="152" t="s">
        <v>2177</v>
      </c>
      <c r="D4303" s="103"/>
      <c r="E4303" s="104">
        <v>30000</v>
      </c>
    </row>
    <row r="4304" spans="1:5" x14ac:dyDescent="0.25">
      <c r="A4304" s="100">
        <f t="shared" ref="A4304:A4344" si="74">A4303+1</f>
        <v>3</v>
      </c>
      <c r="B4304" s="151" t="s">
        <v>3146</v>
      </c>
      <c r="C4304" s="152" t="s">
        <v>3148</v>
      </c>
      <c r="D4304" s="103"/>
      <c r="E4304" s="156">
        <v>122500</v>
      </c>
    </row>
    <row r="4305" spans="1:5" x14ac:dyDescent="0.25">
      <c r="A4305" s="100">
        <f t="shared" si="74"/>
        <v>4</v>
      </c>
      <c r="B4305" s="151" t="s">
        <v>2161</v>
      </c>
      <c r="C4305" s="152" t="s">
        <v>2180</v>
      </c>
      <c r="D4305" s="103"/>
      <c r="E4305" s="156">
        <v>5000</v>
      </c>
    </row>
    <row r="4306" spans="1:5" x14ac:dyDescent="0.25">
      <c r="A4306" s="100">
        <f t="shared" si="74"/>
        <v>5</v>
      </c>
      <c r="B4306" s="151" t="s">
        <v>3147</v>
      </c>
      <c r="C4306" s="152" t="s">
        <v>2181</v>
      </c>
      <c r="D4306" s="103"/>
      <c r="E4306" s="156">
        <v>5000</v>
      </c>
    </row>
    <row r="4307" spans="1:5" x14ac:dyDescent="0.25">
      <c r="A4307" s="100">
        <f t="shared" si="74"/>
        <v>6</v>
      </c>
      <c r="B4307" s="151" t="s">
        <v>3156</v>
      </c>
      <c r="C4307" s="152" t="s">
        <v>3149</v>
      </c>
      <c r="D4307" s="103"/>
      <c r="E4307" s="156">
        <v>22500</v>
      </c>
    </row>
    <row r="4308" spans="1:5" x14ac:dyDescent="0.25">
      <c r="A4308" s="100">
        <f t="shared" si="74"/>
        <v>7</v>
      </c>
      <c r="B4308" s="151" t="s">
        <v>3157</v>
      </c>
      <c r="C4308" s="152" t="s">
        <v>3150</v>
      </c>
      <c r="D4308" s="103"/>
      <c r="E4308" s="156">
        <v>5000</v>
      </c>
    </row>
    <row r="4309" spans="1:5" x14ac:dyDescent="0.25">
      <c r="A4309" s="100">
        <f t="shared" si="74"/>
        <v>8</v>
      </c>
      <c r="B4309" s="151" t="s">
        <v>340</v>
      </c>
      <c r="C4309" s="152" t="s">
        <v>347</v>
      </c>
      <c r="D4309" s="103"/>
      <c r="E4309" s="156">
        <v>5000</v>
      </c>
    </row>
    <row r="4310" spans="1:5" x14ac:dyDescent="0.25">
      <c r="A4310" s="100">
        <f t="shared" si="74"/>
        <v>9</v>
      </c>
      <c r="B4310" s="151" t="s">
        <v>3158</v>
      </c>
      <c r="C4310" s="152" t="s">
        <v>3151</v>
      </c>
      <c r="D4310" s="103"/>
      <c r="E4310" s="156">
        <v>30000</v>
      </c>
    </row>
    <row r="4311" spans="1:5" x14ac:dyDescent="0.25">
      <c r="A4311" s="100">
        <f t="shared" si="74"/>
        <v>10</v>
      </c>
      <c r="B4311" s="151" t="s">
        <v>3159</v>
      </c>
      <c r="C4311" s="152" t="s">
        <v>3152</v>
      </c>
      <c r="D4311" s="103"/>
      <c r="E4311" s="156">
        <v>42500</v>
      </c>
    </row>
    <row r="4312" spans="1:5" x14ac:dyDescent="0.25">
      <c r="A4312" s="100">
        <f t="shared" si="74"/>
        <v>11</v>
      </c>
      <c r="B4312" s="151" t="s">
        <v>646</v>
      </c>
      <c r="C4312" s="152" t="s">
        <v>655</v>
      </c>
      <c r="D4312" s="103"/>
      <c r="E4312" s="156">
        <v>5000</v>
      </c>
    </row>
    <row r="4313" spans="1:5" x14ac:dyDescent="0.25">
      <c r="A4313" s="100">
        <f t="shared" si="74"/>
        <v>12</v>
      </c>
      <c r="B4313" s="151" t="s">
        <v>3160</v>
      </c>
      <c r="C4313" s="152" t="s">
        <v>3153</v>
      </c>
      <c r="D4313" s="103"/>
      <c r="E4313" s="156">
        <v>22500</v>
      </c>
    </row>
    <row r="4314" spans="1:5" x14ac:dyDescent="0.25">
      <c r="A4314" s="100">
        <f t="shared" si="74"/>
        <v>13</v>
      </c>
      <c r="B4314" s="151" t="s">
        <v>1498</v>
      </c>
      <c r="C4314" s="152" t="s">
        <v>1501</v>
      </c>
      <c r="D4314" s="103"/>
      <c r="E4314" s="156">
        <v>5000</v>
      </c>
    </row>
    <row r="4315" spans="1:5" x14ac:dyDescent="0.25">
      <c r="A4315" s="100">
        <f t="shared" si="74"/>
        <v>14</v>
      </c>
      <c r="B4315" s="151" t="s">
        <v>3161</v>
      </c>
      <c r="C4315" s="152" t="s">
        <v>3154</v>
      </c>
      <c r="D4315" s="103"/>
      <c r="E4315" s="156">
        <v>62500</v>
      </c>
    </row>
    <row r="4316" spans="1:5" x14ac:dyDescent="0.25">
      <c r="A4316" s="100">
        <f t="shared" si="74"/>
        <v>15</v>
      </c>
      <c r="B4316" s="151" t="s">
        <v>261</v>
      </c>
      <c r="C4316" s="152" t="s">
        <v>272</v>
      </c>
      <c r="D4316" s="154"/>
      <c r="E4316" s="157">
        <v>12500</v>
      </c>
    </row>
    <row r="4317" spans="1:5" x14ac:dyDescent="0.25">
      <c r="A4317" s="100">
        <f t="shared" si="74"/>
        <v>16</v>
      </c>
      <c r="B4317" s="151" t="s">
        <v>3162</v>
      </c>
      <c r="C4317" s="152" t="s">
        <v>3155</v>
      </c>
      <c r="D4317" s="154"/>
      <c r="E4317" s="157">
        <v>5000</v>
      </c>
    </row>
    <row r="4318" spans="1:5" x14ac:dyDescent="0.25">
      <c r="A4318" s="100">
        <f t="shared" si="74"/>
        <v>17</v>
      </c>
      <c r="B4318" s="151" t="s">
        <v>798</v>
      </c>
      <c r="C4318" s="152" t="s">
        <v>791</v>
      </c>
      <c r="D4318" s="154"/>
      <c r="E4318" s="157">
        <v>12500</v>
      </c>
    </row>
    <row r="4319" spans="1:5" x14ac:dyDescent="0.25">
      <c r="A4319" s="100">
        <f t="shared" si="74"/>
        <v>18</v>
      </c>
      <c r="B4319" s="151" t="s">
        <v>3163</v>
      </c>
      <c r="C4319" s="152" t="s">
        <v>660</v>
      </c>
      <c r="D4319" s="154"/>
      <c r="E4319" s="157">
        <v>17500</v>
      </c>
    </row>
    <row r="4320" spans="1:5" x14ac:dyDescent="0.25">
      <c r="A4320" s="100">
        <f t="shared" si="74"/>
        <v>19</v>
      </c>
      <c r="B4320" s="151" t="s">
        <v>3164</v>
      </c>
      <c r="C4320" s="152" t="s">
        <v>3167</v>
      </c>
      <c r="D4320" s="154"/>
      <c r="E4320" s="157">
        <v>92500</v>
      </c>
    </row>
    <row r="4321" spans="1:5" x14ac:dyDescent="0.25">
      <c r="A4321" s="100">
        <f t="shared" si="74"/>
        <v>20</v>
      </c>
      <c r="B4321" s="151" t="s">
        <v>871</v>
      </c>
      <c r="C4321" s="152" t="s">
        <v>872</v>
      </c>
      <c r="D4321" s="154"/>
      <c r="E4321" s="157">
        <v>20000</v>
      </c>
    </row>
    <row r="4322" spans="1:5" x14ac:dyDescent="0.25">
      <c r="A4322" s="100">
        <f t="shared" si="74"/>
        <v>21</v>
      </c>
      <c r="B4322" s="151" t="s">
        <v>2195</v>
      </c>
      <c r="C4322" s="152" t="s">
        <v>2209</v>
      </c>
      <c r="D4322" s="154"/>
      <c r="E4322" s="157">
        <v>5000</v>
      </c>
    </row>
    <row r="4323" spans="1:5" x14ac:dyDescent="0.25">
      <c r="A4323" s="100">
        <f t="shared" si="74"/>
        <v>22</v>
      </c>
      <c r="B4323" s="151" t="s">
        <v>3165</v>
      </c>
      <c r="C4323" s="152" t="s">
        <v>3168</v>
      </c>
      <c r="D4323" s="154"/>
      <c r="E4323" s="157">
        <v>62500</v>
      </c>
    </row>
    <row r="4324" spans="1:5" x14ac:dyDescent="0.25">
      <c r="A4324" s="100">
        <f t="shared" si="74"/>
        <v>23</v>
      </c>
      <c r="B4324" s="151" t="s">
        <v>3166</v>
      </c>
      <c r="C4324" s="152" t="s">
        <v>3169</v>
      </c>
      <c r="D4324" s="154"/>
      <c r="E4324" s="157">
        <v>92500</v>
      </c>
    </row>
    <row r="4325" spans="1:5" x14ac:dyDescent="0.25">
      <c r="A4325" s="100">
        <f t="shared" si="74"/>
        <v>24</v>
      </c>
      <c r="B4325" s="151" t="s">
        <v>1838</v>
      </c>
      <c r="C4325" s="152" t="s">
        <v>1831</v>
      </c>
      <c r="D4325" s="154"/>
      <c r="E4325" s="157">
        <v>12500</v>
      </c>
    </row>
    <row r="4326" spans="1:5" x14ac:dyDescent="0.25">
      <c r="A4326" s="100">
        <f t="shared" si="74"/>
        <v>25</v>
      </c>
      <c r="B4326" s="151" t="s">
        <v>3170</v>
      </c>
      <c r="C4326" s="152" t="s">
        <v>3173</v>
      </c>
      <c r="D4326" s="154"/>
      <c r="E4326" s="157">
        <v>30000</v>
      </c>
    </row>
    <row r="4327" spans="1:5" x14ac:dyDescent="0.25">
      <c r="A4327" s="100">
        <f t="shared" si="74"/>
        <v>26</v>
      </c>
      <c r="B4327" s="151" t="s">
        <v>3171</v>
      </c>
      <c r="C4327" s="152" t="s">
        <v>3174</v>
      </c>
      <c r="D4327" s="154"/>
      <c r="E4327" s="157">
        <v>67500</v>
      </c>
    </row>
    <row r="4328" spans="1:5" x14ac:dyDescent="0.25">
      <c r="A4328" s="100">
        <f t="shared" si="74"/>
        <v>27</v>
      </c>
      <c r="B4328" s="151" t="s">
        <v>592</v>
      </c>
      <c r="C4328" s="152" t="s">
        <v>582</v>
      </c>
      <c r="D4328" s="154"/>
      <c r="E4328" s="157">
        <v>12500</v>
      </c>
    </row>
    <row r="4329" spans="1:5" x14ac:dyDescent="0.25">
      <c r="A4329" s="100">
        <f t="shared" si="74"/>
        <v>28</v>
      </c>
      <c r="B4329" s="151" t="s">
        <v>2657</v>
      </c>
      <c r="C4329" s="152" t="s">
        <v>3175</v>
      </c>
      <c r="D4329" s="154"/>
      <c r="E4329" s="157">
        <v>72500</v>
      </c>
    </row>
    <row r="4330" spans="1:5" x14ac:dyDescent="0.25">
      <c r="A4330" s="100">
        <f t="shared" si="74"/>
        <v>29</v>
      </c>
      <c r="B4330" s="151" t="s">
        <v>3172</v>
      </c>
      <c r="C4330" s="152" t="s">
        <v>3176</v>
      </c>
      <c r="D4330" s="154"/>
      <c r="E4330" s="157">
        <v>37500</v>
      </c>
    </row>
    <row r="4331" spans="1:5" x14ac:dyDescent="0.25">
      <c r="A4331" s="100">
        <f t="shared" si="74"/>
        <v>30</v>
      </c>
      <c r="B4331" s="151" t="s">
        <v>692</v>
      </c>
      <c r="C4331" s="152" t="s">
        <v>3177</v>
      </c>
      <c r="D4331" s="154"/>
      <c r="E4331" s="157">
        <v>92500</v>
      </c>
    </row>
    <row r="4332" spans="1:5" x14ac:dyDescent="0.25">
      <c r="A4332" s="100">
        <f t="shared" si="74"/>
        <v>31</v>
      </c>
      <c r="B4332" s="151" t="s">
        <v>3182</v>
      </c>
      <c r="C4332" s="152" t="s">
        <v>3178</v>
      </c>
      <c r="D4332" s="154"/>
      <c r="E4332" s="157">
        <v>22500</v>
      </c>
    </row>
    <row r="4333" spans="1:5" x14ac:dyDescent="0.25">
      <c r="A4333" s="100">
        <f t="shared" si="74"/>
        <v>32</v>
      </c>
      <c r="B4333" s="151" t="s">
        <v>3183</v>
      </c>
      <c r="C4333" s="152" t="s">
        <v>3179</v>
      </c>
      <c r="D4333" s="154"/>
      <c r="E4333" s="157">
        <v>5000</v>
      </c>
    </row>
    <row r="4334" spans="1:5" x14ac:dyDescent="0.25">
      <c r="A4334" s="100">
        <f t="shared" si="74"/>
        <v>33</v>
      </c>
      <c r="B4334" s="151" t="s">
        <v>592</v>
      </c>
      <c r="C4334" s="152" t="s">
        <v>3180</v>
      </c>
      <c r="D4334" s="154"/>
      <c r="E4334" s="157">
        <v>32500</v>
      </c>
    </row>
    <row r="4335" spans="1:5" x14ac:dyDescent="0.25">
      <c r="A4335" s="100">
        <f t="shared" si="74"/>
        <v>34</v>
      </c>
      <c r="B4335" s="151" t="s">
        <v>1781</v>
      </c>
      <c r="C4335" s="152" t="s">
        <v>1786</v>
      </c>
      <c r="D4335" s="154"/>
      <c r="E4335" s="157">
        <v>5000</v>
      </c>
    </row>
    <row r="4336" spans="1:5" x14ac:dyDescent="0.25">
      <c r="A4336" s="100">
        <f t="shared" si="74"/>
        <v>35</v>
      </c>
      <c r="B4336" s="151" t="s">
        <v>370</v>
      </c>
      <c r="C4336" s="152" t="s">
        <v>379</v>
      </c>
      <c r="D4336" s="154"/>
      <c r="E4336" s="157">
        <v>12500</v>
      </c>
    </row>
    <row r="4337" spans="1:5" x14ac:dyDescent="0.25">
      <c r="A4337" s="100">
        <f t="shared" si="74"/>
        <v>36</v>
      </c>
      <c r="B4337" s="151" t="s">
        <v>3184</v>
      </c>
      <c r="C4337" s="152" t="s">
        <v>3181</v>
      </c>
      <c r="D4337" s="154"/>
      <c r="E4337" s="157">
        <v>12500</v>
      </c>
    </row>
    <row r="4338" spans="1:5" x14ac:dyDescent="0.25">
      <c r="A4338" s="100">
        <f t="shared" si="74"/>
        <v>37</v>
      </c>
      <c r="B4338" s="151" t="s">
        <v>1869</v>
      </c>
      <c r="C4338" s="152" t="s">
        <v>1862</v>
      </c>
      <c r="D4338" s="154"/>
      <c r="E4338" s="157">
        <v>5000</v>
      </c>
    </row>
    <row r="4339" spans="1:5" x14ac:dyDescent="0.25">
      <c r="A4339" s="100">
        <f t="shared" si="74"/>
        <v>38</v>
      </c>
      <c r="B4339" s="151" t="s">
        <v>1598</v>
      </c>
      <c r="C4339" s="152" t="s">
        <v>1605</v>
      </c>
      <c r="D4339" s="154"/>
      <c r="E4339" s="157">
        <v>5000</v>
      </c>
    </row>
    <row r="4340" spans="1:5" x14ac:dyDescent="0.25">
      <c r="A4340" s="100">
        <f t="shared" si="74"/>
        <v>39</v>
      </c>
      <c r="B4340" s="151" t="s">
        <v>811</v>
      </c>
      <c r="C4340" s="152" t="s">
        <v>823</v>
      </c>
      <c r="D4340" s="154"/>
      <c r="E4340" s="157">
        <v>12500</v>
      </c>
    </row>
    <row r="4341" spans="1:5" x14ac:dyDescent="0.25">
      <c r="A4341" s="100">
        <f t="shared" si="74"/>
        <v>40</v>
      </c>
      <c r="B4341" s="151" t="s">
        <v>1958</v>
      </c>
      <c r="C4341" s="152" t="s">
        <v>1959</v>
      </c>
      <c r="D4341" s="154"/>
      <c r="E4341" s="157">
        <v>5000</v>
      </c>
    </row>
    <row r="4342" spans="1:5" x14ac:dyDescent="0.25">
      <c r="A4342" s="100">
        <f t="shared" si="74"/>
        <v>41</v>
      </c>
      <c r="B4342" s="151" t="s">
        <v>2487</v>
      </c>
      <c r="C4342" s="152" t="s">
        <v>2493</v>
      </c>
      <c r="D4342" s="154"/>
      <c r="E4342" s="157">
        <v>5000</v>
      </c>
    </row>
    <row r="4343" spans="1:5" x14ac:dyDescent="0.25">
      <c r="A4343" s="100">
        <f t="shared" si="74"/>
        <v>42</v>
      </c>
      <c r="B4343" s="151" t="s">
        <v>2359</v>
      </c>
      <c r="C4343" s="152" t="s">
        <v>2371</v>
      </c>
      <c r="D4343" s="154"/>
      <c r="E4343" s="157">
        <v>5000</v>
      </c>
    </row>
    <row r="4344" spans="1:5" x14ac:dyDescent="0.25">
      <c r="A4344" s="100">
        <f t="shared" si="74"/>
        <v>43</v>
      </c>
      <c r="B4344" s="151" t="s">
        <v>3185</v>
      </c>
      <c r="C4344" s="152" t="s">
        <v>3186</v>
      </c>
      <c r="D4344" s="154"/>
      <c r="E4344" s="157">
        <v>5000</v>
      </c>
    </row>
    <row r="4345" spans="1:5" ht="15.75" thickBot="1" x14ac:dyDescent="0.3">
      <c r="A4345" s="105"/>
      <c r="B4345" s="240" t="s">
        <v>10</v>
      </c>
      <c r="C4345" s="241"/>
      <c r="D4345" s="242"/>
      <c r="E4345" s="106">
        <f>SUM(E4302:E4344)</f>
        <v>1145000</v>
      </c>
    </row>
    <row r="4346" spans="1:5" x14ac:dyDescent="0.25">
      <c r="A4346" s="95"/>
      <c r="B4346" s="130"/>
      <c r="C4346" s="130"/>
      <c r="D4346" s="108" t="s">
        <v>3142</v>
      </c>
      <c r="E4346" s="131"/>
    </row>
    <row r="4347" spans="1:5" x14ac:dyDescent="0.25">
      <c r="A4347" s="93" t="s">
        <v>0</v>
      </c>
      <c r="B4347" s="129"/>
      <c r="C4347" s="129"/>
      <c r="D4347" s="129"/>
      <c r="E4347" s="129"/>
    </row>
    <row r="4348" spans="1:5" x14ac:dyDescent="0.25">
      <c r="A4348" s="93" t="s">
        <v>1</v>
      </c>
      <c r="B4348" s="94"/>
      <c r="C4348" s="95"/>
      <c r="D4348" s="94"/>
      <c r="E4348" s="94"/>
    </row>
    <row r="4349" spans="1:5" x14ac:dyDescent="0.25">
      <c r="A4349" s="93"/>
      <c r="B4349" s="94"/>
      <c r="C4349" s="95"/>
      <c r="D4349" s="94"/>
      <c r="E4349" s="94"/>
    </row>
    <row r="4350" spans="1:5" x14ac:dyDescent="0.25">
      <c r="A4350" s="96" t="s">
        <v>84</v>
      </c>
      <c r="B4350" s="96"/>
      <c r="C4350" s="96"/>
      <c r="D4350" s="96"/>
      <c r="E4350" s="96"/>
    </row>
    <row r="4351" spans="1:5" x14ac:dyDescent="0.25">
      <c r="A4351" s="238" t="s">
        <v>102</v>
      </c>
      <c r="B4351" s="239"/>
      <c r="C4351" s="239"/>
      <c r="D4351" s="239"/>
      <c r="E4351" s="239"/>
    </row>
    <row r="4352" spans="1:5" x14ac:dyDescent="0.25">
      <c r="A4352" s="95"/>
      <c r="B4352" s="95"/>
      <c r="C4352" s="95"/>
      <c r="D4352" s="95"/>
      <c r="E4352" s="95"/>
    </row>
    <row r="4353" spans="1:5" ht="15.75" thickBot="1" x14ac:dyDescent="0.3">
      <c r="A4353" s="94"/>
      <c r="B4353" s="94"/>
      <c r="C4353" s="95"/>
      <c r="D4353" s="94"/>
      <c r="E4353" s="109" t="s">
        <v>3187</v>
      </c>
    </row>
    <row r="4354" spans="1:5" x14ac:dyDescent="0.25">
      <c r="A4354" s="97" t="s">
        <v>16</v>
      </c>
      <c r="B4354" s="98" t="s">
        <v>79</v>
      </c>
      <c r="C4354" s="98" t="s">
        <v>80</v>
      </c>
      <c r="D4354" s="98" t="s">
        <v>77</v>
      </c>
      <c r="E4354" s="99" t="s">
        <v>10</v>
      </c>
    </row>
    <row r="4355" spans="1:5" x14ac:dyDescent="0.25">
      <c r="A4355" s="100">
        <v>1</v>
      </c>
      <c r="B4355" s="151" t="s">
        <v>1620</v>
      </c>
      <c r="C4355" s="152" t="s">
        <v>1626</v>
      </c>
      <c r="D4355" s="103"/>
      <c r="E4355" s="104">
        <v>5000</v>
      </c>
    </row>
    <row r="4356" spans="1:5" x14ac:dyDescent="0.25">
      <c r="A4356" s="100">
        <f>A4355+1</f>
        <v>2</v>
      </c>
      <c r="B4356" s="151" t="s">
        <v>616</v>
      </c>
      <c r="C4356" s="152" t="s">
        <v>624</v>
      </c>
      <c r="D4356" s="103"/>
      <c r="E4356" s="104">
        <v>12500</v>
      </c>
    </row>
    <row r="4357" spans="1:5" x14ac:dyDescent="0.25">
      <c r="A4357" s="100">
        <f t="shared" ref="A4357:A4393" si="75">A4356+1</f>
        <v>3</v>
      </c>
      <c r="B4357" s="151" t="s">
        <v>617</v>
      </c>
      <c r="C4357" s="152" t="s">
        <v>625</v>
      </c>
      <c r="D4357" s="103"/>
      <c r="E4357" s="156">
        <v>12500</v>
      </c>
    </row>
    <row r="4358" spans="1:5" x14ac:dyDescent="0.25">
      <c r="A4358" s="100">
        <f t="shared" si="75"/>
        <v>4</v>
      </c>
      <c r="B4358" s="151" t="s">
        <v>622</v>
      </c>
      <c r="C4358" s="152" t="s">
        <v>630</v>
      </c>
      <c r="D4358" s="103"/>
      <c r="E4358" s="156">
        <v>12500</v>
      </c>
    </row>
    <row r="4359" spans="1:5" x14ac:dyDescent="0.25">
      <c r="A4359" s="100">
        <f t="shared" si="75"/>
        <v>5</v>
      </c>
      <c r="B4359" s="151" t="s">
        <v>1622</v>
      </c>
      <c r="C4359" s="152" t="s">
        <v>1629</v>
      </c>
      <c r="D4359" s="103"/>
      <c r="E4359" s="156">
        <v>5000</v>
      </c>
    </row>
    <row r="4360" spans="1:5" x14ac:dyDescent="0.25">
      <c r="A4360" s="100">
        <f t="shared" si="75"/>
        <v>6</v>
      </c>
      <c r="B4360" s="151" t="s">
        <v>3188</v>
      </c>
      <c r="C4360" s="152" t="s">
        <v>3189</v>
      </c>
      <c r="D4360" s="103"/>
      <c r="E4360" s="156">
        <v>20000</v>
      </c>
    </row>
    <row r="4361" spans="1:5" x14ac:dyDescent="0.25">
      <c r="A4361" s="100">
        <f t="shared" si="75"/>
        <v>7</v>
      </c>
      <c r="B4361" s="151" t="s">
        <v>3194</v>
      </c>
      <c r="C4361" s="152" t="s">
        <v>3190</v>
      </c>
      <c r="D4361" s="103"/>
      <c r="E4361" s="156">
        <v>12500</v>
      </c>
    </row>
    <row r="4362" spans="1:5" x14ac:dyDescent="0.25">
      <c r="A4362" s="100">
        <f t="shared" si="75"/>
        <v>8</v>
      </c>
      <c r="B4362" s="151" t="s">
        <v>3195</v>
      </c>
      <c r="C4362" s="152" t="s">
        <v>3191</v>
      </c>
      <c r="D4362" s="103"/>
      <c r="E4362" s="156">
        <v>5000</v>
      </c>
    </row>
    <row r="4363" spans="1:5" x14ac:dyDescent="0.25">
      <c r="A4363" s="100">
        <f t="shared" si="75"/>
        <v>9</v>
      </c>
      <c r="B4363" s="151" t="s">
        <v>1475</v>
      </c>
      <c r="C4363" s="152" t="s">
        <v>1478</v>
      </c>
      <c r="D4363" s="103"/>
      <c r="E4363" s="156">
        <v>5000</v>
      </c>
    </row>
    <row r="4364" spans="1:5" x14ac:dyDescent="0.25">
      <c r="A4364" s="100">
        <f t="shared" si="75"/>
        <v>10</v>
      </c>
      <c r="B4364" s="151" t="s">
        <v>1432</v>
      </c>
      <c r="C4364" s="152" t="s">
        <v>1445</v>
      </c>
      <c r="D4364" s="103"/>
      <c r="E4364" s="156">
        <v>12500</v>
      </c>
    </row>
    <row r="4365" spans="1:5" x14ac:dyDescent="0.25">
      <c r="A4365" s="100">
        <f t="shared" si="75"/>
        <v>11</v>
      </c>
      <c r="B4365" s="151" t="s">
        <v>3196</v>
      </c>
      <c r="C4365" s="152" t="s">
        <v>3192</v>
      </c>
      <c r="D4365" s="103"/>
      <c r="E4365" s="156">
        <v>92500</v>
      </c>
    </row>
    <row r="4366" spans="1:5" x14ac:dyDescent="0.25">
      <c r="A4366" s="100">
        <f t="shared" si="75"/>
        <v>12</v>
      </c>
      <c r="B4366" s="151" t="s">
        <v>3197</v>
      </c>
      <c r="C4366" s="152" t="s">
        <v>3193</v>
      </c>
      <c r="D4366" s="103"/>
      <c r="E4366" s="156">
        <v>30000</v>
      </c>
    </row>
    <row r="4367" spans="1:5" x14ac:dyDescent="0.25">
      <c r="A4367" s="100">
        <f t="shared" si="75"/>
        <v>13</v>
      </c>
      <c r="B4367" s="151" t="s">
        <v>976</v>
      </c>
      <c r="C4367" s="152" t="s">
        <v>970</v>
      </c>
      <c r="D4367" s="103"/>
      <c r="E4367" s="156">
        <v>12500</v>
      </c>
    </row>
    <row r="4368" spans="1:5" x14ac:dyDescent="0.25">
      <c r="A4368" s="100">
        <f t="shared" si="75"/>
        <v>14</v>
      </c>
      <c r="B4368" s="151" t="s">
        <v>2233</v>
      </c>
      <c r="C4368" s="152" t="s">
        <v>2241</v>
      </c>
      <c r="D4368" s="103"/>
      <c r="E4368" s="156">
        <v>5000</v>
      </c>
    </row>
    <row r="4369" spans="1:5" x14ac:dyDescent="0.25">
      <c r="A4369" s="100">
        <f t="shared" si="75"/>
        <v>15</v>
      </c>
      <c r="B4369" s="151" t="s">
        <v>3198</v>
      </c>
      <c r="C4369" s="152" t="s">
        <v>3202</v>
      </c>
      <c r="D4369" s="154"/>
      <c r="E4369" s="157">
        <v>22500</v>
      </c>
    </row>
    <row r="4370" spans="1:5" x14ac:dyDescent="0.25">
      <c r="A4370" s="100">
        <f t="shared" si="75"/>
        <v>16</v>
      </c>
      <c r="B4370" s="151" t="s">
        <v>2169</v>
      </c>
      <c r="C4370" s="152" t="s">
        <v>3203</v>
      </c>
      <c r="D4370" s="154"/>
      <c r="E4370" s="157">
        <v>5000</v>
      </c>
    </row>
    <row r="4371" spans="1:5" x14ac:dyDescent="0.25">
      <c r="A4371" s="100">
        <f t="shared" si="75"/>
        <v>17</v>
      </c>
      <c r="B4371" s="151" t="s">
        <v>3199</v>
      </c>
      <c r="C4371" s="152" t="s">
        <v>3204</v>
      </c>
      <c r="D4371" s="154"/>
      <c r="E4371" s="157">
        <v>50000</v>
      </c>
    </row>
    <row r="4372" spans="1:5" x14ac:dyDescent="0.25">
      <c r="A4372" s="100">
        <f t="shared" si="75"/>
        <v>18</v>
      </c>
      <c r="B4372" s="151" t="s">
        <v>1338</v>
      </c>
      <c r="C4372" s="152" t="s">
        <v>1344</v>
      </c>
      <c r="D4372" s="154"/>
      <c r="E4372" s="157">
        <v>12500</v>
      </c>
    </row>
    <row r="4373" spans="1:5" x14ac:dyDescent="0.25">
      <c r="A4373" s="100">
        <f t="shared" si="75"/>
        <v>19</v>
      </c>
      <c r="B4373" s="151" t="s">
        <v>1537</v>
      </c>
      <c r="C4373" s="152" t="s">
        <v>1536</v>
      </c>
      <c r="D4373" s="154"/>
      <c r="E4373" s="157">
        <v>5000</v>
      </c>
    </row>
    <row r="4374" spans="1:5" x14ac:dyDescent="0.25">
      <c r="A4374" s="100">
        <f t="shared" si="75"/>
        <v>20</v>
      </c>
      <c r="B4374" s="151" t="s">
        <v>464</v>
      </c>
      <c r="C4374" s="152" t="s">
        <v>473</v>
      </c>
      <c r="D4374" s="154"/>
      <c r="E4374" s="157">
        <v>12500</v>
      </c>
    </row>
    <row r="4375" spans="1:5" x14ac:dyDescent="0.25">
      <c r="A4375" s="100">
        <f t="shared" si="75"/>
        <v>21</v>
      </c>
      <c r="B4375" s="151" t="s">
        <v>3200</v>
      </c>
      <c r="C4375" s="152" t="s">
        <v>3205</v>
      </c>
      <c r="D4375" s="154"/>
      <c r="E4375" s="157">
        <v>40000</v>
      </c>
    </row>
    <row r="4376" spans="1:5" x14ac:dyDescent="0.25">
      <c r="A4376" s="100">
        <f t="shared" si="75"/>
        <v>22</v>
      </c>
      <c r="B4376" s="151" t="s">
        <v>1646</v>
      </c>
      <c r="C4376" s="152" t="s">
        <v>1654</v>
      </c>
      <c r="D4376" s="154"/>
      <c r="E4376" s="157">
        <v>5000</v>
      </c>
    </row>
    <row r="4377" spans="1:5" x14ac:dyDescent="0.25">
      <c r="A4377" s="100">
        <f t="shared" si="75"/>
        <v>23</v>
      </c>
      <c r="B4377" s="151" t="s">
        <v>2938</v>
      </c>
      <c r="C4377" s="152" t="s">
        <v>2949</v>
      </c>
      <c r="D4377" s="154"/>
      <c r="E4377" s="157">
        <v>20000</v>
      </c>
    </row>
    <row r="4378" spans="1:5" x14ac:dyDescent="0.25">
      <c r="A4378" s="100">
        <f t="shared" si="75"/>
        <v>24</v>
      </c>
      <c r="B4378" s="151" t="s">
        <v>3201</v>
      </c>
      <c r="C4378" s="152" t="s">
        <v>1582</v>
      </c>
      <c r="D4378" s="154"/>
      <c r="E4378" s="157">
        <v>5000</v>
      </c>
    </row>
    <row r="4379" spans="1:5" x14ac:dyDescent="0.25">
      <c r="A4379" s="100">
        <f t="shared" si="75"/>
        <v>25</v>
      </c>
      <c r="B4379" s="151" t="s">
        <v>1265</v>
      </c>
      <c r="C4379" s="152" t="s">
        <v>1238</v>
      </c>
      <c r="D4379" s="154"/>
      <c r="E4379" s="157">
        <v>12500</v>
      </c>
    </row>
    <row r="4380" spans="1:5" x14ac:dyDescent="0.25">
      <c r="A4380" s="100">
        <f t="shared" si="75"/>
        <v>26</v>
      </c>
      <c r="B4380" s="151" t="s">
        <v>594</v>
      </c>
      <c r="C4380" s="152" t="s">
        <v>585</v>
      </c>
      <c r="D4380" s="154"/>
      <c r="E4380" s="157">
        <v>17500</v>
      </c>
    </row>
    <row r="4381" spans="1:5" x14ac:dyDescent="0.25">
      <c r="A4381" s="100">
        <f t="shared" si="75"/>
        <v>27</v>
      </c>
      <c r="B4381" s="151" t="s">
        <v>1327</v>
      </c>
      <c r="C4381" s="152" t="s">
        <v>1318</v>
      </c>
      <c r="D4381" s="154"/>
      <c r="E4381" s="157">
        <v>12500</v>
      </c>
    </row>
    <row r="4382" spans="1:5" x14ac:dyDescent="0.25">
      <c r="A4382" s="100">
        <f t="shared" si="75"/>
        <v>28</v>
      </c>
      <c r="B4382" s="151" t="s">
        <v>684</v>
      </c>
      <c r="C4382" s="152" t="s">
        <v>3206</v>
      </c>
      <c r="D4382" s="154"/>
      <c r="E4382" s="157">
        <v>62500</v>
      </c>
    </row>
    <row r="4383" spans="1:5" x14ac:dyDescent="0.25">
      <c r="A4383" s="100">
        <f t="shared" si="75"/>
        <v>29</v>
      </c>
      <c r="B4383" s="151" t="s">
        <v>3208</v>
      </c>
      <c r="C4383" s="152" t="s">
        <v>3207</v>
      </c>
      <c r="D4383" s="154"/>
      <c r="E4383" s="157">
        <v>22500</v>
      </c>
    </row>
    <row r="4384" spans="1:5" x14ac:dyDescent="0.25">
      <c r="A4384" s="100">
        <f t="shared" si="75"/>
        <v>30</v>
      </c>
      <c r="B4384" s="151" t="s">
        <v>1596</v>
      </c>
      <c r="C4384" s="152" t="s">
        <v>1590</v>
      </c>
      <c r="D4384" s="154"/>
      <c r="E4384" s="157">
        <v>5000</v>
      </c>
    </row>
    <row r="4385" spans="1:5" x14ac:dyDescent="0.25">
      <c r="A4385" s="100">
        <f t="shared" si="75"/>
        <v>31</v>
      </c>
      <c r="B4385" s="151" t="s">
        <v>197</v>
      </c>
      <c r="C4385" s="152" t="s">
        <v>209</v>
      </c>
      <c r="D4385" s="154"/>
      <c r="E4385" s="157">
        <v>5000</v>
      </c>
    </row>
    <row r="4386" spans="1:5" x14ac:dyDescent="0.25">
      <c r="A4386" s="100">
        <f t="shared" si="75"/>
        <v>32</v>
      </c>
      <c r="B4386" s="151" t="s">
        <v>1271</v>
      </c>
      <c r="C4386" s="152" t="s">
        <v>1604</v>
      </c>
      <c r="D4386" s="154"/>
      <c r="E4386" s="157">
        <v>5000</v>
      </c>
    </row>
    <row r="4387" spans="1:5" x14ac:dyDescent="0.25">
      <c r="A4387" s="100">
        <f t="shared" si="75"/>
        <v>33</v>
      </c>
      <c r="B4387" s="151" t="s">
        <v>2357</v>
      </c>
      <c r="C4387" s="152" t="s">
        <v>2369</v>
      </c>
      <c r="D4387" s="154"/>
      <c r="E4387" s="157">
        <v>5000</v>
      </c>
    </row>
    <row r="4388" spans="1:5" x14ac:dyDescent="0.25">
      <c r="A4388" s="100">
        <f t="shared" si="75"/>
        <v>34</v>
      </c>
      <c r="B4388" s="151" t="s">
        <v>1532</v>
      </c>
      <c r="C4388" s="152" t="s">
        <v>1528</v>
      </c>
      <c r="D4388" s="154"/>
      <c r="E4388" s="157">
        <v>5000</v>
      </c>
    </row>
    <row r="4389" spans="1:5" x14ac:dyDescent="0.25">
      <c r="A4389" s="100">
        <f t="shared" si="75"/>
        <v>35</v>
      </c>
      <c r="B4389" s="151" t="s">
        <v>3209</v>
      </c>
      <c r="C4389" s="152" t="s">
        <v>3213</v>
      </c>
      <c r="D4389" s="154"/>
      <c r="E4389" s="157">
        <v>42500</v>
      </c>
    </row>
    <row r="4390" spans="1:5" x14ac:dyDescent="0.25">
      <c r="A4390" s="100">
        <f t="shared" si="75"/>
        <v>36</v>
      </c>
      <c r="B4390" s="151" t="s">
        <v>1535</v>
      </c>
      <c r="C4390" s="152" t="s">
        <v>1531</v>
      </c>
      <c r="D4390" s="154"/>
      <c r="E4390" s="157">
        <v>5000</v>
      </c>
    </row>
    <row r="4391" spans="1:5" x14ac:dyDescent="0.25">
      <c r="A4391" s="100">
        <f t="shared" si="75"/>
        <v>37</v>
      </c>
      <c r="B4391" s="151" t="s">
        <v>3210</v>
      </c>
      <c r="C4391" s="152" t="s">
        <v>1916</v>
      </c>
      <c r="D4391" s="154"/>
      <c r="E4391" s="157">
        <v>5000</v>
      </c>
    </row>
    <row r="4392" spans="1:5" x14ac:dyDescent="0.25">
      <c r="A4392" s="100">
        <f t="shared" si="75"/>
        <v>38</v>
      </c>
      <c r="B4392" s="151" t="s">
        <v>3211</v>
      </c>
      <c r="C4392" s="152" t="s">
        <v>1609</v>
      </c>
      <c r="D4392" s="154"/>
      <c r="E4392" s="157">
        <v>5000</v>
      </c>
    </row>
    <row r="4393" spans="1:5" x14ac:dyDescent="0.25">
      <c r="A4393" s="100">
        <f t="shared" si="75"/>
        <v>39</v>
      </c>
      <c r="B4393" s="151" t="s">
        <v>3212</v>
      </c>
      <c r="C4393" s="152" t="s">
        <v>1611</v>
      </c>
      <c r="D4393" s="154"/>
      <c r="E4393" s="157">
        <v>5000</v>
      </c>
    </row>
    <row r="4394" spans="1:5" x14ac:dyDescent="0.25">
      <c r="A4394" s="100"/>
      <c r="B4394" s="151"/>
      <c r="C4394" s="152"/>
      <c r="D4394" s="154"/>
      <c r="E4394" s="157"/>
    </row>
    <row r="4395" spans="1:5" ht="15.75" thickBot="1" x14ac:dyDescent="0.3">
      <c r="A4395" s="105"/>
      <c r="B4395" s="240" t="s">
        <v>10</v>
      </c>
      <c r="C4395" s="241"/>
      <c r="D4395" s="242"/>
      <c r="E4395" s="106">
        <f>SUM(E4355:E4394)</f>
        <v>635000</v>
      </c>
    </row>
    <row r="4396" spans="1:5" x14ac:dyDescent="0.25">
      <c r="A4396" s="95"/>
      <c r="B4396" s="130"/>
      <c r="C4396" s="130"/>
      <c r="E4396" s="131"/>
    </row>
    <row r="4397" spans="1:5" x14ac:dyDescent="0.25">
      <c r="A4397" s="94"/>
      <c r="B4397" s="94"/>
      <c r="C4397" s="95"/>
      <c r="D4397" s="108" t="s">
        <v>3142</v>
      </c>
      <c r="E4397" s="94"/>
    </row>
    <row r="4398" spans="1:5" x14ac:dyDescent="0.25">
      <c r="D4398" s="108" t="s">
        <v>83</v>
      </c>
    </row>
  </sheetData>
  <mergeCells count="154">
    <mergeCell ref="B3526:D3526"/>
    <mergeCell ref="A3556:E3556"/>
    <mergeCell ref="B3585:D3585"/>
    <mergeCell ref="A3662:E3662"/>
    <mergeCell ref="A4086:E4086"/>
    <mergeCell ref="B4117:D4117"/>
    <mergeCell ref="A3927:E3927"/>
    <mergeCell ref="B3954:D3954"/>
    <mergeCell ref="A3980:E3980"/>
    <mergeCell ref="B3998:D3998"/>
    <mergeCell ref="A3821:E3821"/>
    <mergeCell ref="B3858:D3858"/>
    <mergeCell ref="A3768:E3768"/>
    <mergeCell ref="B3812:D3812"/>
    <mergeCell ref="A4033:E4033"/>
    <mergeCell ref="B4057:D4057"/>
    <mergeCell ref="B3713:D3713"/>
    <mergeCell ref="A3609:E3609"/>
    <mergeCell ref="B3637:D3637"/>
    <mergeCell ref="A3874:E3874"/>
    <mergeCell ref="B3908:D3908"/>
    <mergeCell ref="A3026:E3026"/>
    <mergeCell ref="B3056:D3056"/>
    <mergeCell ref="A3344:E3344"/>
    <mergeCell ref="B3368:D3368"/>
    <mergeCell ref="B3321:D3321"/>
    <mergeCell ref="A3079:E3079"/>
    <mergeCell ref="B3107:D3107"/>
    <mergeCell ref="A3132:E3132"/>
    <mergeCell ref="B3166:D3166"/>
    <mergeCell ref="A3185:E3185"/>
    <mergeCell ref="B3217:D3217"/>
    <mergeCell ref="A3238:E3238"/>
    <mergeCell ref="B3262:D3262"/>
    <mergeCell ref="A3291:E3291"/>
    <mergeCell ref="A3397:E3397"/>
    <mergeCell ref="B3438:D3438"/>
    <mergeCell ref="A3450:E3450"/>
    <mergeCell ref="B3474:D3474"/>
    <mergeCell ref="A3503:E3503"/>
    <mergeCell ref="A2178:E2178"/>
    <mergeCell ref="B2204:D2204"/>
    <mergeCell ref="B1660:D1660"/>
    <mergeCell ref="A1701:E1701"/>
    <mergeCell ref="B1718:D1718"/>
    <mergeCell ref="A2072:E2072"/>
    <mergeCell ref="B2121:D2121"/>
    <mergeCell ref="A1754:E1754"/>
    <mergeCell ref="B1771:D1771"/>
    <mergeCell ref="A1807:E1807"/>
    <mergeCell ref="B1849:D1849"/>
    <mergeCell ref="B1895:D1895"/>
    <mergeCell ref="A1913:E1913"/>
    <mergeCell ref="B1951:D1951"/>
    <mergeCell ref="B1761:E1762"/>
    <mergeCell ref="B1985:D1985"/>
    <mergeCell ref="A1860:E1860"/>
    <mergeCell ref="B2425:D2425"/>
    <mergeCell ref="A2443:E2443"/>
    <mergeCell ref="A1383:E1383"/>
    <mergeCell ref="B1400:D1400"/>
    <mergeCell ref="A5:E5"/>
    <mergeCell ref="B24:D24"/>
    <mergeCell ref="A58:E58"/>
    <mergeCell ref="B112:D112"/>
    <mergeCell ref="A164:E164"/>
    <mergeCell ref="B1032:D1032"/>
    <mergeCell ref="A906:E906"/>
    <mergeCell ref="B938:D938"/>
    <mergeCell ref="A959:E959"/>
    <mergeCell ref="B988:D988"/>
    <mergeCell ref="A1012:E1012"/>
    <mergeCell ref="B219:D219"/>
    <mergeCell ref="A270:E270"/>
    <mergeCell ref="B304:D304"/>
    <mergeCell ref="A323:E323"/>
    <mergeCell ref="B348:D348"/>
    <mergeCell ref="A694:E694"/>
    <mergeCell ref="B724:D724"/>
    <mergeCell ref="A747:E747"/>
    <mergeCell ref="B791:D791"/>
    <mergeCell ref="B582:D582"/>
    <mergeCell ref="B612:D612"/>
    <mergeCell ref="A2602:E2602"/>
    <mergeCell ref="B2630:D2630"/>
    <mergeCell ref="A2284:E2284"/>
    <mergeCell ref="B2315:D2315"/>
    <mergeCell ref="A1065:E1065"/>
    <mergeCell ref="B1093:D1093"/>
    <mergeCell ref="A1436:E1436"/>
    <mergeCell ref="B1459:D1459"/>
    <mergeCell ref="A1118:E1118"/>
    <mergeCell ref="B1169:D1169"/>
    <mergeCell ref="A1224:E1224"/>
    <mergeCell ref="B1253:D1253"/>
    <mergeCell ref="A1277:E1277"/>
    <mergeCell ref="B1289:D1289"/>
    <mergeCell ref="A1330:E1330"/>
    <mergeCell ref="B1344:D1344"/>
    <mergeCell ref="A2019:E2019"/>
    <mergeCell ref="A1595:E1595"/>
    <mergeCell ref="B1613:D1613"/>
    <mergeCell ref="A1648:E1648"/>
    <mergeCell ref="A1489:E1489"/>
    <mergeCell ref="B1501:D1501"/>
    <mergeCell ref="A1542:E1542"/>
    <mergeCell ref="B1572:D1572"/>
    <mergeCell ref="A853:E853"/>
    <mergeCell ref="A376:E376"/>
    <mergeCell ref="B421:D421"/>
    <mergeCell ref="A429:E429"/>
    <mergeCell ref="B483:D483"/>
    <mergeCell ref="A535:E535"/>
    <mergeCell ref="B877:D877"/>
    <mergeCell ref="A800:E800"/>
    <mergeCell ref="B830:D830"/>
    <mergeCell ref="B664:D664"/>
    <mergeCell ref="A588:E588"/>
    <mergeCell ref="A641:E641"/>
    <mergeCell ref="A2920:E2920"/>
    <mergeCell ref="B2945:D2945"/>
    <mergeCell ref="A2973:E2973"/>
    <mergeCell ref="A1966:E1966"/>
    <mergeCell ref="B2998:D2998"/>
    <mergeCell ref="A2814:E2814"/>
    <mergeCell ref="B2845:D2845"/>
    <mergeCell ref="A2867:E2867"/>
    <mergeCell ref="B2887:D2887"/>
    <mergeCell ref="B2259:D2259"/>
    <mergeCell ref="B2487:D2487"/>
    <mergeCell ref="A2496:E2496"/>
    <mergeCell ref="B2548:D2548"/>
    <mergeCell ref="A2337:E2337"/>
    <mergeCell ref="B2351:D2351"/>
    <mergeCell ref="A2390:E2390"/>
    <mergeCell ref="A2761:E2761"/>
    <mergeCell ref="B2779:D2779"/>
    <mergeCell ref="A2655:E2655"/>
    <mergeCell ref="B2673:D2673"/>
    <mergeCell ref="A2708:E2708"/>
    <mergeCell ref="B2721:D2721"/>
    <mergeCell ref="A2231:E2231"/>
    <mergeCell ref="B2039:D2039"/>
    <mergeCell ref="B4395:D4395"/>
    <mergeCell ref="A4351:E4351"/>
    <mergeCell ref="A4245:E4245"/>
    <mergeCell ref="B4271:D4271"/>
    <mergeCell ref="A4298:E4298"/>
    <mergeCell ref="B4345:D4345"/>
    <mergeCell ref="B4252:E4253"/>
    <mergeCell ref="A4139:E4139"/>
    <mergeCell ref="B4158:D4158"/>
    <mergeCell ref="A4192:E4192"/>
    <mergeCell ref="B4218:D4218"/>
  </mergeCells>
  <pageMargins left="0.70866141732283472" right="0.70866141732283472" top="0.74803149606299213" bottom="0.74803149606299213" header="0.31496062992125984" footer="0.31496062992125984"/>
  <pageSetup paperSize="9" scale="95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I746"/>
  <sheetViews>
    <sheetView showWhiteSpace="0" view="pageLayout" topLeftCell="A722" zoomScale="80" zoomScalePageLayoutView="80" workbookViewId="0">
      <selection activeCell="I738" sqref="I738"/>
    </sheetView>
  </sheetViews>
  <sheetFormatPr defaultRowHeight="15" x14ac:dyDescent="0.25"/>
  <cols>
    <col min="1" max="1" width="5" customWidth="1"/>
    <col min="2" max="2" width="29.42578125" customWidth="1"/>
    <col min="3" max="3" width="18.42578125" customWidth="1"/>
    <col min="4" max="4" width="14" customWidth="1"/>
    <col min="5" max="5" width="16.42578125" customWidth="1"/>
    <col min="6" max="6" width="12.42578125" customWidth="1"/>
    <col min="7" max="7" width="11.42578125" customWidth="1"/>
    <col min="8" max="8" width="12.5703125" customWidth="1"/>
    <col min="9" max="9" width="18.28515625" customWidth="1"/>
  </cols>
  <sheetData>
    <row r="1" spans="1:9" x14ac:dyDescent="0.25">
      <c r="A1" t="s">
        <v>78</v>
      </c>
    </row>
    <row r="2" spans="1:9" x14ac:dyDescent="0.25">
      <c r="A2" t="s">
        <v>1</v>
      </c>
    </row>
    <row r="5" spans="1:9" x14ac:dyDescent="0.25">
      <c r="A5" s="268" t="s">
        <v>86</v>
      </c>
      <c r="B5" s="268"/>
      <c r="C5" s="268"/>
      <c r="D5" s="268"/>
      <c r="E5" s="268"/>
      <c r="F5" s="268"/>
      <c r="G5" s="268"/>
      <c r="H5" s="268"/>
      <c r="I5" s="268"/>
    </row>
    <row r="6" spans="1:9" x14ac:dyDescent="0.25">
      <c r="A6" s="268" t="s">
        <v>3473</v>
      </c>
      <c r="B6" s="268"/>
      <c r="C6" s="268"/>
      <c r="D6" s="268"/>
      <c r="E6" s="268"/>
      <c r="F6" s="268"/>
      <c r="G6" s="268"/>
      <c r="H6" s="268"/>
      <c r="I6" s="268"/>
    </row>
    <row r="7" spans="1:9" ht="15.75" thickBot="1" x14ac:dyDescent="0.3">
      <c r="I7" t="s">
        <v>3470</v>
      </c>
    </row>
    <row r="8" spans="1:9" x14ac:dyDescent="0.25">
      <c r="A8" s="261" t="s">
        <v>16</v>
      </c>
      <c r="B8" s="263" t="s">
        <v>8</v>
      </c>
      <c r="C8" s="263" t="s">
        <v>77</v>
      </c>
      <c r="D8" s="265" t="s">
        <v>87</v>
      </c>
      <c r="E8" s="265"/>
      <c r="F8" s="265"/>
      <c r="G8" s="265"/>
      <c r="H8" s="265"/>
      <c r="I8" s="266" t="s">
        <v>10</v>
      </c>
    </row>
    <row r="9" spans="1:9" x14ac:dyDescent="0.25">
      <c r="A9" s="262"/>
      <c r="B9" s="264"/>
      <c r="C9" s="264"/>
      <c r="D9" s="88" t="s">
        <v>88</v>
      </c>
      <c r="E9" s="88" t="s">
        <v>89</v>
      </c>
      <c r="F9" s="88" t="s">
        <v>90</v>
      </c>
      <c r="G9" s="88" t="s">
        <v>91</v>
      </c>
      <c r="H9" s="88" t="s">
        <v>92</v>
      </c>
      <c r="I9" s="267"/>
    </row>
    <row r="10" spans="1:9" x14ac:dyDescent="0.25">
      <c r="A10" s="262"/>
      <c r="B10" s="264"/>
      <c r="C10" s="264"/>
      <c r="D10" s="85" t="s">
        <v>93</v>
      </c>
      <c r="E10" s="85" t="s">
        <v>94</v>
      </c>
      <c r="F10" s="85" t="s">
        <v>94</v>
      </c>
      <c r="G10" s="85" t="s">
        <v>95</v>
      </c>
      <c r="H10" s="85" t="s">
        <v>75</v>
      </c>
      <c r="I10" s="267"/>
    </row>
    <row r="11" spans="1:9" x14ac:dyDescent="0.25">
      <c r="A11" s="262"/>
      <c r="B11" s="264"/>
      <c r="C11" s="264"/>
      <c r="D11" s="86" t="s">
        <v>96</v>
      </c>
      <c r="E11" s="86" t="s">
        <v>97</v>
      </c>
      <c r="F11" s="86" t="s">
        <v>96</v>
      </c>
      <c r="G11" s="86" t="s">
        <v>98</v>
      </c>
      <c r="H11" s="86"/>
      <c r="I11" s="267"/>
    </row>
    <row r="12" spans="1:9" x14ac:dyDescent="0.25">
      <c r="A12" s="132">
        <v>1</v>
      </c>
      <c r="B12" s="87" t="s">
        <v>99</v>
      </c>
      <c r="C12" s="133" t="s">
        <v>3471</v>
      </c>
      <c r="D12" s="269" t="s">
        <v>1541</v>
      </c>
      <c r="E12" s="270"/>
      <c r="F12" s="270"/>
      <c r="G12" s="270"/>
      <c r="H12" s="271"/>
      <c r="I12" s="135">
        <f>SUM(D12:H12)</f>
        <v>0</v>
      </c>
    </row>
    <row r="13" spans="1:9" x14ac:dyDescent="0.25">
      <c r="A13" s="136"/>
      <c r="B13" s="137"/>
      <c r="C13" s="138"/>
      <c r="D13" s="138"/>
      <c r="E13" s="138"/>
      <c r="F13" s="138"/>
      <c r="G13" s="137"/>
      <c r="H13" s="139"/>
      <c r="I13" s="135">
        <f>SUM(D13:H13)</f>
        <v>0</v>
      </c>
    </row>
    <row r="14" spans="1:9" x14ac:dyDescent="0.25">
      <c r="A14" s="136"/>
      <c r="B14" s="137"/>
      <c r="C14" s="138"/>
      <c r="D14" s="137"/>
      <c r="E14" s="138"/>
      <c r="F14" s="138"/>
      <c r="G14" s="137"/>
      <c r="H14" s="139"/>
      <c r="I14" s="135">
        <f t="shared" ref="I14:I15" si="0">SUM(D14:H14)</f>
        <v>0</v>
      </c>
    </row>
    <row r="15" spans="1:9" x14ac:dyDescent="0.25">
      <c r="A15" s="136"/>
      <c r="B15" s="137"/>
      <c r="C15" s="137"/>
      <c r="D15" s="137"/>
      <c r="E15" s="138"/>
      <c r="F15" s="137"/>
      <c r="G15" s="137"/>
      <c r="H15" s="139"/>
      <c r="I15" s="135">
        <f t="shared" si="0"/>
        <v>0</v>
      </c>
    </row>
    <row r="16" spans="1:9" x14ac:dyDescent="0.25">
      <c r="A16" s="140"/>
      <c r="B16" s="137"/>
      <c r="C16" s="137"/>
      <c r="D16" s="137"/>
      <c r="E16" s="137"/>
      <c r="F16" s="137"/>
      <c r="G16" s="137"/>
      <c r="H16" s="139"/>
      <c r="I16" s="141"/>
    </row>
    <row r="17" spans="1:9" x14ac:dyDescent="0.25">
      <c r="A17" s="142"/>
      <c r="B17" s="143"/>
      <c r="C17" s="143"/>
      <c r="D17" s="143"/>
      <c r="E17" s="143"/>
      <c r="F17" s="143"/>
      <c r="G17" s="143"/>
      <c r="H17" s="144"/>
      <c r="I17" s="145"/>
    </row>
    <row r="18" spans="1:9" ht="15.75" thickBot="1" x14ac:dyDescent="0.3">
      <c r="A18" s="146"/>
      <c r="B18" s="147" t="s">
        <v>10</v>
      </c>
      <c r="C18" s="148"/>
      <c r="D18" s="148">
        <f t="shared" ref="D18" si="1">SUM(D12:D17)</f>
        <v>0</v>
      </c>
      <c r="E18" s="148">
        <f>SUM(E12:E17)</f>
        <v>0</v>
      </c>
      <c r="F18" s="148">
        <f>SUM(F12:F17)</f>
        <v>0</v>
      </c>
      <c r="G18" s="148">
        <f>SUM(G12:G17)</f>
        <v>0</v>
      </c>
      <c r="H18" s="148">
        <f t="shared" ref="H18:I18" si="2">SUM(H12:H17)</f>
        <v>0</v>
      </c>
      <c r="I18" s="149">
        <f t="shared" si="2"/>
        <v>0</v>
      </c>
    </row>
    <row r="20" spans="1:9" x14ac:dyDescent="0.25">
      <c r="G20" s="84" t="s">
        <v>3472</v>
      </c>
      <c r="H20" s="84"/>
    </row>
    <row r="23" spans="1:9" x14ac:dyDescent="0.25">
      <c r="F23" t="s">
        <v>3274</v>
      </c>
    </row>
    <row r="34" spans="1:9" x14ac:dyDescent="0.25">
      <c r="A34" t="s">
        <v>78</v>
      </c>
    </row>
    <row r="35" spans="1:9" x14ac:dyDescent="0.25">
      <c r="A35" t="s">
        <v>1</v>
      </c>
    </row>
    <row r="38" spans="1:9" x14ac:dyDescent="0.25">
      <c r="A38" s="268" t="s">
        <v>86</v>
      </c>
      <c r="B38" s="268"/>
      <c r="C38" s="268"/>
      <c r="D38" s="268"/>
      <c r="E38" s="268"/>
      <c r="F38" s="268"/>
      <c r="G38" s="268"/>
      <c r="H38" s="268"/>
      <c r="I38" s="268"/>
    </row>
    <row r="39" spans="1:9" x14ac:dyDescent="0.25">
      <c r="A39" s="268" t="s">
        <v>3473</v>
      </c>
      <c r="B39" s="268"/>
      <c r="C39" s="268"/>
      <c r="D39" s="268"/>
      <c r="E39" s="268"/>
      <c r="F39" s="268"/>
      <c r="G39" s="268"/>
      <c r="H39" s="268"/>
      <c r="I39" s="268"/>
    </row>
    <row r="40" spans="1:9" ht="15.75" thickBot="1" x14ac:dyDescent="0.3">
      <c r="I40" t="s">
        <v>3474</v>
      </c>
    </row>
    <row r="41" spans="1:9" x14ac:dyDescent="0.25">
      <c r="A41" s="261" t="s">
        <v>16</v>
      </c>
      <c r="B41" s="263" t="s">
        <v>8</v>
      </c>
      <c r="C41" s="263" t="s">
        <v>77</v>
      </c>
      <c r="D41" s="265" t="s">
        <v>87</v>
      </c>
      <c r="E41" s="265"/>
      <c r="F41" s="265"/>
      <c r="G41" s="265"/>
      <c r="H41" s="265"/>
      <c r="I41" s="266" t="s">
        <v>10</v>
      </c>
    </row>
    <row r="42" spans="1:9" x14ac:dyDescent="0.25">
      <c r="A42" s="262"/>
      <c r="B42" s="264"/>
      <c r="C42" s="264"/>
      <c r="D42" s="88" t="s">
        <v>88</v>
      </c>
      <c r="E42" s="88" t="s">
        <v>89</v>
      </c>
      <c r="F42" s="88" t="s">
        <v>90</v>
      </c>
      <c r="G42" s="88" t="s">
        <v>91</v>
      </c>
      <c r="H42" s="88" t="s">
        <v>92</v>
      </c>
      <c r="I42" s="267"/>
    </row>
    <row r="43" spans="1:9" x14ac:dyDescent="0.25">
      <c r="A43" s="262"/>
      <c r="B43" s="264"/>
      <c r="C43" s="264"/>
      <c r="D43" s="85" t="s">
        <v>93</v>
      </c>
      <c r="E43" s="85" t="s">
        <v>94</v>
      </c>
      <c r="F43" s="85" t="s">
        <v>94</v>
      </c>
      <c r="G43" s="85" t="s">
        <v>95</v>
      </c>
      <c r="H43" s="85" t="s">
        <v>75</v>
      </c>
      <c r="I43" s="267"/>
    </row>
    <row r="44" spans="1:9" x14ac:dyDescent="0.25">
      <c r="A44" s="262"/>
      <c r="B44" s="264"/>
      <c r="C44" s="264"/>
      <c r="D44" s="86" t="s">
        <v>96</v>
      </c>
      <c r="E44" s="86" t="s">
        <v>97</v>
      </c>
      <c r="F44" s="86" t="s">
        <v>96</v>
      </c>
      <c r="G44" s="86" t="s">
        <v>98</v>
      </c>
      <c r="H44" s="86"/>
      <c r="I44" s="267"/>
    </row>
    <row r="45" spans="1:9" x14ac:dyDescent="0.25">
      <c r="A45" s="132">
        <v>1</v>
      </c>
      <c r="B45" s="87" t="s">
        <v>99</v>
      </c>
      <c r="C45" s="133" t="s">
        <v>3475</v>
      </c>
      <c r="D45" s="133">
        <v>412045</v>
      </c>
      <c r="E45" s="133"/>
      <c r="F45" s="158">
        <v>10000</v>
      </c>
      <c r="G45" s="87"/>
      <c r="H45" s="134">
        <v>120000</v>
      </c>
      <c r="I45" s="135">
        <f>SUM(D45:H45)</f>
        <v>542045</v>
      </c>
    </row>
    <row r="46" spans="1:9" x14ac:dyDescent="0.25">
      <c r="A46" s="136"/>
      <c r="B46" s="137"/>
      <c r="C46" s="138"/>
      <c r="D46" s="138"/>
      <c r="E46" s="138"/>
      <c r="F46" s="138"/>
      <c r="G46" s="137"/>
      <c r="H46" s="139"/>
      <c r="I46" s="135">
        <f>SUM(D46:H46)</f>
        <v>0</v>
      </c>
    </row>
    <row r="47" spans="1:9" x14ac:dyDescent="0.25">
      <c r="A47" s="136"/>
      <c r="B47" s="137"/>
      <c r="C47" s="138"/>
      <c r="D47" s="137"/>
      <c r="E47" s="138"/>
      <c r="F47" s="138"/>
      <c r="G47" s="137"/>
      <c r="H47" s="139"/>
      <c r="I47" s="135">
        <f t="shared" ref="I47:I48" si="3">SUM(D47:H47)</f>
        <v>0</v>
      </c>
    </row>
    <row r="48" spans="1:9" x14ac:dyDescent="0.25">
      <c r="A48" s="136"/>
      <c r="B48" s="137"/>
      <c r="C48" s="137"/>
      <c r="D48" s="137"/>
      <c r="E48" s="138"/>
      <c r="F48" s="137"/>
      <c r="G48" s="137"/>
      <c r="H48" s="139"/>
      <c r="I48" s="135">
        <f t="shared" si="3"/>
        <v>0</v>
      </c>
    </row>
    <row r="49" spans="1:9" x14ac:dyDescent="0.25">
      <c r="A49" s="140"/>
      <c r="B49" s="137"/>
      <c r="C49" s="137"/>
      <c r="D49" s="137"/>
      <c r="E49" s="137"/>
      <c r="F49" s="137"/>
      <c r="G49" s="137"/>
      <c r="H49" s="139"/>
      <c r="I49" s="141"/>
    </row>
    <row r="50" spans="1:9" x14ac:dyDescent="0.25">
      <c r="A50" s="142"/>
      <c r="B50" s="143"/>
      <c r="C50" s="143"/>
      <c r="D50" s="143"/>
      <c r="E50" s="143"/>
      <c r="F50" s="143"/>
      <c r="G50" s="143"/>
      <c r="H50" s="144"/>
      <c r="I50" s="145"/>
    </row>
    <row r="51" spans="1:9" ht="15.75" thickBot="1" x14ac:dyDescent="0.3">
      <c r="A51" s="146"/>
      <c r="B51" s="147" t="s">
        <v>10</v>
      </c>
      <c r="C51" s="148"/>
      <c r="D51" s="148">
        <f t="shared" ref="D51" si="4">SUM(D45:D50)</f>
        <v>412045</v>
      </c>
      <c r="E51" s="148">
        <f>SUM(E45:E50)</f>
        <v>0</v>
      </c>
      <c r="F51" s="148">
        <f>SUM(F45:F50)</f>
        <v>10000</v>
      </c>
      <c r="G51" s="148">
        <f>SUM(G45:G50)</f>
        <v>0</v>
      </c>
      <c r="H51" s="148">
        <f t="shared" ref="H51:I51" si="5">SUM(H45:H50)</f>
        <v>120000</v>
      </c>
      <c r="I51" s="149">
        <f t="shared" si="5"/>
        <v>542045</v>
      </c>
    </row>
    <row r="53" spans="1:9" x14ac:dyDescent="0.25">
      <c r="G53" s="84" t="s">
        <v>3479</v>
      </c>
      <c r="H53" s="84"/>
    </row>
    <row r="56" spans="1:9" x14ac:dyDescent="0.25">
      <c r="F56" t="s">
        <v>3274</v>
      </c>
    </row>
    <row r="67" spans="1:9" x14ac:dyDescent="0.25">
      <c r="A67" t="s">
        <v>78</v>
      </c>
    </row>
    <row r="68" spans="1:9" x14ac:dyDescent="0.25">
      <c r="A68" t="s">
        <v>1</v>
      </c>
    </row>
    <row r="71" spans="1:9" x14ac:dyDescent="0.25">
      <c r="A71" s="268" t="s">
        <v>86</v>
      </c>
      <c r="B71" s="268"/>
      <c r="C71" s="268"/>
      <c r="D71" s="268"/>
      <c r="E71" s="268"/>
      <c r="F71" s="268"/>
      <c r="G71" s="268"/>
      <c r="H71" s="268"/>
      <c r="I71" s="268"/>
    </row>
    <row r="72" spans="1:9" x14ac:dyDescent="0.25">
      <c r="A72" s="268" t="s">
        <v>3473</v>
      </c>
      <c r="B72" s="268"/>
      <c r="C72" s="268"/>
      <c r="D72" s="268"/>
      <c r="E72" s="268"/>
      <c r="F72" s="268"/>
      <c r="G72" s="268"/>
      <c r="H72" s="268"/>
      <c r="I72" s="268"/>
    </row>
    <row r="73" spans="1:9" ht="15.75" thickBot="1" x14ac:dyDescent="0.3">
      <c r="I73" t="s">
        <v>3476</v>
      </c>
    </row>
    <row r="74" spans="1:9" x14ac:dyDescent="0.25">
      <c r="A74" s="261" t="s">
        <v>16</v>
      </c>
      <c r="B74" s="263" t="s">
        <v>8</v>
      </c>
      <c r="C74" s="263" t="s">
        <v>77</v>
      </c>
      <c r="D74" s="265" t="s">
        <v>87</v>
      </c>
      <c r="E74" s="265"/>
      <c r="F74" s="265"/>
      <c r="G74" s="265"/>
      <c r="H74" s="265"/>
      <c r="I74" s="266" t="s">
        <v>10</v>
      </c>
    </row>
    <row r="75" spans="1:9" x14ac:dyDescent="0.25">
      <c r="A75" s="262"/>
      <c r="B75" s="264"/>
      <c r="C75" s="264"/>
      <c r="D75" s="88" t="s">
        <v>88</v>
      </c>
      <c r="E75" s="88" t="s">
        <v>89</v>
      </c>
      <c r="F75" s="88" t="s">
        <v>90</v>
      </c>
      <c r="G75" s="88" t="s">
        <v>91</v>
      </c>
      <c r="H75" s="88" t="s">
        <v>92</v>
      </c>
      <c r="I75" s="267"/>
    </row>
    <row r="76" spans="1:9" x14ac:dyDescent="0.25">
      <c r="A76" s="262"/>
      <c r="B76" s="264"/>
      <c r="C76" s="264"/>
      <c r="D76" s="85" t="s">
        <v>93</v>
      </c>
      <c r="E76" s="85" t="s">
        <v>94</v>
      </c>
      <c r="F76" s="85" t="s">
        <v>94</v>
      </c>
      <c r="G76" s="85" t="s">
        <v>95</v>
      </c>
      <c r="H76" s="85" t="s">
        <v>75</v>
      </c>
      <c r="I76" s="267"/>
    </row>
    <row r="77" spans="1:9" x14ac:dyDescent="0.25">
      <c r="A77" s="262"/>
      <c r="B77" s="264"/>
      <c r="C77" s="264"/>
      <c r="D77" s="86" t="s">
        <v>96</v>
      </c>
      <c r="E77" s="86" t="s">
        <v>97</v>
      </c>
      <c r="F77" s="86" t="s">
        <v>96</v>
      </c>
      <c r="G77" s="86" t="s">
        <v>98</v>
      </c>
      <c r="H77" s="86"/>
      <c r="I77" s="267"/>
    </row>
    <row r="78" spans="1:9" x14ac:dyDescent="0.25">
      <c r="A78" s="132">
        <v>1</v>
      </c>
      <c r="B78" s="87" t="s">
        <v>99</v>
      </c>
      <c r="C78" s="133" t="s">
        <v>3477</v>
      </c>
      <c r="D78" s="133">
        <v>96478</v>
      </c>
      <c r="E78" s="133"/>
      <c r="F78" s="158">
        <v>10000</v>
      </c>
      <c r="G78" s="87"/>
      <c r="H78" s="134">
        <v>40000</v>
      </c>
      <c r="I78" s="135">
        <f>SUM(D78:H78)</f>
        <v>146478</v>
      </c>
    </row>
    <row r="79" spans="1:9" x14ac:dyDescent="0.25">
      <c r="A79" s="136"/>
      <c r="B79" s="137"/>
      <c r="C79" s="138"/>
      <c r="D79" s="138"/>
      <c r="E79" s="138"/>
      <c r="F79" s="138"/>
      <c r="G79" s="137"/>
      <c r="H79" s="139"/>
      <c r="I79" s="135">
        <f>SUM(D79:H79)</f>
        <v>0</v>
      </c>
    </row>
    <row r="80" spans="1:9" x14ac:dyDescent="0.25">
      <c r="A80" s="136"/>
      <c r="B80" s="137"/>
      <c r="C80" s="138"/>
      <c r="D80" s="137"/>
      <c r="E80" s="138"/>
      <c r="F80" s="138"/>
      <c r="G80" s="137"/>
      <c r="H80" s="139"/>
      <c r="I80" s="135">
        <f t="shared" ref="I80:I81" si="6">SUM(D80:H80)</f>
        <v>0</v>
      </c>
    </row>
    <row r="81" spans="1:9" x14ac:dyDescent="0.25">
      <c r="A81" s="136"/>
      <c r="B81" s="137"/>
      <c r="C81" s="137"/>
      <c r="D81" s="137"/>
      <c r="E81" s="138"/>
      <c r="F81" s="137"/>
      <c r="G81" s="137"/>
      <c r="H81" s="139"/>
      <c r="I81" s="135">
        <f t="shared" si="6"/>
        <v>0</v>
      </c>
    </row>
    <row r="82" spans="1:9" x14ac:dyDescent="0.25">
      <c r="A82" s="140"/>
      <c r="B82" s="137"/>
      <c r="C82" s="137"/>
      <c r="D82" s="137"/>
      <c r="E82" s="137"/>
      <c r="F82" s="137"/>
      <c r="G82" s="137"/>
      <c r="H82" s="139"/>
      <c r="I82" s="141"/>
    </row>
    <row r="83" spans="1:9" x14ac:dyDescent="0.25">
      <c r="A83" s="142"/>
      <c r="B83" s="143"/>
      <c r="C83" s="143"/>
      <c r="D83" s="143"/>
      <c r="E83" s="143"/>
      <c r="F83" s="143"/>
      <c r="G83" s="143"/>
      <c r="H83" s="144"/>
      <c r="I83" s="145"/>
    </row>
    <row r="84" spans="1:9" ht="15.75" thickBot="1" x14ac:dyDescent="0.3">
      <c r="A84" s="146"/>
      <c r="B84" s="147" t="s">
        <v>10</v>
      </c>
      <c r="C84" s="148"/>
      <c r="D84" s="148">
        <f t="shared" ref="D84" si="7">SUM(D78:D83)</f>
        <v>96478</v>
      </c>
      <c r="E84" s="148">
        <f>SUM(E78:E83)</f>
        <v>0</v>
      </c>
      <c r="F84" s="148">
        <f>SUM(F78:F83)</f>
        <v>10000</v>
      </c>
      <c r="G84" s="148">
        <f>SUM(G78:G83)</f>
        <v>0</v>
      </c>
      <c r="H84" s="148">
        <f t="shared" ref="H84:I84" si="8">SUM(H78:H83)</f>
        <v>40000</v>
      </c>
      <c r="I84" s="149">
        <f t="shared" si="8"/>
        <v>146478</v>
      </c>
    </row>
    <row r="86" spans="1:9" x14ac:dyDescent="0.25">
      <c r="G86" s="84" t="s">
        <v>3478</v>
      </c>
      <c r="H86" s="84"/>
    </row>
    <row r="89" spans="1:9" x14ac:dyDescent="0.25">
      <c r="F89" t="s">
        <v>3274</v>
      </c>
    </row>
    <row r="100" spans="1:9" x14ac:dyDescent="0.25">
      <c r="A100" t="s">
        <v>78</v>
      </c>
    </row>
    <row r="101" spans="1:9" x14ac:dyDescent="0.25">
      <c r="A101" t="s">
        <v>1</v>
      </c>
    </row>
    <row r="104" spans="1:9" x14ac:dyDescent="0.25">
      <c r="A104" s="268" t="s">
        <v>86</v>
      </c>
      <c r="B104" s="268"/>
      <c r="C104" s="268"/>
      <c r="D104" s="268"/>
      <c r="E104" s="268"/>
      <c r="F104" s="268"/>
      <c r="G104" s="268"/>
      <c r="H104" s="268"/>
      <c r="I104" s="268"/>
    </row>
    <row r="105" spans="1:9" x14ac:dyDescent="0.25">
      <c r="A105" s="268" t="s">
        <v>3473</v>
      </c>
      <c r="B105" s="268"/>
      <c r="C105" s="268"/>
      <c r="D105" s="268"/>
      <c r="E105" s="268"/>
      <c r="F105" s="268"/>
      <c r="G105" s="268"/>
      <c r="H105" s="268"/>
      <c r="I105" s="268"/>
    </row>
    <row r="106" spans="1:9" ht="15.75" thickBot="1" x14ac:dyDescent="0.3">
      <c r="I106" t="s">
        <v>3480</v>
      </c>
    </row>
    <row r="107" spans="1:9" x14ac:dyDescent="0.25">
      <c r="A107" s="261" t="s">
        <v>16</v>
      </c>
      <c r="B107" s="263" t="s">
        <v>8</v>
      </c>
      <c r="C107" s="263" t="s">
        <v>77</v>
      </c>
      <c r="D107" s="265" t="s">
        <v>87</v>
      </c>
      <c r="E107" s="265"/>
      <c r="F107" s="265"/>
      <c r="G107" s="265"/>
      <c r="H107" s="265"/>
      <c r="I107" s="266" t="s">
        <v>10</v>
      </c>
    </row>
    <row r="108" spans="1:9" x14ac:dyDescent="0.25">
      <c r="A108" s="262"/>
      <c r="B108" s="264"/>
      <c r="C108" s="264"/>
      <c r="D108" s="88" t="s">
        <v>88</v>
      </c>
      <c r="E108" s="88" t="s">
        <v>89</v>
      </c>
      <c r="F108" s="88" t="s">
        <v>90</v>
      </c>
      <c r="G108" s="88" t="s">
        <v>91</v>
      </c>
      <c r="H108" s="88" t="s">
        <v>92</v>
      </c>
      <c r="I108" s="267"/>
    </row>
    <row r="109" spans="1:9" x14ac:dyDescent="0.25">
      <c r="A109" s="262"/>
      <c r="B109" s="264"/>
      <c r="C109" s="264"/>
      <c r="D109" s="85" t="s">
        <v>93</v>
      </c>
      <c r="E109" s="85" t="s">
        <v>94</v>
      </c>
      <c r="F109" s="85" t="s">
        <v>94</v>
      </c>
      <c r="G109" s="85" t="s">
        <v>95</v>
      </c>
      <c r="H109" s="85" t="s">
        <v>75</v>
      </c>
      <c r="I109" s="267"/>
    </row>
    <row r="110" spans="1:9" x14ac:dyDescent="0.25">
      <c r="A110" s="262"/>
      <c r="B110" s="264"/>
      <c r="C110" s="264"/>
      <c r="D110" s="86" t="s">
        <v>96</v>
      </c>
      <c r="E110" s="86" t="s">
        <v>97</v>
      </c>
      <c r="F110" s="86" t="s">
        <v>96</v>
      </c>
      <c r="G110" s="86" t="s">
        <v>98</v>
      </c>
      <c r="H110" s="86"/>
      <c r="I110" s="267"/>
    </row>
    <row r="111" spans="1:9" x14ac:dyDescent="0.25">
      <c r="A111" s="132">
        <v>1</v>
      </c>
      <c r="B111" s="87" t="s">
        <v>99</v>
      </c>
      <c r="C111" s="133" t="s">
        <v>3481</v>
      </c>
      <c r="D111" s="133">
        <v>12219303</v>
      </c>
      <c r="E111" s="133"/>
      <c r="F111" s="158">
        <v>665000</v>
      </c>
      <c r="G111" s="87"/>
      <c r="H111" s="134">
        <f>2460000*2</f>
        <v>4920000</v>
      </c>
      <c r="I111" s="135">
        <f>SUM(D111:H111)</f>
        <v>17804303</v>
      </c>
    </row>
    <row r="112" spans="1:9" x14ac:dyDescent="0.25">
      <c r="A112" s="136"/>
      <c r="B112" s="137"/>
      <c r="C112" s="138"/>
      <c r="D112" s="138"/>
      <c r="E112" s="138"/>
      <c r="F112" s="138"/>
      <c r="G112" s="137"/>
      <c r="H112" s="139"/>
      <c r="I112" s="135">
        <f>SUM(D112:H112)</f>
        <v>0</v>
      </c>
    </row>
    <row r="113" spans="1:9" x14ac:dyDescent="0.25">
      <c r="A113" s="136"/>
      <c r="B113" s="137"/>
      <c r="C113" s="138"/>
      <c r="D113" s="137"/>
      <c r="E113" s="138"/>
      <c r="F113" s="138"/>
      <c r="G113" s="137"/>
      <c r="H113" s="139"/>
      <c r="I113" s="135">
        <f t="shared" ref="I113:I114" si="9">SUM(D113:H113)</f>
        <v>0</v>
      </c>
    </row>
    <row r="114" spans="1:9" x14ac:dyDescent="0.25">
      <c r="A114" s="136"/>
      <c r="B114" s="137"/>
      <c r="C114" s="137"/>
      <c r="D114" s="137"/>
      <c r="E114" s="138"/>
      <c r="F114" s="137"/>
      <c r="G114" s="137"/>
      <c r="H114" s="139"/>
      <c r="I114" s="135">
        <f t="shared" si="9"/>
        <v>0</v>
      </c>
    </row>
    <row r="115" spans="1:9" x14ac:dyDescent="0.25">
      <c r="A115" s="140"/>
      <c r="B115" s="137"/>
      <c r="C115" s="137"/>
      <c r="D115" s="137"/>
      <c r="E115" s="137"/>
      <c r="F115" s="137"/>
      <c r="G115" s="137"/>
      <c r="H115" s="139"/>
      <c r="I115" s="141"/>
    </row>
    <row r="116" spans="1:9" x14ac:dyDescent="0.25">
      <c r="A116" s="142"/>
      <c r="B116" s="143"/>
      <c r="C116" s="143"/>
      <c r="D116" s="143"/>
      <c r="E116" s="143"/>
      <c r="F116" s="143"/>
      <c r="G116" s="143"/>
      <c r="H116" s="144"/>
      <c r="I116" s="145"/>
    </row>
    <row r="117" spans="1:9" ht="15.75" thickBot="1" x14ac:dyDescent="0.3">
      <c r="A117" s="146"/>
      <c r="B117" s="147" t="s">
        <v>10</v>
      </c>
      <c r="C117" s="148"/>
      <c r="D117" s="148">
        <f t="shared" ref="D117" si="10">SUM(D111:D116)</f>
        <v>12219303</v>
      </c>
      <c r="E117" s="148">
        <f>SUM(E111:E116)</f>
        <v>0</v>
      </c>
      <c r="F117" s="148">
        <f>SUM(F111:F116)</f>
        <v>665000</v>
      </c>
      <c r="G117" s="148">
        <f>SUM(G111:G116)</f>
        <v>0</v>
      </c>
      <c r="H117" s="148">
        <f t="shared" ref="H117:I117" si="11">SUM(H111:H116)</f>
        <v>4920000</v>
      </c>
      <c r="I117" s="149">
        <f t="shared" si="11"/>
        <v>17804303</v>
      </c>
    </row>
    <row r="119" spans="1:9" x14ac:dyDescent="0.25">
      <c r="G119" s="84" t="s">
        <v>3482</v>
      </c>
      <c r="H119" s="84"/>
    </row>
    <row r="122" spans="1:9" x14ac:dyDescent="0.25">
      <c r="F122" t="s">
        <v>3274</v>
      </c>
    </row>
    <row r="133" spans="1:9" x14ac:dyDescent="0.25">
      <c r="A133" t="s">
        <v>78</v>
      </c>
    </row>
    <row r="134" spans="1:9" x14ac:dyDescent="0.25">
      <c r="A134" t="s">
        <v>1</v>
      </c>
    </row>
    <row r="137" spans="1:9" x14ac:dyDescent="0.25">
      <c r="A137" s="268" t="s">
        <v>86</v>
      </c>
      <c r="B137" s="268"/>
      <c r="C137" s="268"/>
      <c r="D137" s="268"/>
      <c r="E137" s="268"/>
      <c r="F137" s="268"/>
      <c r="G137" s="268"/>
      <c r="H137" s="268"/>
      <c r="I137" s="268"/>
    </row>
    <row r="138" spans="1:9" x14ac:dyDescent="0.25">
      <c r="A138" s="268" t="s">
        <v>3473</v>
      </c>
      <c r="B138" s="268"/>
      <c r="C138" s="268"/>
      <c r="D138" s="268"/>
      <c r="E138" s="268"/>
      <c r="F138" s="268"/>
      <c r="G138" s="268"/>
      <c r="H138" s="268"/>
      <c r="I138" s="268"/>
    </row>
    <row r="139" spans="1:9" ht="15.75" thickBot="1" x14ac:dyDescent="0.3">
      <c r="I139" t="s">
        <v>3483</v>
      </c>
    </row>
    <row r="140" spans="1:9" x14ac:dyDescent="0.25">
      <c r="A140" s="261" t="s">
        <v>16</v>
      </c>
      <c r="B140" s="263" t="s">
        <v>8</v>
      </c>
      <c r="C140" s="263" t="s">
        <v>77</v>
      </c>
      <c r="D140" s="265" t="s">
        <v>87</v>
      </c>
      <c r="E140" s="265"/>
      <c r="F140" s="265"/>
      <c r="G140" s="265"/>
      <c r="H140" s="265"/>
      <c r="I140" s="266" t="s">
        <v>10</v>
      </c>
    </row>
    <row r="141" spans="1:9" x14ac:dyDescent="0.25">
      <c r="A141" s="262"/>
      <c r="B141" s="264"/>
      <c r="C141" s="264"/>
      <c r="D141" s="88" t="s">
        <v>88</v>
      </c>
      <c r="E141" s="88" t="s">
        <v>89</v>
      </c>
      <c r="F141" s="88" t="s">
        <v>90</v>
      </c>
      <c r="G141" s="88" t="s">
        <v>91</v>
      </c>
      <c r="H141" s="88" t="s">
        <v>92</v>
      </c>
      <c r="I141" s="267"/>
    </row>
    <row r="142" spans="1:9" x14ac:dyDescent="0.25">
      <c r="A142" s="262"/>
      <c r="B142" s="264"/>
      <c r="C142" s="264"/>
      <c r="D142" s="85" t="s">
        <v>93</v>
      </c>
      <c r="E142" s="85" t="s">
        <v>94</v>
      </c>
      <c r="F142" s="85" t="s">
        <v>94</v>
      </c>
      <c r="G142" s="85" t="s">
        <v>95</v>
      </c>
      <c r="H142" s="85" t="s">
        <v>75</v>
      </c>
      <c r="I142" s="267"/>
    </row>
    <row r="143" spans="1:9" x14ac:dyDescent="0.25">
      <c r="A143" s="262"/>
      <c r="B143" s="264"/>
      <c r="C143" s="264"/>
      <c r="D143" s="86" t="s">
        <v>96</v>
      </c>
      <c r="E143" s="86" t="s">
        <v>97</v>
      </c>
      <c r="F143" s="86" t="s">
        <v>96</v>
      </c>
      <c r="G143" s="86" t="s">
        <v>98</v>
      </c>
      <c r="H143" s="86"/>
      <c r="I143" s="267"/>
    </row>
    <row r="144" spans="1:9" x14ac:dyDescent="0.25">
      <c r="A144" s="132">
        <v>1</v>
      </c>
      <c r="B144" s="87" t="s">
        <v>99</v>
      </c>
      <c r="C144" s="133" t="s">
        <v>3484</v>
      </c>
      <c r="D144" s="133">
        <v>9090558</v>
      </c>
      <c r="E144" s="133"/>
      <c r="F144" s="158">
        <v>380000</v>
      </c>
      <c r="G144" s="87"/>
      <c r="H144" s="134">
        <f>1430000*2</f>
        <v>2860000</v>
      </c>
      <c r="I144" s="135">
        <f>SUM(D144:H144)</f>
        <v>12330558</v>
      </c>
    </row>
    <row r="145" spans="1:9" x14ac:dyDescent="0.25">
      <c r="A145" s="136"/>
      <c r="B145" s="137"/>
      <c r="C145" s="138"/>
      <c r="D145" s="138"/>
      <c r="E145" s="138"/>
      <c r="F145" s="138"/>
      <c r="G145" s="137"/>
      <c r="H145" s="139"/>
      <c r="I145" s="135">
        <f>SUM(D145:H145)</f>
        <v>0</v>
      </c>
    </row>
    <row r="146" spans="1:9" x14ac:dyDescent="0.25">
      <c r="A146" s="136"/>
      <c r="B146" s="137"/>
      <c r="C146" s="138"/>
      <c r="D146" s="137"/>
      <c r="E146" s="138"/>
      <c r="F146" s="138"/>
      <c r="G146" s="137"/>
      <c r="H146" s="139"/>
      <c r="I146" s="135">
        <f t="shared" ref="I146:I147" si="12">SUM(D146:H146)</f>
        <v>0</v>
      </c>
    </row>
    <row r="147" spans="1:9" x14ac:dyDescent="0.25">
      <c r="A147" s="136"/>
      <c r="B147" s="137"/>
      <c r="C147" s="137"/>
      <c r="D147" s="137"/>
      <c r="E147" s="138"/>
      <c r="F147" s="137"/>
      <c r="G147" s="137"/>
      <c r="H147" s="139"/>
      <c r="I147" s="135">
        <f t="shared" si="12"/>
        <v>0</v>
      </c>
    </row>
    <row r="148" spans="1:9" x14ac:dyDescent="0.25">
      <c r="A148" s="140"/>
      <c r="B148" s="137"/>
      <c r="C148" s="137"/>
      <c r="D148" s="137"/>
      <c r="E148" s="137"/>
      <c r="F148" s="137"/>
      <c r="G148" s="137"/>
      <c r="H148" s="139"/>
      <c r="I148" s="141"/>
    </row>
    <row r="149" spans="1:9" x14ac:dyDescent="0.25">
      <c r="A149" s="142"/>
      <c r="B149" s="143"/>
      <c r="C149" s="143"/>
      <c r="D149" s="143"/>
      <c r="E149" s="143"/>
      <c r="F149" s="143"/>
      <c r="G149" s="143"/>
      <c r="H149" s="144"/>
      <c r="I149" s="145"/>
    </row>
    <row r="150" spans="1:9" ht="15.75" thickBot="1" x14ac:dyDescent="0.3">
      <c r="A150" s="146"/>
      <c r="B150" s="147" t="s">
        <v>10</v>
      </c>
      <c r="C150" s="148"/>
      <c r="D150" s="148">
        <f t="shared" ref="D150" si="13">SUM(D144:D149)</f>
        <v>9090558</v>
      </c>
      <c r="E150" s="148">
        <f>SUM(E144:E149)</f>
        <v>0</v>
      </c>
      <c r="F150" s="148">
        <f>SUM(F144:F149)</f>
        <v>380000</v>
      </c>
      <c r="G150" s="148">
        <f>SUM(G144:G149)</f>
        <v>0</v>
      </c>
      <c r="H150" s="148">
        <f t="shared" ref="H150:I150" si="14">SUM(H144:H149)</f>
        <v>2860000</v>
      </c>
      <c r="I150" s="149">
        <f t="shared" si="14"/>
        <v>12330558</v>
      </c>
    </row>
    <row r="152" spans="1:9" x14ac:dyDescent="0.25">
      <c r="G152" s="84" t="s">
        <v>3485</v>
      </c>
      <c r="H152" s="84"/>
    </row>
    <row r="155" spans="1:9" x14ac:dyDescent="0.25">
      <c r="F155" t="s">
        <v>3274</v>
      </c>
    </row>
    <row r="166" spans="1:9" x14ac:dyDescent="0.25">
      <c r="A166" t="s">
        <v>78</v>
      </c>
    </row>
    <row r="167" spans="1:9" x14ac:dyDescent="0.25">
      <c r="A167" t="s">
        <v>1</v>
      </c>
    </row>
    <row r="170" spans="1:9" x14ac:dyDescent="0.25">
      <c r="A170" s="268" t="s">
        <v>86</v>
      </c>
      <c r="B170" s="268"/>
      <c r="C170" s="268"/>
      <c r="D170" s="268"/>
      <c r="E170" s="268"/>
      <c r="F170" s="268"/>
      <c r="G170" s="268"/>
      <c r="H170" s="268"/>
      <c r="I170" s="268"/>
    </row>
    <row r="171" spans="1:9" x14ac:dyDescent="0.25">
      <c r="A171" s="268" t="s">
        <v>3473</v>
      </c>
      <c r="B171" s="268"/>
      <c r="C171" s="268"/>
      <c r="D171" s="268"/>
      <c r="E171" s="268"/>
      <c r="F171" s="268"/>
      <c r="G171" s="268"/>
      <c r="H171" s="268"/>
      <c r="I171" s="268"/>
    </row>
    <row r="172" spans="1:9" ht="15.75" thickBot="1" x14ac:dyDescent="0.3">
      <c r="I172" t="s">
        <v>3488</v>
      </c>
    </row>
    <row r="173" spans="1:9" x14ac:dyDescent="0.25">
      <c r="A173" s="261" t="s">
        <v>16</v>
      </c>
      <c r="B173" s="263" t="s">
        <v>8</v>
      </c>
      <c r="C173" s="263" t="s">
        <v>77</v>
      </c>
      <c r="D173" s="265" t="s">
        <v>87</v>
      </c>
      <c r="E173" s="265"/>
      <c r="F173" s="265"/>
      <c r="G173" s="265"/>
      <c r="H173" s="265"/>
      <c r="I173" s="266" t="s">
        <v>10</v>
      </c>
    </row>
    <row r="174" spans="1:9" x14ac:dyDescent="0.25">
      <c r="A174" s="262"/>
      <c r="B174" s="264"/>
      <c r="C174" s="264"/>
      <c r="D174" s="88" t="s">
        <v>88</v>
      </c>
      <c r="E174" s="88" t="s">
        <v>89</v>
      </c>
      <c r="F174" s="88" t="s">
        <v>90</v>
      </c>
      <c r="G174" s="88" t="s">
        <v>91</v>
      </c>
      <c r="H174" s="88" t="s">
        <v>92</v>
      </c>
      <c r="I174" s="267"/>
    </row>
    <row r="175" spans="1:9" x14ac:dyDescent="0.25">
      <c r="A175" s="262"/>
      <c r="B175" s="264"/>
      <c r="C175" s="264"/>
      <c r="D175" s="85" t="s">
        <v>93</v>
      </c>
      <c r="E175" s="85" t="s">
        <v>94</v>
      </c>
      <c r="F175" s="85" t="s">
        <v>94</v>
      </c>
      <c r="G175" s="85" t="s">
        <v>95</v>
      </c>
      <c r="H175" s="85" t="s">
        <v>75</v>
      </c>
      <c r="I175" s="267"/>
    </row>
    <row r="176" spans="1:9" x14ac:dyDescent="0.25">
      <c r="A176" s="262"/>
      <c r="B176" s="264"/>
      <c r="C176" s="264"/>
      <c r="D176" s="86" t="s">
        <v>96</v>
      </c>
      <c r="E176" s="86" t="s">
        <v>97</v>
      </c>
      <c r="F176" s="86" t="s">
        <v>96</v>
      </c>
      <c r="G176" s="86" t="s">
        <v>98</v>
      </c>
      <c r="H176" s="86"/>
      <c r="I176" s="267"/>
    </row>
    <row r="177" spans="1:9" x14ac:dyDescent="0.25">
      <c r="A177" s="132">
        <v>1</v>
      </c>
      <c r="B177" s="87" t="s">
        <v>99</v>
      </c>
      <c r="C177" s="133" t="s">
        <v>3489</v>
      </c>
      <c r="D177" s="133">
        <v>11501270</v>
      </c>
      <c r="E177" s="133">
        <f>BPTRNA!E17</f>
        <v>2625000</v>
      </c>
      <c r="F177" s="158">
        <v>780000</v>
      </c>
      <c r="G177" s="87"/>
      <c r="H177" s="134">
        <f>2560000*2</f>
        <v>5120000</v>
      </c>
      <c r="I177" s="135">
        <f>SUM(D177:H177)</f>
        <v>20026270</v>
      </c>
    </row>
    <row r="178" spans="1:9" x14ac:dyDescent="0.25">
      <c r="A178" s="136"/>
      <c r="B178" s="137"/>
      <c r="C178" s="138"/>
      <c r="D178" s="138"/>
      <c r="E178" s="138"/>
      <c r="F178" s="138"/>
      <c r="G178" s="137"/>
      <c r="H178" s="139"/>
      <c r="I178" s="135">
        <f>SUM(D178:H178)</f>
        <v>0</v>
      </c>
    </row>
    <row r="179" spans="1:9" x14ac:dyDescent="0.25">
      <c r="A179" s="136"/>
      <c r="B179" s="137"/>
      <c r="C179" s="138"/>
      <c r="D179" s="137"/>
      <c r="E179" s="138"/>
      <c r="F179" s="138"/>
      <c r="G179" s="137"/>
      <c r="H179" s="139"/>
      <c r="I179" s="135">
        <f t="shared" ref="I179:I180" si="15">SUM(D179:H179)</f>
        <v>0</v>
      </c>
    </row>
    <row r="180" spans="1:9" x14ac:dyDescent="0.25">
      <c r="A180" s="136"/>
      <c r="B180" s="137"/>
      <c r="C180" s="137"/>
      <c r="D180" s="137"/>
      <c r="E180" s="138"/>
      <c r="F180" s="137"/>
      <c r="G180" s="137"/>
      <c r="H180" s="139"/>
      <c r="I180" s="135">
        <f t="shared" si="15"/>
        <v>0</v>
      </c>
    </row>
    <row r="181" spans="1:9" x14ac:dyDescent="0.25">
      <c r="A181" s="140"/>
      <c r="B181" s="137"/>
      <c r="C181" s="137"/>
      <c r="D181" s="137"/>
      <c r="E181" s="137"/>
      <c r="F181" s="137"/>
      <c r="G181" s="137"/>
      <c r="H181" s="139"/>
      <c r="I181" s="141"/>
    </row>
    <row r="182" spans="1:9" x14ac:dyDescent="0.25">
      <c r="A182" s="142"/>
      <c r="B182" s="143"/>
      <c r="C182" s="143"/>
      <c r="D182" s="143"/>
      <c r="E182" s="143"/>
      <c r="F182" s="143"/>
      <c r="G182" s="143"/>
      <c r="H182" s="144"/>
      <c r="I182" s="145"/>
    </row>
    <row r="183" spans="1:9" ht="15.75" thickBot="1" x14ac:dyDescent="0.3">
      <c r="A183" s="146"/>
      <c r="B183" s="147" t="s">
        <v>10</v>
      </c>
      <c r="C183" s="148"/>
      <c r="D183" s="148">
        <f t="shared" ref="D183" si="16">SUM(D177:D182)</f>
        <v>11501270</v>
      </c>
      <c r="E183" s="148">
        <f>SUM(E177:E182)</f>
        <v>2625000</v>
      </c>
      <c r="F183" s="148">
        <f>SUM(F177:F182)</f>
        <v>780000</v>
      </c>
      <c r="G183" s="148">
        <f>SUM(G177:G182)</f>
        <v>0</v>
      </c>
      <c r="H183" s="148">
        <f t="shared" ref="H183:I183" si="17">SUM(H177:H182)</f>
        <v>5120000</v>
      </c>
      <c r="I183" s="149">
        <f t="shared" si="17"/>
        <v>20026270</v>
      </c>
    </row>
    <row r="185" spans="1:9" x14ac:dyDescent="0.25">
      <c r="G185" s="84" t="s">
        <v>3486</v>
      </c>
      <c r="H185" s="84"/>
    </row>
    <row r="188" spans="1:9" x14ac:dyDescent="0.25">
      <c r="F188" t="s">
        <v>3274</v>
      </c>
    </row>
    <row r="199" spans="1:9" x14ac:dyDescent="0.25">
      <c r="A199" t="s">
        <v>78</v>
      </c>
    </row>
    <row r="200" spans="1:9" x14ac:dyDescent="0.25">
      <c r="A200" t="s">
        <v>1</v>
      </c>
    </row>
    <row r="203" spans="1:9" x14ac:dyDescent="0.25">
      <c r="A203" s="268" t="s">
        <v>86</v>
      </c>
      <c r="B203" s="268"/>
      <c r="C203" s="268"/>
      <c r="D203" s="268"/>
      <c r="E203" s="268"/>
      <c r="F203" s="268"/>
      <c r="G203" s="268"/>
      <c r="H203" s="268"/>
      <c r="I203" s="268"/>
    </row>
    <row r="204" spans="1:9" x14ac:dyDescent="0.25">
      <c r="A204" s="268" t="s">
        <v>3473</v>
      </c>
      <c r="B204" s="268"/>
      <c r="C204" s="268"/>
      <c r="D204" s="268"/>
      <c r="E204" s="268"/>
      <c r="F204" s="268"/>
      <c r="G204" s="268"/>
      <c r="H204" s="268"/>
      <c r="I204" s="268"/>
    </row>
    <row r="205" spans="1:9" ht="15.75" thickBot="1" x14ac:dyDescent="0.3">
      <c r="I205" t="s">
        <v>3490</v>
      </c>
    </row>
    <row r="206" spans="1:9" x14ac:dyDescent="0.25">
      <c r="A206" s="261" t="s">
        <v>16</v>
      </c>
      <c r="B206" s="263" t="s">
        <v>8</v>
      </c>
      <c r="C206" s="263" t="s">
        <v>77</v>
      </c>
      <c r="D206" s="265" t="s">
        <v>87</v>
      </c>
      <c r="E206" s="265"/>
      <c r="F206" s="265"/>
      <c r="G206" s="265"/>
      <c r="H206" s="265"/>
      <c r="I206" s="266" t="s">
        <v>10</v>
      </c>
    </row>
    <row r="207" spans="1:9" x14ac:dyDescent="0.25">
      <c r="A207" s="262"/>
      <c r="B207" s="264"/>
      <c r="C207" s="264"/>
      <c r="D207" s="88" t="s">
        <v>88</v>
      </c>
      <c r="E207" s="88" t="s">
        <v>89</v>
      </c>
      <c r="F207" s="88" t="s">
        <v>90</v>
      </c>
      <c r="G207" s="88" t="s">
        <v>91</v>
      </c>
      <c r="H207" s="88" t="s">
        <v>92</v>
      </c>
      <c r="I207" s="267"/>
    </row>
    <row r="208" spans="1:9" x14ac:dyDescent="0.25">
      <c r="A208" s="262"/>
      <c r="B208" s="264"/>
      <c r="C208" s="264"/>
      <c r="D208" s="85" t="s">
        <v>93</v>
      </c>
      <c r="E208" s="85" t="s">
        <v>94</v>
      </c>
      <c r="F208" s="85" t="s">
        <v>94</v>
      </c>
      <c r="G208" s="85" t="s">
        <v>95</v>
      </c>
      <c r="H208" s="85" t="s">
        <v>75</v>
      </c>
      <c r="I208" s="267"/>
    </row>
    <row r="209" spans="1:9" x14ac:dyDescent="0.25">
      <c r="A209" s="262"/>
      <c r="B209" s="264"/>
      <c r="C209" s="264"/>
      <c r="D209" s="86" t="s">
        <v>96</v>
      </c>
      <c r="E209" s="86" t="s">
        <v>97</v>
      </c>
      <c r="F209" s="86" t="s">
        <v>96</v>
      </c>
      <c r="G209" s="86" t="s">
        <v>98</v>
      </c>
      <c r="H209" s="86"/>
      <c r="I209" s="267"/>
    </row>
    <row r="210" spans="1:9" x14ac:dyDescent="0.25">
      <c r="A210" s="132">
        <v>1</v>
      </c>
      <c r="B210" s="87" t="s">
        <v>99</v>
      </c>
      <c r="C210" s="133" t="s">
        <v>3491</v>
      </c>
      <c r="D210" s="133">
        <v>4588042</v>
      </c>
      <c r="E210" s="133"/>
      <c r="F210" s="158">
        <v>290000</v>
      </c>
      <c r="G210" s="87"/>
      <c r="H210" s="134">
        <f>930000*2</f>
        <v>1860000</v>
      </c>
      <c r="I210" s="135">
        <f>SUM(D210:H210)</f>
        <v>6738042</v>
      </c>
    </row>
    <row r="211" spans="1:9" x14ac:dyDescent="0.25">
      <c r="A211" s="136"/>
      <c r="B211" s="137"/>
      <c r="C211" s="138"/>
      <c r="D211" s="138"/>
      <c r="E211" s="138"/>
      <c r="F211" s="138"/>
      <c r="G211" s="137"/>
      <c r="H211" s="139"/>
      <c r="I211" s="135">
        <f>SUM(D211:H211)</f>
        <v>0</v>
      </c>
    </row>
    <row r="212" spans="1:9" x14ac:dyDescent="0.25">
      <c r="A212" s="136"/>
      <c r="B212" s="137"/>
      <c r="C212" s="138"/>
      <c r="D212" s="137"/>
      <c r="E212" s="138"/>
      <c r="F212" s="138"/>
      <c r="G212" s="137"/>
      <c r="H212" s="139"/>
      <c r="I212" s="135">
        <f t="shared" ref="I212:I213" si="18">SUM(D212:H212)</f>
        <v>0</v>
      </c>
    </row>
    <row r="213" spans="1:9" x14ac:dyDescent="0.25">
      <c r="A213" s="136"/>
      <c r="B213" s="137"/>
      <c r="C213" s="137"/>
      <c r="D213" s="137"/>
      <c r="E213" s="138"/>
      <c r="F213" s="137"/>
      <c r="G213" s="137"/>
      <c r="H213" s="139"/>
      <c r="I213" s="135">
        <f t="shared" si="18"/>
        <v>0</v>
      </c>
    </row>
    <row r="214" spans="1:9" x14ac:dyDescent="0.25">
      <c r="A214" s="140"/>
      <c r="B214" s="137"/>
      <c r="C214" s="137"/>
      <c r="D214" s="137"/>
      <c r="E214" s="137"/>
      <c r="F214" s="137"/>
      <c r="G214" s="137"/>
      <c r="H214" s="139"/>
      <c r="I214" s="141"/>
    </row>
    <row r="215" spans="1:9" x14ac:dyDescent="0.25">
      <c r="A215" s="142"/>
      <c r="B215" s="143"/>
      <c r="C215" s="143"/>
      <c r="D215" s="143"/>
      <c r="E215" s="143"/>
      <c r="F215" s="143"/>
      <c r="G215" s="143"/>
      <c r="H215" s="144"/>
      <c r="I215" s="145"/>
    </row>
    <row r="216" spans="1:9" ht="15.75" thickBot="1" x14ac:dyDescent="0.3">
      <c r="A216" s="146"/>
      <c r="B216" s="147" t="s">
        <v>10</v>
      </c>
      <c r="C216" s="148"/>
      <c r="D216" s="148">
        <f t="shared" ref="D216" si="19">SUM(D210:D215)</f>
        <v>4588042</v>
      </c>
      <c r="E216" s="148">
        <f>SUM(E210:E215)</f>
        <v>0</v>
      </c>
      <c r="F216" s="148">
        <f>SUM(F210:F215)</f>
        <v>290000</v>
      </c>
      <c r="G216" s="148">
        <f>SUM(G210:G215)</f>
        <v>0</v>
      </c>
      <c r="H216" s="148">
        <f t="shared" ref="H216:I216" si="20">SUM(H210:H215)</f>
        <v>1860000</v>
      </c>
      <c r="I216" s="149">
        <f t="shared" si="20"/>
        <v>6738042</v>
      </c>
    </row>
    <row r="218" spans="1:9" x14ac:dyDescent="0.25">
      <c r="G218" s="84" t="s">
        <v>3492</v>
      </c>
      <c r="H218" s="84"/>
    </row>
    <row r="221" spans="1:9" x14ac:dyDescent="0.25">
      <c r="F221" t="s">
        <v>3274</v>
      </c>
    </row>
    <row r="232" spans="1:9" x14ac:dyDescent="0.25">
      <c r="A232" t="s">
        <v>78</v>
      </c>
    </row>
    <row r="233" spans="1:9" x14ac:dyDescent="0.25">
      <c r="A233" t="s">
        <v>1</v>
      </c>
    </row>
    <row r="236" spans="1:9" x14ac:dyDescent="0.25">
      <c r="A236" s="268" t="s">
        <v>86</v>
      </c>
      <c r="B236" s="268"/>
      <c r="C236" s="268"/>
      <c r="D236" s="268"/>
      <c r="E236" s="268"/>
      <c r="F236" s="268"/>
      <c r="G236" s="268"/>
      <c r="H236" s="268"/>
      <c r="I236" s="268"/>
    </row>
    <row r="237" spans="1:9" x14ac:dyDescent="0.25">
      <c r="A237" s="268" t="s">
        <v>3473</v>
      </c>
      <c r="B237" s="268"/>
      <c r="C237" s="268"/>
      <c r="D237" s="268"/>
      <c r="E237" s="268"/>
      <c r="F237" s="268"/>
      <c r="G237" s="268"/>
      <c r="H237" s="268"/>
      <c r="I237" s="268"/>
    </row>
    <row r="238" spans="1:9" ht="15.75" thickBot="1" x14ac:dyDescent="0.3">
      <c r="I238" t="s">
        <v>3493</v>
      </c>
    </row>
    <row r="239" spans="1:9" x14ac:dyDescent="0.25">
      <c r="A239" s="261" t="s">
        <v>16</v>
      </c>
      <c r="B239" s="263" t="s">
        <v>8</v>
      </c>
      <c r="C239" s="263" t="s">
        <v>77</v>
      </c>
      <c r="D239" s="265" t="s">
        <v>87</v>
      </c>
      <c r="E239" s="265"/>
      <c r="F239" s="265"/>
      <c r="G239" s="265"/>
      <c r="H239" s="265"/>
      <c r="I239" s="266" t="s">
        <v>10</v>
      </c>
    </row>
    <row r="240" spans="1:9" x14ac:dyDescent="0.25">
      <c r="A240" s="262"/>
      <c r="B240" s="264"/>
      <c r="C240" s="264"/>
      <c r="D240" s="88" t="s">
        <v>88</v>
      </c>
      <c r="E240" s="88" t="s">
        <v>89</v>
      </c>
      <c r="F240" s="88" t="s">
        <v>90</v>
      </c>
      <c r="G240" s="88" t="s">
        <v>91</v>
      </c>
      <c r="H240" s="88" t="s">
        <v>92</v>
      </c>
      <c r="I240" s="267"/>
    </row>
    <row r="241" spans="1:9" x14ac:dyDescent="0.25">
      <c r="A241" s="262"/>
      <c r="B241" s="264"/>
      <c r="C241" s="264"/>
      <c r="D241" s="85" t="s">
        <v>93</v>
      </c>
      <c r="E241" s="85" t="s">
        <v>94</v>
      </c>
      <c r="F241" s="85" t="s">
        <v>94</v>
      </c>
      <c r="G241" s="85" t="s">
        <v>95</v>
      </c>
      <c r="H241" s="85" t="s">
        <v>75</v>
      </c>
      <c r="I241" s="267"/>
    </row>
    <row r="242" spans="1:9" x14ac:dyDescent="0.25">
      <c r="A242" s="262"/>
      <c r="B242" s="264"/>
      <c r="C242" s="264"/>
      <c r="D242" s="86" t="s">
        <v>96</v>
      </c>
      <c r="E242" s="86" t="s">
        <v>97</v>
      </c>
      <c r="F242" s="86" t="s">
        <v>96</v>
      </c>
      <c r="G242" s="86" t="s">
        <v>98</v>
      </c>
      <c r="H242" s="86"/>
      <c r="I242" s="267"/>
    </row>
    <row r="243" spans="1:9" x14ac:dyDescent="0.25">
      <c r="A243" s="132">
        <v>1</v>
      </c>
      <c r="B243" s="87" t="s">
        <v>99</v>
      </c>
      <c r="C243" s="133" t="s">
        <v>3494</v>
      </c>
      <c r="D243" s="133">
        <v>9621600</v>
      </c>
      <c r="E243" s="133"/>
      <c r="F243" s="158">
        <v>775000</v>
      </c>
      <c r="G243" s="87"/>
      <c r="H243" s="134">
        <f>2100000*2</f>
        <v>4200000</v>
      </c>
      <c r="I243" s="135">
        <f>SUM(D243:H243)</f>
        <v>14596600</v>
      </c>
    </row>
    <row r="244" spans="1:9" x14ac:dyDescent="0.25">
      <c r="A244" s="136"/>
      <c r="B244" s="137"/>
      <c r="C244" s="138"/>
      <c r="D244" s="138"/>
      <c r="E244" s="138"/>
      <c r="F244" s="138"/>
      <c r="G244" s="137"/>
      <c r="H244" s="139"/>
      <c r="I244" s="135">
        <f>SUM(D244:H244)</f>
        <v>0</v>
      </c>
    </row>
    <row r="245" spans="1:9" x14ac:dyDescent="0.25">
      <c r="A245" s="136"/>
      <c r="B245" s="137"/>
      <c r="C245" s="138"/>
      <c r="D245" s="137"/>
      <c r="E245" s="138"/>
      <c r="F245" s="138"/>
      <c r="G245" s="137"/>
      <c r="H245" s="139"/>
      <c r="I245" s="135">
        <f t="shared" ref="I245:I246" si="21">SUM(D245:H245)</f>
        <v>0</v>
      </c>
    </row>
    <row r="246" spans="1:9" x14ac:dyDescent="0.25">
      <c r="A246" s="136"/>
      <c r="B246" s="137"/>
      <c r="C246" s="137"/>
      <c r="D246" s="137"/>
      <c r="E246" s="138"/>
      <c r="F246" s="137"/>
      <c r="G246" s="137"/>
      <c r="H246" s="139"/>
      <c r="I246" s="135">
        <f t="shared" si="21"/>
        <v>0</v>
      </c>
    </row>
    <row r="247" spans="1:9" x14ac:dyDescent="0.25">
      <c r="A247" s="140"/>
      <c r="B247" s="137"/>
      <c r="C247" s="137"/>
      <c r="D247" s="137"/>
      <c r="E247" s="137"/>
      <c r="F247" s="137"/>
      <c r="G247" s="137"/>
      <c r="H247" s="139"/>
      <c r="I247" s="141"/>
    </row>
    <row r="248" spans="1:9" x14ac:dyDescent="0.25">
      <c r="A248" s="142"/>
      <c r="B248" s="143"/>
      <c r="C248" s="143"/>
      <c r="D248" s="143"/>
      <c r="E248" s="143"/>
      <c r="F248" s="143"/>
      <c r="G248" s="143"/>
      <c r="H248" s="144"/>
      <c r="I248" s="145"/>
    </row>
    <row r="249" spans="1:9" ht="15.75" thickBot="1" x14ac:dyDescent="0.3">
      <c r="A249" s="146"/>
      <c r="B249" s="147" t="s">
        <v>10</v>
      </c>
      <c r="C249" s="148"/>
      <c r="D249" s="148">
        <f t="shared" ref="D249" si="22">SUM(D243:D248)</f>
        <v>9621600</v>
      </c>
      <c r="E249" s="148">
        <f>SUM(E243:E248)</f>
        <v>0</v>
      </c>
      <c r="F249" s="148">
        <f>SUM(F243:F248)</f>
        <v>775000</v>
      </c>
      <c r="G249" s="148">
        <f>SUM(G243:G248)</f>
        <v>0</v>
      </c>
      <c r="H249" s="148">
        <f t="shared" ref="H249:I249" si="23">SUM(H243:H248)</f>
        <v>4200000</v>
      </c>
      <c r="I249" s="149">
        <f t="shared" si="23"/>
        <v>14596600</v>
      </c>
    </row>
    <row r="251" spans="1:9" x14ac:dyDescent="0.25">
      <c r="G251" s="84" t="s">
        <v>3495</v>
      </c>
      <c r="H251" s="84"/>
    </row>
    <row r="265" spans="1:9" x14ac:dyDescent="0.25">
      <c r="A265" t="s">
        <v>78</v>
      </c>
    </row>
    <row r="266" spans="1:9" x14ac:dyDescent="0.25">
      <c r="A266" t="s">
        <v>1</v>
      </c>
    </row>
    <row r="269" spans="1:9" x14ac:dyDescent="0.25">
      <c r="A269" s="268" t="s">
        <v>86</v>
      </c>
      <c r="B269" s="268"/>
      <c r="C269" s="268"/>
      <c r="D269" s="268"/>
      <c r="E269" s="268"/>
      <c r="F269" s="268"/>
      <c r="G269" s="268"/>
      <c r="H269" s="268"/>
      <c r="I269" s="268"/>
    </row>
    <row r="270" spans="1:9" x14ac:dyDescent="0.25">
      <c r="A270" s="268" t="s">
        <v>3473</v>
      </c>
      <c r="B270" s="268"/>
      <c r="C270" s="268"/>
      <c r="D270" s="268"/>
      <c r="E270" s="268"/>
      <c r="F270" s="268"/>
      <c r="G270" s="268"/>
      <c r="H270" s="268"/>
      <c r="I270" s="268"/>
    </row>
    <row r="271" spans="1:9" ht="15.75" thickBot="1" x14ac:dyDescent="0.3">
      <c r="I271" t="s">
        <v>3496</v>
      </c>
    </row>
    <row r="272" spans="1:9" x14ac:dyDescent="0.25">
      <c r="A272" s="261" t="s">
        <v>16</v>
      </c>
      <c r="B272" s="263" t="s">
        <v>8</v>
      </c>
      <c r="C272" s="263" t="s">
        <v>77</v>
      </c>
      <c r="D272" s="265" t="s">
        <v>87</v>
      </c>
      <c r="E272" s="265"/>
      <c r="F272" s="265"/>
      <c r="G272" s="265"/>
      <c r="H272" s="265"/>
      <c r="I272" s="266" t="s">
        <v>10</v>
      </c>
    </row>
    <row r="273" spans="1:9" x14ac:dyDescent="0.25">
      <c r="A273" s="262"/>
      <c r="B273" s="264"/>
      <c r="C273" s="264"/>
      <c r="D273" s="88" t="s">
        <v>88</v>
      </c>
      <c r="E273" s="88" t="s">
        <v>89</v>
      </c>
      <c r="F273" s="88" t="s">
        <v>90</v>
      </c>
      <c r="G273" s="88" t="s">
        <v>91</v>
      </c>
      <c r="H273" s="88" t="s">
        <v>92</v>
      </c>
      <c r="I273" s="267"/>
    </row>
    <row r="274" spans="1:9" x14ac:dyDescent="0.25">
      <c r="A274" s="262"/>
      <c r="B274" s="264"/>
      <c r="C274" s="264"/>
      <c r="D274" s="85" t="s">
        <v>93</v>
      </c>
      <c r="E274" s="85" t="s">
        <v>94</v>
      </c>
      <c r="F274" s="85" t="s">
        <v>94</v>
      </c>
      <c r="G274" s="85" t="s">
        <v>95</v>
      </c>
      <c r="H274" s="85" t="s">
        <v>75</v>
      </c>
      <c r="I274" s="267"/>
    </row>
    <row r="275" spans="1:9" x14ac:dyDescent="0.25">
      <c r="A275" s="262"/>
      <c r="B275" s="264"/>
      <c r="C275" s="264"/>
      <c r="D275" s="86" t="s">
        <v>96</v>
      </c>
      <c r="E275" s="86" t="s">
        <v>97</v>
      </c>
      <c r="F275" s="86" t="s">
        <v>96</v>
      </c>
      <c r="G275" s="86" t="s">
        <v>98</v>
      </c>
      <c r="H275" s="86"/>
      <c r="I275" s="267"/>
    </row>
    <row r="276" spans="1:9" x14ac:dyDescent="0.25">
      <c r="A276" s="132">
        <v>1</v>
      </c>
      <c r="B276" s="87" t="s">
        <v>99</v>
      </c>
      <c r="C276" s="133" t="s">
        <v>3497</v>
      </c>
      <c r="D276" s="133">
        <v>1152711</v>
      </c>
      <c r="E276" s="133"/>
      <c r="F276" s="158">
        <v>115000</v>
      </c>
      <c r="G276" s="87"/>
      <c r="H276" s="134">
        <f>360000*2</f>
        <v>720000</v>
      </c>
      <c r="I276" s="135">
        <f>SUM(D276:H276)</f>
        <v>1987711</v>
      </c>
    </row>
    <row r="277" spans="1:9" x14ac:dyDescent="0.25">
      <c r="A277" s="136"/>
      <c r="B277" s="137"/>
      <c r="C277" s="138"/>
      <c r="D277" s="138"/>
      <c r="E277" s="138"/>
      <c r="F277" s="138"/>
      <c r="G277" s="137"/>
      <c r="H277" s="139"/>
      <c r="I277" s="135">
        <f>SUM(D277:H277)</f>
        <v>0</v>
      </c>
    </row>
    <row r="278" spans="1:9" x14ac:dyDescent="0.25">
      <c r="A278" s="136"/>
      <c r="B278" s="137"/>
      <c r="C278" s="138"/>
      <c r="D278" s="137"/>
      <c r="E278" s="138"/>
      <c r="F278" s="138"/>
      <c r="G278" s="137"/>
      <c r="H278" s="139"/>
      <c r="I278" s="135">
        <f t="shared" ref="I278:I279" si="24">SUM(D278:H278)</f>
        <v>0</v>
      </c>
    </row>
    <row r="279" spans="1:9" x14ac:dyDescent="0.25">
      <c r="A279" s="136"/>
      <c r="B279" s="137"/>
      <c r="C279" s="137"/>
      <c r="D279" s="137"/>
      <c r="E279" s="138"/>
      <c r="F279" s="137"/>
      <c r="G279" s="137"/>
      <c r="H279" s="139"/>
      <c r="I279" s="135">
        <f t="shared" si="24"/>
        <v>0</v>
      </c>
    </row>
    <row r="280" spans="1:9" x14ac:dyDescent="0.25">
      <c r="A280" s="140"/>
      <c r="B280" s="137"/>
      <c r="C280" s="137"/>
      <c r="D280" s="137"/>
      <c r="E280" s="137"/>
      <c r="F280" s="137"/>
      <c r="G280" s="137"/>
      <c r="H280" s="139"/>
      <c r="I280" s="141"/>
    </row>
    <row r="281" spans="1:9" x14ac:dyDescent="0.25">
      <c r="A281" s="142"/>
      <c r="B281" s="143"/>
      <c r="C281" s="143"/>
      <c r="D281" s="143"/>
      <c r="E281" s="143"/>
      <c r="F281" s="143"/>
      <c r="G281" s="143"/>
      <c r="H281" s="144"/>
      <c r="I281" s="145"/>
    </row>
    <row r="282" spans="1:9" ht="15.75" thickBot="1" x14ac:dyDescent="0.3">
      <c r="A282" s="146"/>
      <c r="B282" s="147" t="s">
        <v>10</v>
      </c>
      <c r="C282" s="148"/>
      <c r="D282" s="148">
        <f t="shared" ref="D282" si="25">SUM(D276:D281)</f>
        <v>1152711</v>
      </c>
      <c r="E282" s="148">
        <f>SUM(E276:E281)</f>
        <v>0</v>
      </c>
      <c r="F282" s="148">
        <f>SUM(F276:F281)</f>
        <v>115000</v>
      </c>
      <c r="G282" s="148">
        <f>SUM(G276:G281)</f>
        <v>0</v>
      </c>
      <c r="H282" s="148">
        <f t="shared" ref="H282:I282" si="26">SUM(H276:H281)</f>
        <v>720000</v>
      </c>
      <c r="I282" s="149">
        <f t="shared" si="26"/>
        <v>1987711</v>
      </c>
    </row>
    <row r="284" spans="1:9" x14ac:dyDescent="0.25">
      <c r="G284" s="84" t="s">
        <v>3498</v>
      </c>
      <c r="H284" s="84"/>
    </row>
    <row r="298" spans="1:9" x14ac:dyDescent="0.25">
      <c r="A298" t="s">
        <v>78</v>
      </c>
    </row>
    <row r="299" spans="1:9" x14ac:dyDescent="0.25">
      <c r="A299" t="s">
        <v>1</v>
      </c>
    </row>
    <row r="302" spans="1:9" x14ac:dyDescent="0.25">
      <c r="A302" s="268" t="s">
        <v>86</v>
      </c>
      <c r="B302" s="268"/>
      <c r="C302" s="268"/>
      <c r="D302" s="268"/>
      <c r="E302" s="268"/>
      <c r="F302" s="268"/>
      <c r="G302" s="268"/>
      <c r="H302" s="268"/>
      <c r="I302" s="268"/>
    </row>
    <row r="303" spans="1:9" x14ac:dyDescent="0.25">
      <c r="A303" s="268" t="s">
        <v>3473</v>
      </c>
      <c r="B303" s="268"/>
      <c r="C303" s="268"/>
      <c r="D303" s="268"/>
      <c r="E303" s="268"/>
      <c r="F303" s="268"/>
      <c r="G303" s="268"/>
      <c r="H303" s="268"/>
      <c r="I303" s="268"/>
    </row>
    <row r="304" spans="1:9" ht="15.75" thickBot="1" x14ac:dyDescent="0.3">
      <c r="I304" t="s">
        <v>3499</v>
      </c>
    </row>
    <row r="305" spans="1:9" x14ac:dyDescent="0.25">
      <c r="A305" s="261" t="s">
        <v>16</v>
      </c>
      <c r="B305" s="263" t="s">
        <v>8</v>
      </c>
      <c r="C305" s="263" t="s">
        <v>77</v>
      </c>
      <c r="D305" s="265" t="s">
        <v>87</v>
      </c>
      <c r="E305" s="265"/>
      <c r="F305" s="265"/>
      <c r="G305" s="265"/>
      <c r="H305" s="265"/>
      <c r="I305" s="266" t="s">
        <v>10</v>
      </c>
    </row>
    <row r="306" spans="1:9" x14ac:dyDescent="0.25">
      <c r="A306" s="262"/>
      <c r="B306" s="264"/>
      <c r="C306" s="264"/>
      <c r="D306" s="88" t="s">
        <v>88</v>
      </c>
      <c r="E306" s="88" t="s">
        <v>89</v>
      </c>
      <c r="F306" s="88" t="s">
        <v>90</v>
      </c>
      <c r="G306" s="88" t="s">
        <v>91</v>
      </c>
      <c r="H306" s="88" t="s">
        <v>92</v>
      </c>
      <c r="I306" s="267"/>
    </row>
    <row r="307" spans="1:9" x14ac:dyDescent="0.25">
      <c r="A307" s="262"/>
      <c r="B307" s="264"/>
      <c r="C307" s="264"/>
      <c r="D307" s="85" t="s">
        <v>93</v>
      </c>
      <c r="E307" s="85" t="s">
        <v>94</v>
      </c>
      <c r="F307" s="85" t="s">
        <v>94</v>
      </c>
      <c r="G307" s="85" t="s">
        <v>95</v>
      </c>
      <c r="H307" s="85" t="s">
        <v>75</v>
      </c>
      <c r="I307" s="267"/>
    </row>
    <row r="308" spans="1:9" x14ac:dyDescent="0.25">
      <c r="A308" s="262"/>
      <c r="B308" s="264"/>
      <c r="C308" s="264"/>
      <c r="D308" s="86" t="s">
        <v>96</v>
      </c>
      <c r="E308" s="86" t="s">
        <v>97</v>
      </c>
      <c r="F308" s="86" t="s">
        <v>96</v>
      </c>
      <c r="G308" s="86" t="s">
        <v>98</v>
      </c>
      <c r="H308" s="86"/>
      <c r="I308" s="267"/>
    </row>
    <row r="309" spans="1:9" x14ac:dyDescent="0.25">
      <c r="A309" s="132">
        <v>1</v>
      </c>
      <c r="B309" s="87" t="s">
        <v>99</v>
      </c>
      <c r="C309" s="133" t="s">
        <v>3500</v>
      </c>
      <c r="D309" s="133">
        <v>468958</v>
      </c>
      <c r="E309" s="133"/>
      <c r="F309" s="158">
        <v>10000</v>
      </c>
      <c r="G309" s="87"/>
      <c r="H309" s="134">
        <f>140000</f>
        <v>140000</v>
      </c>
      <c r="I309" s="135">
        <f>SUM(D309:H309)</f>
        <v>618958</v>
      </c>
    </row>
    <row r="310" spans="1:9" x14ac:dyDescent="0.25">
      <c r="A310" s="136"/>
      <c r="B310" s="137"/>
      <c r="C310" s="138"/>
      <c r="D310" s="138"/>
      <c r="E310" s="138"/>
      <c r="F310" s="138"/>
      <c r="G310" s="137"/>
      <c r="H310" s="139"/>
      <c r="I310" s="135">
        <f>SUM(D310:H310)</f>
        <v>0</v>
      </c>
    </row>
    <row r="311" spans="1:9" x14ac:dyDescent="0.25">
      <c r="A311" s="136"/>
      <c r="B311" s="137"/>
      <c r="C311" s="138"/>
      <c r="D311" s="137"/>
      <c r="E311" s="138"/>
      <c r="F311" s="138"/>
      <c r="G311" s="137"/>
      <c r="H311" s="139"/>
      <c r="I311" s="135">
        <f t="shared" ref="I311:I312" si="27">SUM(D311:H311)</f>
        <v>0</v>
      </c>
    </row>
    <row r="312" spans="1:9" x14ac:dyDescent="0.25">
      <c r="A312" s="136"/>
      <c r="B312" s="137"/>
      <c r="C312" s="137"/>
      <c r="D312" s="137"/>
      <c r="E312" s="138"/>
      <c r="F312" s="137"/>
      <c r="G312" s="137"/>
      <c r="H312" s="139"/>
      <c r="I312" s="135">
        <f t="shared" si="27"/>
        <v>0</v>
      </c>
    </row>
    <row r="313" spans="1:9" x14ac:dyDescent="0.25">
      <c r="A313" s="140"/>
      <c r="B313" s="137"/>
      <c r="C313" s="137"/>
      <c r="D313" s="137"/>
      <c r="E313" s="137"/>
      <c r="F313" s="137"/>
      <c r="G313" s="137"/>
      <c r="H313" s="139"/>
      <c r="I313" s="141"/>
    </row>
    <row r="314" spans="1:9" x14ac:dyDescent="0.25">
      <c r="A314" s="142"/>
      <c r="B314" s="143"/>
      <c r="C314" s="143"/>
      <c r="D314" s="143"/>
      <c r="E314" s="143"/>
      <c r="F314" s="143"/>
      <c r="G314" s="143"/>
      <c r="H314" s="144"/>
      <c r="I314" s="145"/>
    </row>
    <row r="315" spans="1:9" ht="15.75" thickBot="1" x14ac:dyDescent="0.3">
      <c r="A315" s="146"/>
      <c r="B315" s="147" t="s">
        <v>10</v>
      </c>
      <c r="C315" s="148"/>
      <c r="D315" s="148">
        <f t="shared" ref="D315" si="28">SUM(D309:D314)</f>
        <v>468958</v>
      </c>
      <c r="E315" s="148">
        <f>SUM(E309:E314)</f>
        <v>0</v>
      </c>
      <c r="F315" s="148">
        <f>SUM(F309:F314)</f>
        <v>10000</v>
      </c>
      <c r="G315" s="148">
        <f>SUM(G309:G314)</f>
        <v>0</v>
      </c>
      <c r="H315" s="148">
        <f t="shared" ref="H315:I315" si="29">SUM(H309:H314)</f>
        <v>140000</v>
      </c>
      <c r="I315" s="149">
        <f t="shared" si="29"/>
        <v>618958</v>
      </c>
    </row>
    <row r="317" spans="1:9" x14ac:dyDescent="0.25">
      <c r="G317" s="84" t="s">
        <v>3501</v>
      </c>
      <c r="H317" s="84"/>
    </row>
    <row r="331" spans="1:9" x14ac:dyDescent="0.25">
      <c r="A331" t="s">
        <v>78</v>
      </c>
    </row>
    <row r="332" spans="1:9" x14ac:dyDescent="0.25">
      <c r="A332" t="s">
        <v>1</v>
      </c>
    </row>
    <row r="335" spans="1:9" x14ac:dyDescent="0.25">
      <c r="A335" s="268" t="s">
        <v>86</v>
      </c>
      <c r="B335" s="268"/>
      <c r="C335" s="268"/>
      <c r="D335" s="268"/>
      <c r="E335" s="268"/>
      <c r="F335" s="268"/>
      <c r="G335" s="268"/>
      <c r="H335" s="268"/>
      <c r="I335" s="268"/>
    </row>
    <row r="336" spans="1:9" x14ac:dyDescent="0.25">
      <c r="A336" s="268" t="s">
        <v>3473</v>
      </c>
      <c r="B336" s="268"/>
      <c r="C336" s="268"/>
      <c r="D336" s="268"/>
      <c r="E336" s="268"/>
      <c r="F336" s="268"/>
      <c r="G336" s="268"/>
      <c r="H336" s="268"/>
      <c r="I336" s="268"/>
    </row>
    <row r="337" spans="1:9" ht="15.75" thickBot="1" x14ac:dyDescent="0.3">
      <c r="I337" t="s">
        <v>3503</v>
      </c>
    </row>
    <row r="338" spans="1:9" x14ac:dyDescent="0.25">
      <c r="A338" s="261" t="s">
        <v>16</v>
      </c>
      <c r="B338" s="263" t="s">
        <v>8</v>
      </c>
      <c r="C338" s="263" t="s">
        <v>77</v>
      </c>
      <c r="D338" s="265" t="s">
        <v>87</v>
      </c>
      <c r="E338" s="265"/>
      <c r="F338" s="265"/>
      <c r="G338" s="265"/>
      <c r="H338" s="265"/>
      <c r="I338" s="266" t="s">
        <v>10</v>
      </c>
    </row>
    <row r="339" spans="1:9" x14ac:dyDescent="0.25">
      <c r="A339" s="262"/>
      <c r="B339" s="264"/>
      <c r="C339" s="264"/>
      <c r="D339" s="88" t="s">
        <v>88</v>
      </c>
      <c r="E339" s="88" t="s">
        <v>89</v>
      </c>
      <c r="F339" s="88" t="s">
        <v>90</v>
      </c>
      <c r="G339" s="88" t="s">
        <v>91</v>
      </c>
      <c r="H339" s="88" t="s">
        <v>92</v>
      </c>
      <c r="I339" s="267"/>
    </row>
    <row r="340" spans="1:9" x14ac:dyDescent="0.25">
      <c r="A340" s="262"/>
      <c r="B340" s="264"/>
      <c r="C340" s="264"/>
      <c r="D340" s="85" t="s">
        <v>93</v>
      </c>
      <c r="E340" s="85" t="s">
        <v>94</v>
      </c>
      <c r="F340" s="85" t="s">
        <v>94</v>
      </c>
      <c r="G340" s="85" t="s">
        <v>95</v>
      </c>
      <c r="H340" s="85" t="s">
        <v>75</v>
      </c>
      <c r="I340" s="267"/>
    </row>
    <row r="341" spans="1:9" x14ac:dyDescent="0.25">
      <c r="A341" s="262"/>
      <c r="B341" s="264"/>
      <c r="C341" s="264"/>
      <c r="D341" s="86" t="s">
        <v>96</v>
      </c>
      <c r="E341" s="86" t="s">
        <v>97</v>
      </c>
      <c r="F341" s="86" t="s">
        <v>96</v>
      </c>
      <c r="G341" s="86" t="s">
        <v>98</v>
      </c>
      <c r="H341" s="86"/>
      <c r="I341" s="267"/>
    </row>
    <row r="342" spans="1:9" x14ac:dyDescent="0.25">
      <c r="A342" s="132">
        <v>1</v>
      </c>
      <c r="B342" s="87" t="s">
        <v>99</v>
      </c>
      <c r="C342" s="133" t="s">
        <v>3502</v>
      </c>
      <c r="D342" s="133">
        <v>15712977</v>
      </c>
      <c r="E342" s="133"/>
      <c r="F342" s="158">
        <v>670000</v>
      </c>
      <c r="G342" s="87"/>
      <c r="H342" s="134">
        <f>2370000*2</f>
        <v>4740000</v>
      </c>
      <c r="I342" s="135">
        <f>SUM(D342:H342)</f>
        <v>21122977</v>
      </c>
    </row>
    <row r="343" spans="1:9" x14ac:dyDescent="0.25">
      <c r="A343" s="136"/>
      <c r="B343" s="137"/>
      <c r="C343" s="138"/>
      <c r="D343" s="138"/>
      <c r="E343" s="138"/>
      <c r="F343" s="138"/>
      <c r="G343" s="137"/>
      <c r="H343" s="139"/>
      <c r="I343" s="135">
        <f>SUM(D343:H343)</f>
        <v>0</v>
      </c>
    </row>
    <row r="344" spans="1:9" x14ac:dyDescent="0.25">
      <c r="A344" s="136"/>
      <c r="B344" s="137"/>
      <c r="C344" s="138"/>
      <c r="D344" s="137"/>
      <c r="E344" s="138"/>
      <c r="F344" s="138"/>
      <c r="G344" s="137"/>
      <c r="H344" s="139"/>
      <c r="I344" s="135">
        <f t="shared" ref="I344:I345" si="30">SUM(D344:H344)</f>
        <v>0</v>
      </c>
    </row>
    <row r="345" spans="1:9" x14ac:dyDescent="0.25">
      <c r="A345" s="136"/>
      <c r="B345" s="137"/>
      <c r="C345" s="137"/>
      <c r="D345" s="137"/>
      <c r="E345" s="138"/>
      <c r="F345" s="137"/>
      <c r="G345" s="137"/>
      <c r="H345" s="139"/>
      <c r="I345" s="135">
        <f t="shared" si="30"/>
        <v>0</v>
      </c>
    </row>
    <row r="346" spans="1:9" x14ac:dyDescent="0.25">
      <c r="A346" s="140"/>
      <c r="B346" s="137"/>
      <c r="C346" s="137"/>
      <c r="D346" s="137"/>
      <c r="E346" s="137"/>
      <c r="F346" s="137"/>
      <c r="G346" s="137"/>
      <c r="H346" s="139"/>
      <c r="I346" s="141"/>
    </row>
    <row r="347" spans="1:9" x14ac:dyDescent="0.25">
      <c r="A347" s="142"/>
      <c r="B347" s="143"/>
      <c r="C347" s="143"/>
      <c r="D347" s="143"/>
      <c r="E347" s="143"/>
      <c r="F347" s="143"/>
      <c r="G347" s="143"/>
      <c r="H347" s="144"/>
      <c r="I347" s="145"/>
    </row>
    <row r="348" spans="1:9" ht="15.75" thickBot="1" x14ac:dyDescent="0.3">
      <c r="A348" s="146"/>
      <c r="B348" s="147" t="s">
        <v>10</v>
      </c>
      <c r="C348" s="148"/>
      <c r="D348" s="148">
        <f t="shared" ref="D348" si="31">SUM(D342:D347)</f>
        <v>15712977</v>
      </c>
      <c r="E348" s="148">
        <f>SUM(E342:E347)</f>
        <v>0</v>
      </c>
      <c r="F348" s="148">
        <f>SUM(F342:F347)</f>
        <v>670000</v>
      </c>
      <c r="G348" s="148">
        <f>SUM(G342:G347)</f>
        <v>0</v>
      </c>
      <c r="H348" s="148">
        <f t="shared" ref="H348:I348" si="32">SUM(H342:H347)</f>
        <v>4740000</v>
      </c>
      <c r="I348" s="149">
        <f t="shared" si="32"/>
        <v>21122977</v>
      </c>
    </row>
    <row r="350" spans="1:9" x14ac:dyDescent="0.25">
      <c r="G350" s="84" t="s">
        <v>3504</v>
      </c>
      <c r="H350" s="84"/>
    </row>
    <row r="364" spans="1:9" x14ac:dyDescent="0.25">
      <c r="A364" t="s">
        <v>78</v>
      </c>
    </row>
    <row r="365" spans="1:9" x14ac:dyDescent="0.25">
      <c r="A365" t="s">
        <v>1</v>
      </c>
    </row>
    <row r="368" spans="1:9" x14ac:dyDescent="0.25">
      <c r="A368" s="268" t="s">
        <v>86</v>
      </c>
      <c r="B368" s="268"/>
      <c r="C368" s="268"/>
      <c r="D368" s="268"/>
      <c r="E368" s="268"/>
      <c r="F368" s="268"/>
      <c r="G368" s="268"/>
      <c r="H368" s="268"/>
      <c r="I368" s="268"/>
    </row>
    <row r="369" spans="1:9" x14ac:dyDescent="0.25">
      <c r="A369" s="268" t="s">
        <v>3473</v>
      </c>
      <c r="B369" s="268"/>
      <c r="C369" s="268"/>
      <c r="D369" s="268"/>
      <c r="E369" s="268"/>
      <c r="F369" s="268"/>
      <c r="G369" s="268"/>
      <c r="H369" s="268"/>
      <c r="I369" s="268"/>
    </row>
    <row r="370" spans="1:9" ht="15.75" thickBot="1" x14ac:dyDescent="0.3">
      <c r="I370" t="s">
        <v>3505</v>
      </c>
    </row>
    <row r="371" spans="1:9" x14ac:dyDescent="0.25">
      <c r="A371" s="261" t="s">
        <v>16</v>
      </c>
      <c r="B371" s="263" t="s">
        <v>8</v>
      </c>
      <c r="C371" s="263" t="s">
        <v>77</v>
      </c>
      <c r="D371" s="265" t="s">
        <v>87</v>
      </c>
      <c r="E371" s="265"/>
      <c r="F371" s="265"/>
      <c r="G371" s="265"/>
      <c r="H371" s="265"/>
      <c r="I371" s="266" t="s">
        <v>10</v>
      </c>
    </row>
    <row r="372" spans="1:9" x14ac:dyDescent="0.25">
      <c r="A372" s="262"/>
      <c r="B372" s="264"/>
      <c r="C372" s="264"/>
      <c r="D372" s="88" t="s">
        <v>88</v>
      </c>
      <c r="E372" s="88" t="s">
        <v>89</v>
      </c>
      <c r="F372" s="88" t="s">
        <v>90</v>
      </c>
      <c r="G372" s="88" t="s">
        <v>91</v>
      </c>
      <c r="H372" s="88" t="s">
        <v>92</v>
      </c>
      <c r="I372" s="267"/>
    </row>
    <row r="373" spans="1:9" x14ac:dyDescent="0.25">
      <c r="A373" s="262"/>
      <c r="B373" s="264"/>
      <c r="C373" s="264"/>
      <c r="D373" s="85" t="s">
        <v>93</v>
      </c>
      <c r="E373" s="85" t="s">
        <v>94</v>
      </c>
      <c r="F373" s="85" t="s">
        <v>94</v>
      </c>
      <c r="G373" s="85" t="s">
        <v>95</v>
      </c>
      <c r="H373" s="85" t="s">
        <v>75</v>
      </c>
      <c r="I373" s="267"/>
    </row>
    <row r="374" spans="1:9" x14ac:dyDescent="0.25">
      <c r="A374" s="262"/>
      <c r="B374" s="264"/>
      <c r="C374" s="264"/>
      <c r="D374" s="86" t="s">
        <v>96</v>
      </c>
      <c r="E374" s="86" t="s">
        <v>97</v>
      </c>
      <c r="F374" s="86" t="s">
        <v>96</v>
      </c>
      <c r="G374" s="86" t="s">
        <v>98</v>
      </c>
      <c r="H374" s="86"/>
      <c r="I374" s="267"/>
    </row>
    <row r="375" spans="1:9" x14ac:dyDescent="0.25">
      <c r="A375" s="132">
        <v>1</v>
      </c>
      <c r="B375" s="87" t="s">
        <v>99</v>
      </c>
      <c r="C375" s="133" t="s">
        <v>3506</v>
      </c>
      <c r="D375" s="133">
        <v>12706668</v>
      </c>
      <c r="E375" s="133"/>
      <c r="F375" s="158">
        <v>815000</v>
      </c>
      <c r="G375" s="87"/>
      <c r="H375" s="134">
        <f>2340000*2</f>
        <v>4680000</v>
      </c>
      <c r="I375" s="135">
        <f>SUM(D375:H375)</f>
        <v>18201668</v>
      </c>
    </row>
    <row r="376" spans="1:9" x14ac:dyDescent="0.25">
      <c r="A376" s="136">
        <v>2</v>
      </c>
      <c r="B376" s="137" t="s">
        <v>3513</v>
      </c>
      <c r="C376" s="138" t="str">
        <f>BPTRNA!E60</f>
        <v>BPTRNA/02/I/2021</v>
      </c>
      <c r="D376" s="138"/>
      <c r="E376" s="138">
        <f>BPTRNA!E70</f>
        <v>16625000</v>
      </c>
      <c r="F376" s="138"/>
      <c r="G376" s="137"/>
      <c r="H376" s="139"/>
      <c r="I376" s="135">
        <f>SUM(D376:H376)</f>
        <v>16625000</v>
      </c>
    </row>
    <row r="377" spans="1:9" x14ac:dyDescent="0.25">
      <c r="A377" s="136"/>
      <c r="B377" s="137"/>
      <c r="C377" s="138"/>
      <c r="D377" s="137"/>
      <c r="E377" s="138"/>
      <c r="F377" s="138"/>
      <c r="G377" s="137"/>
      <c r="H377" s="139"/>
      <c r="I377" s="135">
        <f t="shared" ref="I377:I378" si="33">SUM(D377:H377)</f>
        <v>0</v>
      </c>
    </row>
    <row r="378" spans="1:9" x14ac:dyDescent="0.25">
      <c r="A378" s="136"/>
      <c r="B378" s="137"/>
      <c r="C378" s="137"/>
      <c r="D378" s="137"/>
      <c r="E378" s="138"/>
      <c r="F378" s="137"/>
      <c r="G378" s="137"/>
      <c r="H378" s="139"/>
      <c r="I378" s="135">
        <f t="shared" si="33"/>
        <v>0</v>
      </c>
    </row>
    <row r="379" spans="1:9" x14ac:dyDescent="0.25">
      <c r="A379" s="140"/>
      <c r="B379" s="137"/>
      <c r="C379" s="137"/>
      <c r="D379" s="137"/>
      <c r="E379" s="137"/>
      <c r="F379" s="137"/>
      <c r="G379" s="137"/>
      <c r="H379" s="139"/>
      <c r="I379" s="141"/>
    </row>
    <row r="380" spans="1:9" x14ac:dyDescent="0.25">
      <c r="A380" s="142"/>
      <c r="B380" s="143"/>
      <c r="C380" s="143"/>
      <c r="D380" s="143"/>
      <c r="E380" s="143"/>
      <c r="F380" s="143"/>
      <c r="G380" s="143"/>
      <c r="H380" s="144"/>
      <c r="I380" s="145"/>
    </row>
    <row r="381" spans="1:9" ht="15.75" thickBot="1" x14ac:dyDescent="0.3">
      <c r="A381" s="146"/>
      <c r="B381" s="147" t="s">
        <v>10</v>
      </c>
      <c r="C381" s="148"/>
      <c r="D381" s="148">
        <f t="shared" ref="D381" si="34">SUM(D375:D380)</f>
        <v>12706668</v>
      </c>
      <c r="E381" s="148">
        <f>SUM(E375:E380)</f>
        <v>16625000</v>
      </c>
      <c r="F381" s="148">
        <f>SUM(F375:F380)</f>
        <v>815000</v>
      </c>
      <c r="G381" s="148">
        <f>SUM(G375:G380)</f>
        <v>0</v>
      </c>
      <c r="H381" s="148">
        <f t="shared" ref="H381:I381" si="35">SUM(H375:H380)</f>
        <v>4680000</v>
      </c>
      <c r="I381" s="149">
        <f t="shared" si="35"/>
        <v>34826668</v>
      </c>
    </row>
    <row r="383" spans="1:9" x14ac:dyDescent="0.25">
      <c r="G383" s="84" t="s">
        <v>3507</v>
      </c>
      <c r="H383" s="84"/>
    </row>
    <row r="397" spans="1:1" x14ac:dyDescent="0.25">
      <c r="A397" t="s">
        <v>78</v>
      </c>
    </row>
    <row r="398" spans="1:1" x14ac:dyDescent="0.25">
      <c r="A398" t="s">
        <v>1</v>
      </c>
    </row>
    <row r="401" spans="1:9" x14ac:dyDescent="0.25">
      <c r="A401" s="268" t="s">
        <v>86</v>
      </c>
      <c r="B401" s="268"/>
      <c r="C401" s="268"/>
      <c r="D401" s="268"/>
      <c r="E401" s="268"/>
      <c r="F401" s="268"/>
      <c r="G401" s="268"/>
      <c r="H401" s="268"/>
      <c r="I401" s="268"/>
    </row>
    <row r="402" spans="1:9" x14ac:dyDescent="0.25">
      <c r="A402" s="268" t="s">
        <v>3473</v>
      </c>
      <c r="B402" s="268"/>
      <c r="C402" s="268"/>
      <c r="D402" s="268"/>
      <c r="E402" s="268"/>
      <c r="F402" s="268"/>
      <c r="G402" s="268"/>
      <c r="H402" s="268"/>
      <c r="I402" s="268"/>
    </row>
    <row r="403" spans="1:9" ht="15.75" thickBot="1" x14ac:dyDescent="0.3">
      <c r="I403" t="s">
        <v>3508</v>
      </c>
    </row>
    <row r="404" spans="1:9" x14ac:dyDescent="0.25">
      <c r="A404" s="261" t="s">
        <v>16</v>
      </c>
      <c r="B404" s="263" t="s">
        <v>8</v>
      </c>
      <c r="C404" s="263" t="s">
        <v>77</v>
      </c>
      <c r="D404" s="265" t="s">
        <v>87</v>
      </c>
      <c r="E404" s="265"/>
      <c r="F404" s="265"/>
      <c r="G404" s="265"/>
      <c r="H404" s="265"/>
      <c r="I404" s="266" t="s">
        <v>10</v>
      </c>
    </row>
    <row r="405" spans="1:9" x14ac:dyDescent="0.25">
      <c r="A405" s="262"/>
      <c r="B405" s="264"/>
      <c r="C405" s="264"/>
      <c r="D405" s="88" t="s">
        <v>88</v>
      </c>
      <c r="E405" s="88" t="s">
        <v>89</v>
      </c>
      <c r="F405" s="88" t="s">
        <v>90</v>
      </c>
      <c r="G405" s="88" t="s">
        <v>91</v>
      </c>
      <c r="H405" s="88" t="s">
        <v>92</v>
      </c>
      <c r="I405" s="267"/>
    </row>
    <row r="406" spans="1:9" x14ac:dyDescent="0.25">
      <c r="A406" s="262"/>
      <c r="B406" s="264"/>
      <c r="C406" s="264"/>
      <c r="D406" s="85" t="s">
        <v>93</v>
      </c>
      <c r="E406" s="85" t="s">
        <v>94</v>
      </c>
      <c r="F406" s="85" t="s">
        <v>94</v>
      </c>
      <c r="G406" s="85" t="s">
        <v>95</v>
      </c>
      <c r="H406" s="85" t="s">
        <v>75</v>
      </c>
      <c r="I406" s="267"/>
    </row>
    <row r="407" spans="1:9" x14ac:dyDescent="0.25">
      <c r="A407" s="262"/>
      <c r="B407" s="264"/>
      <c r="C407" s="264"/>
      <c r="D407" s="86" t="s">
        <v>96</v>
      </c>
      <c r="E407" s="86" t="s">
        <v>97</v>
      </c>
      <c r="F407" s="86" t="s">
        <v>96</v>
      </c>
      <c r="G407" s="86" t="s">
        <v>98</v>
      </c>
      <c r="H407" s="86"/>
      <c r="I407" s="267"/>
    </row>
    <row r="408" spans="1:9" x14ac:dyDescent="0.25">
      <c r="A408" s="132">
        <v>1</v>
      </c>
      <c r="B408" s="87" t="s">
        <v>99</v>
      </c>
      <c r="C408" s="133" t="s">
        <v>3509</v>
      </c>
      <c r="D408" s="133">
        <v>9182636</v>
      </c>
      <c r="E408" s="133"/>
      <c r="F408" s="158">
        <v>670000</v>
      </c>
      <c r="G408" s="87"/>
      <c r="H408" s="134">
        <f>1590000*2</f>
        <v>3180000</v>
      </c>
      <c r="I408" s="135">
        <f>SUM(D408:H408)</f>
        <v>13032636</v>
      </c>
    </row>
    <row r="409" spans="1:9" x14ac:dyDescent="0.25">
      <c r="A409" s="136"/>
      <c r="B409" s="137"/>
      <c r="C409" s="138"/>
      <c r="D409" s="138"/>
      <c r="E409" s="138"/>
      <c r="F409" s="138"/>
      <c r="G409" s="137"/>
      <c r="H409" s="139"/>
      <c r="I409" s="135">
        <f>SUM(D409:H409)</f>
        <v>0</v>
      </c>
    </row>
    <row r="410" spans="1:9" x14ac:dyDescent="0.25">
      <c r="A410" s="136"/>
      <c r="B410" s="137"/>
      <c r="C410" s="138"/>
      <c r="D410" s="137"/>
      <c r="E410" s="138"/>
      <c r="F410" s="138"/>
      <c r="G410" s="137"/>
      <c r="H410" s="139"/>
      <c r="I410" s="135">
        <f t="shared" ref="I410:I411" si="36">SUM(D410:H410)</f>
        <v>0</v>
      </c>
    </row>
    <row r="411" spans="1:9" x14ac:dyDescent="0.25">
      <c r="A411" s="136"/>
      <c r="B411" s="137"/>
      <c r="C411" s="137"/>
      <c r="D411" s="137"/>
      <c r="E411" s="138"/>
      <c r="F411" s="137"/>
      <c r="G411" s="137"/>
      <c r="H411" s="139"/>
      <c r="I411" s="135">
        <f t="shared" si="36"/>
        <v>0</v>
      </c>
    </row>
    <row r="412" spans="1:9" x14ac:dyDescent="0.25">
      <c r="A412" s="140"/>
      <c r="B412" s="137"/>
      <c r="C412" s="137"/>
      <c r="D412" s="137"/>
      <c r="E412" s="137"/>
      <c r="F412" s="137"/>
      <c r="G412" s="137"/>
      <c r="H412" s="139"/>
      <c r="I412" s="141"/>
    </row>
    <row r="413" spans="1:9" x14ac:dyDescent="0.25">
      <c r="A413" s="142"/>
      <c r="B413" s="143"/>
      <c r="C413" s="143"/>
      <c r="D413" s="143"/>
      <c r="E413" s="143"/>
      <c r="F413" s="143"/>
      <c r="G413" s="143"/>
      <c r="H413" s="144"/>
      <c r="I413" s="145"/>
    </row>
    <row r="414" spans="1:9" ht="15.75" thickBot="1" x14ac:dyDescent="0.3">
      <c r="A414" s="146"/>
      <c r="B414" s="147" t="s">
        <v>10</v>
      </c>
      <c r="C414" s="148"/>
      <c r="D414" s="148">
        <f t="shared" ref="D414" si="37">SUM(D408:D413)</f>
        <v>9182636</v>
      </c>
      <c r="E414" s="148">
        <f>SUM(E408:E413)</f>
        <v>0</v>
      </c>
      <c r="F414" s="148">
        <f>SUM(F408:F413)</f>
        <v>670000</v>
      </c>
      <c r="G414" s="148">
        <f>SUM(G408:G413)</f>
        <v>0</v>
      </c>
      <c r="H414" s="148">
        <f t="shared" ref="H414:I414" si="38">SUM(H408:H413)</f>
        <v>3180000</v>
      </c>
      <c r="I414" s="149">
        <f t="shared" si="38"/>
        <v>13032636</v>
      </c>
    </row>
    <row r="416" spans="1:9" x14ac:dyDescent="0.25">
      <c r="G416" s="84" t="s">
        <v>3510</v>
      </c>
      <c r="H416" s="84"/>
    </row>
    <row r="430" spans="1:1" x14ac:dyDescent="0.25">
      <c r="A430" t="s">
        <v>78</v>
      </c>
    </row>
    <row r="431" spans="1:1" x14ac:dyDescent="0.25">
      <c r="A431" t="s">
        <v>1</v>
      </c>
    </row>
    <row r="434" spans="1:9" x14ac:dyDescent="0.25">
      <c r="A434" s="268" t="s">
        <v>86</v>
      </c>
      <c r="B434" s="268"/>
      <c r="C434" s="268"/>
      <c r="D434" s="268"/>
      <c r="E434" s="268"/>
      <c r="F434" s="268"/>
      <c r="G434" s="268"/>
      <c r="H434" s="268"/>
      <c r="I434" s="268"/>
    </row>
    <row r="435" spans="1:9" x14ac:dyDescent="0.25">
      <c r="A435" s="268" t="s">
        <v>3473</v>
      </c>
      <c r="B435" s="268"/>
      <c r="C435" s="268"/>
      <c r="D435" s="268"/>
      <c r="E435" s="268"/>
      <c r="F435" s="268"/>
      <c r="G435" s="268"/>
      <c r="H435" s="268"/>
      <c r="I435" s="268"/>
    </row>
    <row r="436" spans="1:9" ht="15.75" thickBot="1" x14ac:dyDescent="0.3">
      <c r="I436" t="s">
        <v>3514</v>
      </c>
    </row>
    <row r="437" spans="1:9" x14ac:dyDescent="0.25">
      <c r="A437" s="261" t="s">
        <v>16</v>
      </c>
      <c r="B437" s="263" t="s">
        <v>8</v>
      </c>
      <c r="C437" s="263" t="s">
        <v>77</v>
      </c>
      <c r="D437" s="265" t="s">
        <v>87</v>
      </c>
      <c r="E437" s="265"/>
      <c r="F437" s="265"/>
      <c r="G437" s="265"/>
      <c r="H437" s="265"/>
      <c r="I437" s="266" t="s">
        <v>10</v>
      </c>
    </row>
    <row r="438" spans="1:9" x14ac:dyDescent="0.25">
      <c r="A438" s="262"/>
      <c r="B438" s="264"/>
      <c r="C438" s="264"/>
      <c r="D438" s="88" t="s">
        <v>88</v>
      </c>
      <c r="E438" s="88" t="s">
        <v>89</v>
      </c>
      <c r="F438" s="88" t="s">
        <v>90</v>
      </c>
      <c r="G438" s="88" t="s">
        <v>91</v>
      </c>
      <c r="H438" s="88" t="s">
        <v>92</v>
      </c>
      <c r="I438" s="267"/>
    </row>
    <row r="439" spans="1:9" x14ac:dyDescent="0.25">
      <c r="A439" s="262"/>
      <c r="B439" s="264"/>
      <c r="C439" s="264"/>
      <c r="D439" s="85" t="s">
        <v>93</v>
      </c>
      <c r="E439" s="85" t="s">
        <v>94</v>
      </c>
      <c r="F439" s="85" t="s">
        <v>94</v>
      </c>
      <c r="G439" s="85" t="s">
        <v>95</v>
      </c>
      <c r="H439" s="85" t="s">
        <v>75</v>
      </c>
      <c r="I439" s="267"/>
    </row>
    <row r="440" spans="1:9" x14ac:dyDescent="0.25">
      <c r="A440" s="262"/>
      <c r="B440" s="264"/>
      <c r="C440" s="264"/>
      <c r="D440" s="86" t="s">
        <v>96</v>
      </c>
      <c r="E440" s="86" t="s">
        <v>97</v>
      </c>
      <c r="F440" s="86" t="s">
        <v>96</v>
      </c>
      <c r="G440" s="86" t="s">
        <v>98</v>
      </c>
      <c r="H440" s="86"/>
      <c r="I440" s="267"/>
    </row>
    <row r="441" spans="1:9" x14ac:dyDescent="0.25">
      <c r="A441" s="132">
        <v>1</v>
      </c>
      <c r="B441" s="87" t="s">
        <v>99</v>
      </c>
      <c r="C441" s="133" t="s">
        <v>3515</v>
      </c>
      <c r="D441" s="133">
        <v>2474794</v>
      </c>
      <c r="E441" s="133"/>
      <c r="F441" s="158">
        <v>260000</v>
      </c>
      <c r="G441" s="87"/>
      <c r="H441" s="134">
        <f>550000*2</f>
        <v>1100000</v>
      </c>
      <c r="I441" s="135">
        <f>SUM(D441:H441)</f>
        <v>3834794</v>
      </c>
    </row>
    <row r="442" spans="1:9" x14ac:dyDescent="0.25">
      <c r="A442" s="136">
        <v>2</v>
      </c>
      <c r="B442" s="137" t="s">
        <v>3530</v>
      </c>
      <c r="C442" s="138" t="str">
        <f>BPTRNA!E113</f>
        <v>BPTRNA/03/I/2021</v>
      </c>
      <c r="D442" s="138"/>
      <c r="E442" s="138">
        <f>BPTRNA!E123</f>
        <v>100000</v>
      </c>
      <c r="F442" s="138"/>
      <c r="G442" s="137"/>
      <c r="H442" s="139"/>
      <c r="I442" s="135">
        <f>SUM(D442:H442)</f>
        <v>100000</v>
      </c>
    </row>
    <row r="443" spans="1:9" x14ac:dyDescent="0.25">
      <c r="A443" s="136"/>
      <c r="B443" s="137"/>
      <c r="C443" s="138"/>
      <c r="D443" s="137"/>
      <c r="E443" s="138"/>
      <c r="F443" s="138"/>
      <c r="G443" s="137"/>
      <c r="H443" s="139"/>
      <c r="I443" s="135">
        <f t="shared" ref="I443:I444" si="39">SUM(D443:H443)</f>
        <v>0</v>
      </c>
    </row>
    <row r="444" spans="1:9" x14ac:dyDescent="0.25">
      <c r="A444" s="136"/>
      <c r="B444" s="137"/>
      <c r="C444" s="137"/>
      <c r="D444" s="137"/>
      <c r="E444" s="138"/>
      <c r="F444" s="137"/>
      <c r="G444" s="137"/>
      <c r="H444" s="139"/>
      <c r="I444" s="135">
        <f t="shared" si="39"/>
        <v>0</v>
      </c>
    </row>
    <row r="445" spans="1:9" x14ac:dyDescent="0.25">
      <c r="A445" s="140"/>
      <c r="B445" s="137"/>
      <c r="C445" s="137"/>
      <c r="D445" s="137"/>
      <c r="E445" s="137"/>
      <c r="F445" s="137"/>
      <c r="G445" s="137"/>
      <c r="H445" s="139"/>
      <c r="I445" s="141"/>
    </row>
    <row r="446" spans="1:9" x14ac:dyDescent="0.25">
      <c r="A446" s="142"/>
      <c r="B446" s="143"/>
      <c r="C446" s="143"/>
      <c r="D446" s="143"/>
      <c r="E446" s="143"/>
      <c r="F446" s="143"/>
      <c r="G446" s="143"/>
      <c r="H446" s="144"/>
      <c r="I446" s="145"/>
    </row>
    <row r="447" spans="1:9" ht="15.75" thickBot="1" x14ac:dyDescent="0.3">
      <c r="A447" s="146"/>
      <c r="B447" s="147" t="s">
        <v>10</v>
      </c>
      <c r="C447" s="148"/>
      <c r="D447" s="148">
        <f t="shared" ref="D447" si="40">SUM(D441:D446)</f>
        <v>2474794</v>
      </c>
      <c r="E447" s="148">
        <f>SUM(E441:E446)</f>
        <v>100000</v>
      </c>
      <c r="F447" s="148">
        <f>SUM(F441:F446)</f>
        <v>260000</v>
      </c>
      <c r="G447" s="148">
        <f>SUM(G441:G446)</f>
        <v>0</v>
      </c>
      <c r="H447" s="148">
        <f t="shared" ref="H447:I447" si="41">SUM(H441:H446)</f>
        <v>1100000</v>
      </c>
      <c r="I447" s="149">
        <f t="shared" si="41"/>
        <v>3934794</v>
      </c>
    </row>
    <row r="449" spans="1:8" x14ac:dyDescent="0.25">
      <c r="G449" s="84" t="s">
        <v>3516</v>
      </c>
      <c r="H449" s="84"/>
    </row>
    <row r="463" spans="1:8" x14ac:dyDescent="0.25">
      <c r="A463" t="s">
        <v>78</v>
      </c>
    </row>
    <row r="464" spans="1:8" x14ac:dyDescent="0.25">
      <c r="A464" t="s">
        <v>1</v>
      </c>
    </row>
    <row r="467" spans="1:9" x14ac:dyDescent="0.25">
      <c r="A467" s="268" t="s">
        <v>86</v>
      </c>
      <c r="B467" s="268"/>
      <c r="C467" s="268"/>
      <c r="D467" s="268"/>
      <c r="E467" s="268"/>
      <c r="F467" s="268"/>
      <c r="G467" s="268"/>
      <c r="H467" s="268"/>
      <c r="I467" s="268"/>
    </row>
    <row r="468" spans="1:9" x14ac:dyDescent="0.25">
      <c r="A468" s="268" t="s">
        <v>3473</v>
      </c>
      <c r="B468" s="268"/>
      <c r="C468" s="268"/>
      <c r="D468" s="268"/>
      <c r="E468" s="268"/>
      <c r="F468" s="268"/>
      <c r="G468" s="268"/>
      <c r="H468" s="268"/>
      <c r="I468" s="268"/>
    </row>
    <row r="469" spans="1:9" ht="15.75" thickBot="1" x14ac:dyDescent="0.3">
      <c r="I469" t="s">
        <v>3517</v>
      </c>
    </row>
    <row r="470" spans="1:9" x14ac:dyDescent="0.25">
      <c r="A470" s="261" t="s">
        <v>16</v>
      </c>
      <c r="B470" s="263" t="s">
        <v>8</v>
      </c>
      <c r="C470" s="263" t="s">
        <v>77</v>
      </c>
      <c r="D470" s="265" t="s">
        <v>87</v>
      </c>
      <c r="E470" s="265"/>
      <c r="F470" s="265"/>
      <c r="G470" s="265"/>
      <c r="H470" s="265"/>
      <c r="I470" s="266" t="s">
        <v>10</v>
      </c>
    </row>
    <row r="471" spans="1:9" x14ac:dyDescent="0.25">
      <c r="A471" s="262"/>
      <c r="B471" s="264"/>
      <c r="C471" s="264"/>
      <c r="D471" s="88" t="s">
        <v>88</v>
      </c>
      <c r="E471" s="88" t="s">
        <v>89</v>
      </c>
      <c r="F471" s="88" t="s">
        <v>90</v>
      </c>
      <c r="G471" s="88" t="s">
        <v>91</v>
      </c>
      <c r="H471" s="88" t="s">
        <v>92</v>
      </c>
      <c r="I471" s="267"/>
    </row>
    <row r="472" spans="1:9" x14ac:dyDescent="0.25">
      <c r="A472" s="262"/>
      <c r="B472" s="264"/>
      <c r="C472" s="264"/>
      <c r="D472" s="85" t="s">
        <v>93</v>
      </c>
      <c r="E472" s="85" t="s">
        <v>94</v>
      </c>
      <c r="F472" s="85" t="s">
        <v>94</v>
      </c>
      <c r="G472" s="85" t="s">
        <v>95</v>
      </c>
      <c r="H472" s="85" t="s">
        <v>75</v>
      </c>
      <c r="I472" s="267"/>
    </row>
    <row r="473" spans="1:9" x14ac:dyDescent="0.25">
      <c r="A473" s="262"/>
      <c r="B473" s="264"/>
      <c r="C473" s="264"/>
      <c r="D473" s="86" t="s">
        <v>96</v>
      </c>
      <c r="E473" s="86" t="s">
        <v>97</v>
      </c>
      <c r="F473" s="86" t="s">
        <v>96</v>
      </c>
      <c r="G473" s="86" t="s">
        <v>98</v>
      </c>
      <c r="H473" s="86"/>
      <c r="I473" s="267"/>
    </row>
    <row r="474" spans="1:9" x14ac:dyDescent="0.25">
      <c r="A474" s="132">
        <v>1</v>
      </c>
      <c r="B474" s="87" t="s">
        <v>99</v>
      </c>
      <c r="C474" s="133" t="s">
        <v>3518</v>
      </c>
      <c r="D474" s="133">
        <v>5687475</v>
      </c>
      <c r="E474" s="133"/>
      <c r="F474" s="158">
        <v>315000</v>
      </c>
      <c r="G474" s="87"/>
      <c r="H474" s="134">
        <f>1100000*2</f>
        <v>2200000</v>
      </c>
      <c r="I474" s="135">
        <f>SUM(D474:H474)</f>
        <v>8202475</v>
      </c>
    </row>
    <row r="475" spans="1:9" x14ac:dyDescent="0.25">
      <c r="A475" s="136"/>
      <c r="B475" s="137"/>
      <c r="C475" s="138"/>
      <c r="D475" s="138"/>
      <c r="E475" s="138"/>
      <c r="F475" s="138"/>
      <c r="G475" s="137"/>
      <c r="H475" s="139"/>
      <c r="I475" s="135">
        <f>SUM(D475:H475)</f>
        <v>0</v>
      </c>
    </row>
    <row r="476" spans="1:9" x14ac:dyDescent="0.25">
      <c r="A476" s="136"/>
      <c r="B476" s="137"/>
      <c r="C476" s="138"/>
      <c r="D476" s="137"/>
      <c r="E476" s="138"/>
      <c r="F476" s="138"/>
      <c r="G476" s="137"/>
      <c r="H476" s="139"/>
      <c r="I476" s="135">
        <f t="shared" ref="I476:I477" si="42">SUM(D476:H476)</f>
        <v>0</v>
      </c>
    </row>
    <row r="477" spans="1:9" x14ac:dyDescent="0.25">
      <c r="A477" s="136"/>
      <c r="B477" s="137"/>
      <c r="C477" s="137"/>
      <c r="D477" s="137"/>
      <c r="E477" s="138"/>
      <c r="F477" s="137"/>
      <c r="G477" s="137"/>
      <c r="H477" s="139"/>
      <c r="I477" s="135">
        <f t="shared" si="42"/>
        <v>0</v>
      </c>
    </row>
    <row r="478" spans="1:9" x14ac:dyDescent="0.25">
      <c r="A478" s="140"/>
      <c r="B478" s="137"/>
      <c r="C478" s="137"/>
      <c r="D478" s="137"/>
      <c r="E478" s="137"/>
      <c r="F478" s="137"/>
      <c r="G478" s="137"/>
      <c r="H478" s="139"/>
      <c r="I478" s="141"/>
    </row>
    <row r="479" spans="1:9" x14ac:dyDescent="0.25">
      <c r="A479" s="142"/>
      <c r="B479" s="143"/>
      <c r="C479" s="143"/>
      <c r="D479" s="143"/>
      <c r="E479" s="143"/>
      <c r="F479" s="143"/>
      <c r="G479" s="143"/>
      <c r="H479" s="144"/>
      <c r="I479" s="145"/>
    </row>
    <row r="480" spans="1:9" ht="15.75" thickBot="1" x14ac:dyDescent="0.3">
      <c r="A480" s="146"/>
      <c r="B480" s="147" t="s">
        <v>10</v>
      </c>
      <c r="C480" s="148"/>
      <c r="D480" s="148">
        <f t="shared" ref="D480" si="43">SUM(D474:D479)</f>
        <v>5687475</v>
      </c>
      <c r="E480" s="148">
        <f>SUM(E474:E479)</f>
        <v>0</v>
      </c>
      <c r="F480" s="148">
        <f>SUM(F474:F479)</f>
        <v>315000</v>
      </c>
      <c r="G480" s="148">
        <f>SUM(G474:G479)</f>
        <v>0</v>
      </c>
      <c r="H480" s="148">
        <f t="shared" ref="H480:I480" si="44">SUM(H474:H479)</f>
        <v>2200000</v>
      </c>
      <c r="I480" s="149">
        <f t="shared" si="44"/>
        <v>8202475</v>
      </c>
    </row>
    <row r="482" spans="1:8" x14ac:dyDescent="0.25">
      <c r="G482" s="84" t="s">
        <v>3519</v>
      </c>
      <c r="H482" s="84"/>
    </row>
    <row r="496" spans="1:8" x14ac:dyDescent="0.25">
      <c r="A496" t="s">
        <v>78</v>
      </c>
    </row>
    <row r="497" spans="1:9" x14ac:dyDescent="0.25">
      <c r="A497" t="s">
        <v>1</v>
      </c>
    </row>
    <row r="500" spans="1:9" x14ac:dyDescent="0.25">
      <c r="A500" s="268" t="s">
        <v>86</v>
      </c>
      <c r="B500" s="268"/>
      <c r="C500" s="268"/>
      <c r="D500" s="268"/>
      <c r="E500" s="268"/>
      <c r="F500" s="268"/>
      <c r="G500" s="268"/>
      <c r="H500" s="268"/>
      <c r="I500" s="268"/>
    </row>
    <row r="501" spans="1:9" x14ac:dyDescent="0.25">
      <c r="A501" s="268" t="s">
        <v>3473</v>
      </c>
      <c r="B501" s="268"/>
      <c r="C501" s="268"/>
      <c r="D501" s="268"/>
      <c r="E501" s="268"/>
      <c r="F501" s="268"/>
      <c r="G501" s="268"/>
      <c r="H501" s="268"/>
      <c r="I501" s="268"/>
    </row>
    <row r="502" spans="1:9" ht="15.75" thickBot="1" x14ac:dyDescent="0.3">
      <c r="I502" t="s">
        <v>3520</v>
      </c>
    </row>
    <row r="503" spans="1:9" x14ac:dyDescent="0.25">
      <c r="A503" s="261" t="s">
        <v>16</v>
      </c>
      <c r="B503" s="263" t="s">
        <v>8</v>
      </c>
      <c r="C503" s="263" t="s">
        <v>77</v>
      </c>
      <c r="D503" s="265" t="s">
        <v>87</v>
      </c>
      <c r="E503" s="265"/>
      <c r="F503" s="265"/>
      <c r="G503" s="265"/>
      <c r="H503" s="265"/>
      <c r="I503" s="266" t="s">
        <v>10</v>
      </c>
    </row>
    <row r="504" spans="1:9" x14ac:dyDescent="0.25">
      <c r="A504" s="262"/>
      <c r="B504" s="264"/>
      <c r="C504" s="264"/>
      <c r="D504" s="88" t="s">
        <v>88</v>
      </c>
      <c r="E504" s="88" t="s">
        <v>89</v>
      </c>
      <c r="F504" s="88" t="s">
        <v>90</v>
      </c>
      <c r="G504" s="88" t="s">
        <v>91</v>
      </c>
      <c r="H504" s="88" t="s">
        <v>92</v>
      </c>
      <c r="I504" s="267"/>
    </row>
    <row r="505" spans="1:9" x14ac:dyDescent="0.25">
      <c r="A505" s="262"/>
      <c r="B505" s="264"/>
      <c r="C505" s="264"/>
      <c r="D505" s="85" t="s">
        <v>93</v>
      </c>
      <c r="E505" s="85" t="s">
        <v>94</v>
      </c>
      <c r="F505" s="85" t="s">
        <v>94</v>
      </c>
      <c r="G505" s="85" t="s">
        <v>95</v>
      </c>
      <c r="H505" s="85" t="s">
        <v>75</v>
      </c>
      <c r="I505" s="267"/>
    </row>
    <row r="506" spans="1:9" x14ac:dyDescent="0.25">
      <c r="A506" s="262"/>
      <c r="B506" s="264"/>
      <c r="C506" s="264"/>
      <c r="D506" s="86" t="s">
        <v>96</v>
      </c>
      <c r="E506" s="86" t="s">
        <v>97</v>
      </c>
      <c r="F506" s="86" t="s">
        <v>96</v>
      </c>
      <c r="G506" s="86" t="s">
        <v>98</v>
      </c>
      <c r="H506" s="86"/>
      <c r="I506" s="267"/>
    </row>
    <row r="507" spans="1:9" x14ac:dyDescent="0.25">
      <c r="A507" s="132">
        <v>1</v>
      </c>
      <c r="B507" s="87" t="s">
        <v>99</v>
      </c>
      <c r="C507" s="133" t="s">
        <v>3521</v>
      </c>
      <c r="D507" s="133">
        <v>1104894</v>
      </c>
      <c r="E507" s="133"/>
      <c r="F507" s="158">
        <v>60000</v>
      </c>
      <c r="G507" s="87"/>
      <c r="H507" s="134">
        <f>660000</f>
        <v>660000</v>
      </c>
      <c r="I507" s="135">
        <f>SUM(D507:H507)</f>
        <v>1824894</v>
      </c>
    </row>
    <row r="508" spans="1:9" x14ac:dyDescent="0.25">
      <c r="A508" s="136"/>
      <c r="B508" s="137"/>
      <c r="C508" s="138"/>
      <c r="D508" s="138"/>
      <c r="E508" s="138"/>
      <c r="F508" s="138"/>
      <c r="G508" s="137"/>
      <c r="H508" s="139"/>
      <c r="I508" s="135">
        <f>SUM(D508:H508)</f>
        <v>0</v>
      </c>
    </row>
    <row r="509" spans="1:9" x14ac:dyDescent="0.25">
      <c r="A509" s="136"/>
      <c r="B509" s="137"/>
      <c r="C509" s="138"/>
      <c r="D509" s="137"/>
      <c r="E509" s="138"/>
      <c r="F509" s="138"/>
      <c r="G509" s="137"/>
      <c r="H509" s="139"/>
      <c r="I509" s="135">
        <f t="shared" ref="I509:I510" si="45">SUM(D509:H509)</f>
        <v>0</v>
      </c>
    </row>
    <row r="510" spans="1:9" x14ac:dyDescent="0.25">
      <c r="A510" s="136"/>
      <c r="B510" s="137"/>
      <c r="C510" s="137"/>
      <c r="D510" s="137"/>
      <c r="E510" s="138"/>
      <c r="F510" s="137"/>
      <c r="G510" s="137"/>
      <c r="H510" s="139"/>
      <c r="I510" s="135">
        <f t="shared" si="45"/>
        <v>0</v>
      </c>
    </row>
    <row r="511" spans="1:9" x14ac:dyDescent="0.25">
      <c r="A511" s="140"/>
      <c r="B511" s="137"/>
      <c r="C511" s="137"/>
      <c r="D511" s="137"/>
      <c r="E511" s="137"/>
      <c r="F511" s="137"/>
      <c r="G511" s="137"/>
      <c r="H511" s="139"/>
      <c r="I511" s="141"/>
    </row>
    <row r="512" spans="1:9" x14ac:dyDescent="0.25">
      <c r="A512" s="142"/>
      <c r="B512" s="143"/>
      <c r="C512" s="143"/>
      <c r="D512" s="143"/>
      <c r="E512" s="143"/>
      <c r="F512" s="143"/>
      <c r="G512" s="143"/>
      <c r="H512" s="144"/>
      <c r="I512" s="145"/>
    </row>
    <row r="513" spans="1:9" ht="15.75" thickBot="1" x14ac:dyDescent="0.3">
      <c r="A513" s="146"/>
      <c r="B513" s="147" t="s">
        <v>10</v>
      </c>
      <c r="C513" s="148"/>
      <c r="D513" s="148">
        <f t="shared" ref="D513" si="46">SUM(D507:D512)</f>
        <v>1104894</v>
      </c>
      <c r="E513" s="148">
        <f>SUM(E507:E512)</f>
        <v>0</v>
      </c>
      <c r="F513" s="148">
        <f>SUM(F507:F512)</f>
        <v>60000</v>
      </c>
      <c r="G513" s="148">
        <f>SUM(G507:G512)</f>
        <v>0</v>
      </c>
      <c r="H513" s="148">
        <f t="shared" ref="H513:I513" si="47">SUM(H507:H512)</f>
        <v>660000</v>
      </c>
      <c r="I513" s="149">
        <f t="shared" si="47"/>
        <v>1824894</v>
      </c>
    </row>
    <row r="515" spans="1:9" x14ac:dyDescent="0.25">
      <c r="G515" s="84" t="s">
        <v>3522</v>
      </c>
      <c r="H515" s="84"/>
    </row>
    <row r="529" spans="1:9" x14ac:dyDescent="0.25">
      <c r="A529" t="s">
        <v>78</v>
      </c>
    </row>
    <row r="530" spans="1:9" x14ac:dyDescent="0.25">
      <c r="A530" t="s">
        <v>1</v>
      </c>
    </row>
    <row r="533" spans="1:9" x14ac:dyDescent="0.25">
      <c r="A533" s="268" t="s">
        <v>86</v>
      </c>
      <c r="B533" s="268"/>
      <c r="C533" s="268"/>
      <c r="D533" s="268"/>
      <c r="E533" s="268"/>
      <c r="F533" s="268"/>
      <c r="G533" s="268"/>
      <c r="H533" s="268"/>
      <c r="I533" s="268"/>
    </row>
    <row r="534" spans="1:9" x14ac:dyDescent="0.25">
      <c r="A534" s="268" t="s">
        <v>3473</v>
      </c>
      <c r="B534" s="268"/>
      <c r="C534" s="268"/>
      <c r="D534" s="268"/>
      <c r="E534" s="268"/>
      <c r="F534" s="268"/>
      <c r="G534" s="268"/>
      <c r="H534" s="268"/>
      <c r="I534" s="268"/>
    </row>
    <row r="535" spans="1:9" ht="15.75" thickBot="1" x14ac:dyDescent="0.3">
      <c r="I535" t="s">
        <v>3523</v>
      </c>
    </row>
    <row r="536" spans="1:9" x14ac:dyDescent="0.25">
      <c r="A536" s="261" t="s">
        <v>16</v>
      </c>
      <c r="B536" s="263" t="s">
        <v>8</v>
      </c>
      <c r="C536" s="263" t="s">
        <v>77</v>
      </c>
      <c r="D536" s="265" t="s">
        <v>87</v>
      </c>
      <c r="E536" s="265"/>
      <c r="F536" s="265"/>
      <c r="G536" s="265"/>
      <c r="H536" s="265"/>
      <c r="I536" s="266" t="s">
        <v>10</v>
      </c>
    </row>
    <row r="537" spans="1:9" x14ac:dyDescent="0.25">
      <c r="A537" s="262"/>
      <c r="B537" s="264"/>
      <c r="C537" s="264"/>
      <c r="D537" s="88" t="s">
        <v>88</v>
      </c>
      <c r="E537" s="88" t="s">
        <v>89</v>
      </c>
      <c r="F537" s="88" t="s">
        <v>90</v>
      </c>
      <c r="G537" s="88" t="s">
        <v>91</v>
      </c>
      <c r="H537" s="88" t="s">
        <v>92</v>
      </c>
      <c r="I537" s="267"/>
    </row>
    <row r="538" spans="1:9" x14ac:dyDescent="0.25">
      <c r="A538" s="262"/>
      <c r="B538" s="264"/>
      <c r="C538" s="264"/>
      <c r="D538" s="85" t="s">
        <v>93</v>
      </c>
      <c r="E538" s="85" t="s">
        <v>94</v>
      </c>
      <c r="F538" s="85" t="s">
        <v>94</v>
      </c>
      <c r="G538" s="85" t="s">
        <v>95</v>
      </c>
      <c r="H538" s="85" t="s">
        <v>75</v>
      </c>
      <c r="I538" s="267"/>
    </row>
    <row r="539" spans="1:9" x14ac:dyDescent="0.25">
      <c r="A539" s="262"/>
      <c r="B539" s="264"/>
      <c r="C539" s="264"/>
      <c r="D539" s="86" t="s">
        <v>96</v>
      </c>
      <c r="E539" s="86" t="s">
        <v>97</v>
      </c>
      <c r="F539" s="86" t="s">
        <v>96</v>
      </c>
      <c r="G539" s="86" t="s">
        <v>98</v>
      </c>
      <c r="H539" s="86"/>
      <c r="I539" s="267"/>
    </row>
    <row r="540" spans="1:9" x14ac:dyDescent="0.25">
      <c r="A540" s="132">
        <v>1</v>
      </c>
      <c r="B540" s="87" t="s">
        <v>99</v>
      </c>
      <c r="C540" s="133" t="s">
        <v>3524</v>
      </c>
      <c r="D540" s="133">
        <v>325536</v>
      </c>
      <c r="E540" s="133"/>
      <c r="F540" s="158">
        <v>65000</v>
      </c>
      <c r="G540" s="87"/>
      <c r="H540" s="134">
        <f>240000</f>
        <v>240000</v>
      </c>
      <c r="I540" s="135">
        <f>SUM(D540:H540)</f>
        <v>630536</v>
      </c>
    </row>
    <row r="541" spans="1:9" x14ac:dyDescent="0.25">
      <c r="A541" s="136"/>
      <c r="B541" s="137"/>
      <c r="C541" s="138"/>
      <c r="D541" s="138"/>
      <c r="E541" s="138"/>
      <c r="F541" s="138"/>
      <c r="G541" s="137"/>
      <c r="H541" s="139"/>
      <c r="I541" s="135">
        <f>SUM(D541:H541)</f>
        <v>0</v>
      </c>
    </row>
    <row r="542" spans="1:9" x14ac:dyDescent="0.25">
      <c r="A542" s="136"/>
      <c r="B542" s="137"/>
      <c r="C542" s="138"/>
      <c r="D542" s="137"/>
      <c r="E542" s="138"/>
      <c r="F542" s="138"/>
      <c r="G542" s="137"/>
      <c r="H542" s="139"/>
      <c r="I542" s="135">
        <f t="shared" ref="I542:I543" si="48">SUM(D542:H542)</f>
        <v>0</v>
      </c>
    </row>
    <row r="543" spans="1:9" x14ac:dyDescent="0.25">
      <c r="A543" s="136"/>
      <c r="B543" s="137"/>
      <c r="C543" s="137"/>
      <c r="D543" s="137"/>
      <c r="E543" s="138"/>
      <c r="F543" s="137"/>
      <c r="G543" s="137"/>
      <c r="H543" s="139"/>
      <c r="I543" s="135">
        <f t="shared" si="48"/>
        <v>0</v>
      </c>
    </row>
    <row r="544" spans="1:9" x14ac:dyDescent="0.25">
      <c r="A544" s="140"/>
      <c r="B544" s="137"/>
      <c r="C544" s="137"/>
      <c r="D544" s="137"/>
      <c r="E544" s="137"/>
      <c r="F544" s="137"/>
      <c r="G544" s="137"/>
      <c r="H544" s="139"/>
      <c r="I544" s="141"/>
    </row>
    <row r="545" spans="1:9" x14ac:dyDescent="0.25">
      <c r="A545" s="142"/>
      <c r="B545" s="143"/>
      <c r="C545" s="143"/>
      <c r="D545" s="143"/>
      <c r="E545" s="143"/>
      <c r="F545" s="143"/>
      <c r="G545" s="143"/>
      <c r="H545" s="144"/>
      <c r="I545" s="145"/>
    </row>
    <row r="546" spans="1:9" ht="15.75" thickBot="1" x14ac:dyDescent="0.3">
      <c r="A546" s="146"/>
      <c r="B546" s="147" t="s">
        <v>10</v>
      </c>
      <c r="C546" s="148"/>
      <c r="D546" s="148">
        <f t="shared" ref="D546" si="49">SUM(D540:D545)</f>
        <v>325536</v>
      </c>
      <c r="E546" s="148">
        <f>SUM(E540:E545)</f>
        <v>0</v>
      </c>
      <c r="F546" s="148">
        <f>SUM(F540:F545)</f>
        <v>65000</v>
      </c>
      <c r="G546" s="148">
        <f>SUM(G540:G545)</f>
        <v>0</v>
      </c>
      <c r="H546" s="148">
        <f t="shared" ref="H546:I546" si="50">SUM(H540:H545)</f>
        <v>240000</v>
      </c>
      <c r="I546" s="149">
        <f t="shared" si="50"/>
        <v>630536</v>
      </c>
    </row>
    <row r="548" spans="1:9" x14ac:dyDescent="0.25">
      <c r="G548" s="84" t="s">
        <v>3525</v>
      </c>
      <c r="H548" s="84"/>
    </row>
    <row r="562" spans="1:9" x14ac:dyDescent="0.25">
      <c r="A562" t="s">
        <v>78</v>
      </c>
    </row>
    <row r="563" spans="1:9" x14ac:dyDescent="0.25">
      <c r="A563" t="s">
        <v>1</v>
      </c>
    </row>
    <row r="566" spans="1:9" x14ac:dyDescent="0.25">
      <c r="A566" s="268" t="s">
        <v>86</v>
      </c>
      <c r="B566" s="268"/>
      <c r="C566" s="268"/>
      <c r="D566" s="268"/>
      <c r="E566" s="268"/>
      <c r="F566" s="268"/>
      <c r="G566" s="268"/>
      <c r="H566" s="268"/>
      <c r="I566" s="268"/>
    </row>
    <row r="567" spans="1:9" x14ac:dyDescent="0.25">
      <c r="A567" s="268" t="s">
        <v>3473</v>
      </c>
      <c r="B567" s="268"/>
      <c r="C567" s="268"/>
      <c r="D567" s="268"/>
      <c r="E567" s="268"/>
      <c r="F567" s="268"/>
      <c r="G567" s="268"/>
      <c r="H567" s="268"/>
      <c r="I567" s="268"/>
    </row>
    <row r="568" spans="1:9" ht="15.75" thickBot="1" x14ac:dyDescent="0.3">
      <c r="I568" t="s">
        <v>3526</v>
      </c>
    </row>
    <row r="569" spans="1:9" x14ac:dyDescent="0.25">
      <c r="A569" s="261" t="s">
        <v>16</v>
      </c>
      <c r="B569" s="263" t="s">
        <v>8</v>
      </c>
      <c r="C569" s="263" t="s">
        <v>77</v>
      </c>
      <c r="D569" s="265" t="s">
        <v>87</v>
      </c>
      <c r="E569" s="265"/>
      <c r="F569" s="265"/>
      <c r="G569" s="265"/>
      <c r="H569" s="265"/>
      <c r="I569" s="266" t="s">
        <v>10</v>
      </c>
    </row>
    <row r="570" spans="1:9" x14ac:dyDescent="0.25">
      <c r="A570" s="262"/>
      <c r="B570" s="264"/>
      <c r="C570" s="264"/>
      <c r="D570" s="88" t="s">
        <v>88</v>
      </c>
      <c r="E570" s="88" t="s">
        <v>89</v>
      </c>
      <c r="F570" s="88" t="s">
        <v>90</v>
      </c>
      <c r="G570" s="88" t="s">
        <v>91</v>
      </c>
      <c r="H570" s="88" t="s">
        <v>92</v>
      </c>
      <c r="I570" s="267"/>
    </row>
    <row r="571" spans="1:9" x14ac:dyDescent="0.25">
      <c r="A571" s="262"/>
      <c r="B571" s="264"/>
      <c r="C571" s="264"/>
      <c r="D571" s="85" t="s">
        <v>93</v>
      </c>
      <c r="E571" s="85" t="s">
        <v>94</v>
      </c>
      <c r="F571" s="85" t="s">
        <v>94</v>
      </c>
      <c r="G571" s="85" t="s">
        <v>95</v>
      </c>
      <c r="H571" s="85" t="s">
        <v>75</v>
      </c>
      <c r="I571" s="267"/>
    </row>
    <row r="572" spans="1:9" x14ac:dyDescent="0.25">
      <c r="A572" s="262"/>
      <c r="B572" s="264"/>
      <c r="C572" s="264"/>
      <c r="D572" s="86" t="s">
        <v>96</v>
      </c>
      <c r="E572" s="86" t="s">
        <v>97</v>
      </c>
      <c r="F572" s="86" t="s">
        <v>96</v>
      </c>
      <c r="G572" s="86" t="s">
        <v>98</v>
      </c>
      <c r="H572" s="86"/>
      <c r="I572" s="267"/>
    </row>
    <row r="573" spans="1:9" x14ac:dyDescent="0.25">
      <c r="A573" s="132">
        <v>1</v>
      </c>
      <c r="B573" s="87" t="s">
        <v>99</v>
      </c>
      <c r="C573" s="133" t="s">
        <v>3527</v>
      </c>
      <c r="D573" s="133">
        <v>22065813</v>
      </c>
      <c r="E573" s="133"/>
      <c r="F573" s="158">
        <v>890000</v>
      </c>
      <c r="G573" s="87"/>
      <c r="H573" s="134">
        <f>4150000*2</f>
        <v>8300000</v>
      </c>
      <c r="I573" s="135">
        <f>SUM(D573:H573)</f>
        <v>31255813</v>
      </c>
    </row>
    <row r="574" spans="1:9" x14ac:dyDescent="0.25">
      <c r="A574" s="136"/>
      <c r="B574" s="137"/>
      <c r="C574" s="138"/>
      <c r="D574" s="138"/>
      <c r="E574" s="138"/>
      <c r="F574" s="138"/>
      <c r="G574" s="137"/>
      <c r="H574" s="139"/>
      <c r="I574" s="135">
        <f>SUM(D574:H574)</f>
        <v>0</v>
      </c>
    </row>
    <row r="575" spans="1:9" x14ac:dyDescent="0.25">
      <c r="A575" s="136"/>
      <c r="B575" s="137"/>
      <c r="C575" s="138"/>
      <c r="D575" s="137"/>
      <c r="E575" s="138"/>
      <c r="F575" s="138"/>
      <c r="G575" s="137"/>
      <c r="H575" s="139"/>
      <c r="I575" s="135">
        <f t="shared" ref="I575:I576" si="51">SUM(D575:H575)</f>
        <v>0</v>
      </c>
    </row>
    <row r="576" spans="1:9" x14ac:dyDescent="0.25">
      <c r="A576" s="136"/>
      <c r="B576" s="137"/>
      <c r="C576" s="137"/>
      <c r="D576" s="137"/>
      <c r="E576" s="138"/>
      <c r="F576" s="137"/>
      <c r="G576" s="137"/>
      <c r="H576" s="139"/>
      <c r="I576" s="135">
        <f t="shared" si="51"/>
        <v>0</v>
      </c>
    </row>
    <row r="577" spans="1:9" x14ac:dyDescent="0.25">
      <c r="A577" s="140"/>
      <c r="B577" s="137"/>
      <c r="C577" s="137"/>
      <c r="D577" s="137"/>
      <c r="E577" s="137"/>
      <c r="F577" s="137"/>
      <c r="G577" s="137"/>
      <c r="H577" s="139"/>
      <c r="I577" s="141"/>
    </row>
    <row r="578" spans="1:9" x14ac:dyDescent="0.25">
      <c r="A578" s="142"/>
      <c r="B578" s="143"/>
      <c r="C578" s="143"/>
      <c r="D578" s="143"/>
      <c r="E578" s="143"/>
      <c r="F578" s="143"/>
      <c r="G578" s="143"/>
      <c r="H578" s="144"/>
      <c r="I578" s="145"/>
    </row>
    <row r="579" spans="1:9" ht="15.75" thickBot="1" x14ac:dyDescent="0.3">
      <c r="A579" s="146"/>
      <c r="B579" s="147" t="s">
        <v>10</v>
      </c>
      <c r="C579" s="148"/>
      <c r="D579" s="148">
        <f t="shared" ref="D579" si="52">SUM(D573:D578)</f>
        <v>22065813</v>
      </c>
      <c r="E579" s="148">
        <f>SUM(E573:E578)</f>
        <v>0</v>
      </c>
      <c r="F579" s="148">
        <f>SUM(F573:F578)</f>
        <v>890000</v>
      </c>
      <c r="G579" s="148">
        <f>SUM(G573:G578)</f>
        <v>0</v>
      </c>
      <c r="H579" s="148">
        <f t="shared" ref="H579:I579" si="53">SUM(H573:H578)</f>
        <v>8300000</v>
      </c>
      <c r="I579" s="149">
        <f t="shared" si="53"/>
        <v>31255813</v>
      </c>
    </row>
    <row r="581" spans="1:9" x14ac:dyDescent="0.25">
      <c r="G581" s="84" t="s">
        <v>3528</v>
      </c>
      <c r="H581" s="84"/>
    </row>
    <row r="595" spans="1:9" x14ac:dyDescent="0.25">
      <c r="A595" t="s">
        <v>78</v>
      </c>
    </row>
    <row r="596" spans="1:9" x14ac:dyDescent="0.25">
      <c r="A596" t="s">
        <v>1</v>
      </c>
    </row>
    <row r="599" spans="1:9" x14ac:dyDescent="0.25">
      <c r="A599" s="268" t="s">
        <v>86</v>
      </c>
      <c r="B599" s="268"/>
      <c r="C599" s="268"/>
      <c r="D599" s="268"/>
      <c r="E599" s="268"/>
      <c r="F599" s="268"/>
      <c r="G599" s="268"/>
      <c r="H599" s="268"/>
      <c r="I599" s="268"/>
    </row>
    <row r="600" spans="1:9" x14ac:dyDescent="0.25">
      <c r="A600" s="268" t="s">
        <v>3473</v>
      </c>
      <c r="B600" s="268"/>
      <c r="C600" s="268"/>
      <c r="D600" s="268"/>
      <c r="E600" s="268"/>
      <c r="F600" s="268"/>
      <c r="G600" s="268"/>
      <c r="H600" s="268"/>
      <c r="I600" s="268"/>
    </row>
    <row r="601" spans="1:9" ht="15.75" thickBot="1" x14ac:dyDescent="0.3">
      <c r="I601" t="s">
        <v>3531</v>
      </c>
    </row>
    <row r="602" spans="1:9" x14ac:dyDescent="0.25">
      <c r="A602" s="261" t="s">
        <v>16</v>
      </c>
      <c r="B602" s="263" t="s">
        <v>8</v>
      </c>
      <c r="C602" s="263" t="s">
        <v>77</v>
      </c>
      <c r="D602" s="265" t="s">
        <v>87</v>
      </c>
      <c r="E602" s="265"/>
      <c r="F602" s="265"/>
      <c r="G602" s="265"/>
      <c r="H602" s="265"/>
      <c r="I602" s="266" t="s">
        <v>10</v>
      </c>
    </row>
    <row r="603" spans="1:9" x14ac:dyDescent="0.25">
      <c r="A603" s="262"/>
      <c r="B603" s="264"/>
      <c r="C603" s="264"/>
      <c r="D603" s="88" t="s">
        <v>88</v>
      </c>
      <c r="E603" s="88" t="s">
        <v>89</v>
      </c>
      <c r="F603" s="88" t="s">
        <v>90</v>
      </c>
      <c r="G603" s="88" t="s">
        <v>91</v>
      </c>
      <c r="H603" s="88" t="s">
        <v>92</v>
      </c>
      <c r="I603" s="267"/>
    </row>
    <row r="604" spans="1:9" x14ac:dyDescent="0.25">
      <c r="A604" s="262"/>
      <c r="B604" s="264"/>
      <c r="C604" s="264"/>
      <c r="D604" s="85" t="s">
        <v>93</v>
      </c>
      <c r="E604" s="85" t="s">
        <v>94</v>
      </c>
      <c r="F604" s="85" t="s">
        <v>94</v>
      </c>
      <c r="G604" s="85" t="s">
        <v>95</v>
      </c>
      <c r="H604" s="85" t="s">
        <v>75</v>
      </c>
      <c r="I604" s="267"/>
    </row>
    <row r="605" spans="1:9" x14ac:dyDescent="0.25">
      <c r="A605" s="262"/>
      <c r="B605" s="264"/>
      <c r="C605" s="264"/>
      <c r="D605" s="86" t="s">
        <v>96</v>
      </c>
      <c r="E605" s="86" t="s">
        <v>97</v>
      </c>
      <c r="F605" s="86" t="s">
        <v>96</v>
      </c>
      <c r="G605" s="86" t="s">
        <v>98</v>
      </c>
      <c r="H605" s="86"/>
      <c r="I605" s="267"/>
    </row>
    <row r="606" spans="1:9" x14ac:dyDescent="0.25">
      <c r="A606" s="132">
        <v>1</v>
      </c>
      <c r="B606" s="87" t="s">
        <v>99</v>
      </c>
      <c r="C606" s="133" t="s">
        <v>3532</v>
      </c>
      <c r="D606" s="133">
        <v>17079442</v>
      </c>
      <c r="E606" s="133"/>
      <c r="F606" s="158">
        <v>1055000</v>
      </c>
      <c r="G606" s="87"/>
      <c r="H606" s="134">
        <f>3260000*2</f>
        <v>6520000</v>
      </c>
      <c r="I606" s="135">
        <f>SUM(D606:H606)</f>
        <v>24654442</v>
      </c>
    </row>
    <row r="607" spans="1:9" x14ac:dyDescent="0.25">
      <c r="A607" s="136">
        <v>2</v>
      </c>
      <c r="B607" s="87" t="s">
        <v>3538</v>
      </c>
      <c r="C607" s="138" t="str">
        <f>BPTRNA!E166</f>
        <v>BPTRNA/04/I/2021</v>
      </c>
      <c r="D607" s="138"/>
      <c r="E607" s="138">
        <f>BPTRNA!E176</f>
        <v>875000</v>
      </c>
      <c r="F607" s="138"/>
      <c r="G607" s="137"/>
      <c r="H607" s="139"/>
      <c r="I607" s="135">
        <f>SUM(D607:H607)</f>
        <v>875000</v>
      </c>
    </row>
    <row r="608" spans="1:9" x14ac:dyDescent="0.25">
      <c r="A608" s="136"/>
      <c r="B608" s="137"/>
      <c r="C608" s="138"/>
      <c r="D608" s="137"/>
      <c r="E608" s="138"/>
      <c r="F608" s="138"/>
      <c r="G608" s="137"/>
      <c r="H608" s="139"/>
      <c r="I608" s="135">
        <f t="shared" ref="I608:I609" si="54">SUM(D608:H608)</f>
        <v>0</v>
      </c>
    </row>
    <row r="609" spans="1:9" x14ac:dyDescent="0.25">
      <c r="A609" s="136"/>
      <c r="B609" s="137"/>
      <c r="C609" s="137"/>
      <c r="D609" s="137"/>
      <c r="E609" s="138"/>
      <c r="F609" s="137"/>
      <c r="G609" s="137"/>
      <c r="H609" s="139"/>
      <c r="I609" s="135">
        <f t="shared" si="54"/>
        <v>0</v>
      </c>
    </row>
    <row r="610" spans="1:9" x14ac:dyDescent="0.25">
      <c r="A610" s="140"/>
      <c r="B610" s="137"/>
      <c r="C610" s="137"/>
      <c r="D610" s="137"/>
      <c r="E610" s="137"/>
      <c r="F610" s="137"/>
      <c r="G610" s="137"/>
      <c r="H610" s="139"/>
      <c r="I610" s="141"/>
    </row>
    <row r="611" spans="1:9" x14ac:dyDescent="0.25">
      <c r="A611" s="142"/>
      <c r="B611" s="143"/>
      <c r="C611" s="143"/>
      <c r="D611" s="143"/>
      <c r="E611" s="143"/>
      <c r="F611" s="143"/>
      <c r="G611" s="143"/>
      <c r="H611" s="144"/>
      <c r="I611" s="145"/>
    </row>
    <row r="612" spans="1:9" ht="15.75" thickBot="1" x14ac:dyDescent="0.3">
      <c r="A612" s="146"/>
      <c r="B612" s="147" t="s">
        <v>10</v>
      </c>
      <c r="C612" s="148"/>
      <c r="D612" s="148">
        <f t="shared" ref="D612" si="55">SUM(D606:D611)</f>
        <v>17079442</v>
      </c>
      <c r="E612" s="148">
        <f>SUM(E606:E611)</f>
        <v>875000</v>
      </c>
      <c r="F612" s="148">
        <f>SUM(F606:F611)</f>
        <v>1055000</v>
      </c>
      <c r="G612" s="148">
        <f>SUM(G606:G611)</f>
        <v>0</v>
      </c>
      <c r="H612" s="148">
        <f t="shared" ref="H612:I612" si="56">SUM(H606:H611)</f>
        <v>6520000</v>
      </c>
      <c r="I612" s="149">
        <f t="shared" si="56"/>
        <v>25529442</v>
      </c>
    </row>
    <row r="614" spans="1:9" x14ac:dyDescent="0.25">
      <c r="G614" s="84" t="s">
        <v>3533</v>
      </c>
      <c r="H614" s="84"/>
    </row>
    <row r="628" spans="1:9" x14ac:dyDescent="0.25">
      <c r="A628" t="s">
        <v>78</v>
      </c>
    </row>
    <row r="629" spans="1:9" x14ac:dyDescent="0.25">
      <c r="A629" t="s">
        <v>1</v>
      </c>
    </row>
    <row r="632" spans="1:9" x14ac:dyDescent="0.25">
      <c r="A632" s="268" t="s">
        <v>86</v>
      </c>
      <c r="B632" s="268"/>
      <c r="C632" s="268"/>
      <c r="D632" s="268"/>
      <c r="E632" s="268"/>
      <c r="F632" s="268"/>
      <c r="G632" s="268"/>
      <c r="H632" s="268"/>
      <c r="I632" s="268"/>
    </row>
    <row r="633" spans="1:9" x14ac:dyDescent="0.25">
      <c r="A633" s="268" t="s">
        <v>3473</v>
      </c>
      <c r="B633" s="268"/>
      <c r="C633" s="268"/>
      <c r="D633" s="268"/>
      <c r="E633" s="268"/>
      <c r="F633" s="268"/>
      <c r="G633" s="268"/>
      <c r="H633" s="268"/>
      <c r="I633" s="268"/>
    </row>
    <row r="634" spans="1:9" ht="15.75" thickBot="1" x14ac:dyDescent="0.3">
      <c r="I634" t="s">
        <v>3534</v>
      </c>
    </row>
    <row r="635" spans="1:9" x14ac:dyDescent="0.25">
      <c r="A635" s="261" t="s">
        <v>16</v>
      </c>
      <c r="B635" s="263" t="s">
        <v>8</v>
      </c>
      <c r="C635" s="263" t="s">
        <v>77</v>
      </c>
      <c r="D635" s="265" t="s">
        <v>87</v>
      </c>
      <c r="E635" s="265"/>
      <c r="F635" s="265"/>
      <c r="G635" s="265"/>
      <c r="H635" s="265"/>
      <c r="I635" s="266" t="s">
        <v>10</v>
      </c>
    </row>
    <row r="636" spans="1:9" x14ac:dyDescent="0.25">
      <c r="A636" s="262"/>
      <c r="B636" s="264"/>
      <c r="C636" s="264"/>
      <c r="D636" s="88" t="s">
        <v>88</v>
      </c>
      <c r="E636" s="88" t="s">
        <v>89</v>
      </c>
      <c r="F636" s="88" t="s">
        <v>90</v>
      </c>
      <c r="G636" s="88" t="s">
        <v>91</v>
      </c>
      <c r="H636" s="88" t="s">
        <v>92</v>
      </c>
      <c r="I636" s="267"/>
    </row>
    <row r="637" spans="1:9" x14ac:dyDescent="0.25">
      <c r="A637" s="262"/>
      <c r="B637" s="264"/>
      <c r="C637" s="264"/>
      <c r="D637" s="85" t="s">
        <v>93</v>
      </c>
      <c r="E637" s="85" t="s">
        <v>94</v>
      </c>
      <c r="F637" s="85" t="s">
        <v>94</v>
      </c>
      <c r="G637" s="85" t="s">
        <v>95</v>
      </c>
      <c r="H637" s="85" t="s">
        <v>75</v>
      </c>
      <c r="I637" s="267"/>
    </row>
    <row r="638" spans="1:9" x14ac:dyDescent="0.25">
      <c r="A638" s="262"/>
      <c r="B638" s="264"/>
      <c r="C638" s="264"/>
      <c r="D638" s="86" t="s">
        <v>96</v>
      </c>
      <c r="E638" s="86" t="s">
        <v>97</v>
      </c>
      <c r="F638" s="86" t="s">
        <v>96</v>
      </c>
      <c r="G638" s="86" t="s">
        <v>98</v>
      </c>
      <c r="H638" s="86"/>
      <c r="I638" s="267"/>
    </row>
    <row r="639" spans="1:9" x14ac:dyDescent="0.25">
      <c r="A639" s="132">
        <v>1</v>
      </c>
      <c r="B639" s="87" t="s">
        <v>99</v>
      </c>
      <c r="C639" s="133" t="s">
        <v>3535</v>
      </c>
      <c r="D639" s="133">
        <v>16420667</v>
      </c>
      <c r="E639" s="133"/>
      <c r="F639" s="158">
        <v>1000000</v>
      </c>
      <c r="G639" s="87"/>
      <c r="H639" s="134">
        <f>3010000*2</f>
        <v>6020000</v>
      </c>
      <c r="I639" s="135">
        <f>SUM(D639:H639)</f>
        <v>23440667</v>
      </c>
    </row>
    <row r="640" spans="1:9" x14ac:dyDescent="0.25">
      <c r="A640" s="136"/>
      <c r="B640" s="137"/>
      <c r="C640" s="138"/>
      <c r="D640" s="138"/>
      <c r="E640" s="138"/>
      <c r="F640" s="138"/>
      <c r="G640" s="137"/>
      <c r="H640" s="139"/>
      <c r="I640" s="135">
        <f>SUM(D640:H640)</f>
        <v>0</v>
      </c>
    </row>
    <row r="641" spans="1:9" x14ac:dyDescent="0.25">
      <c r="A641" s="136"/>
      <c r="B641" s="137"/>
      <c r="C641" s="138"/>
      <c r="D641" s="137"/>
      <c r="E641" s="138"/>
      <c r="F641" s="138"/>
      <c r="G641" s="137"/>
      <c r="H641" s="139"/>
      <c r="I641" s="135">
        <f t="shared" ref="I641:I642" si="57">SUM(D641:H641)</f>
        <v>0</v>
      </c>
    </row>
    <row r="642" spans="1:9" x14ac:dyDescent="0.25">
      <c r="A642" s="136"/>
      <c r="B642" s="137"/>
      <c r="C642" s="137"/>
      <c r="D642" s="137"/>
      <c r="E642" s="138"/>
      <c r="F642" s="137"/>
      <c r="G642" s="137"/>
      <c r="H642" s="139"/>
      <c r="I642" s="135">
        <f t="shared" si="57"/>
        <v>0</v>
      </c>
    </row>
    <row r="643" spans="1:9" x14ac:dyDescent="0.25">
      <c r="A643" s="140"/>
      <c r="B643" s="137"/>
      <c r="C643" s="137"/>
      <c r="D643" s="137"/>
      <c r="E643" s="137"/>
      <c r="F643" s="137"/>
      <c r="G643" s="137"/>
      <c r="H643" s="139"/>
      <c r="I643" s="141"/>
    </row>
    <row r="644" spans="1:9" x14ac:dyDescent="0.25">
      <c r="A644" s="142"/>
      <c r="B644" s="143"/>
      <c r="C644" s="143"/>
      <c r="D644" s="143"/>
      <c r="E644" s="143"/>
      <c r="F644" s="143"/>
      <c r="G644" s="143"/>
      <c r="H644" s="144"/>
      <c r="I644" s="145"/>
    </row>
    <row r="645" spans="1:9" ht="15.75" thickBot="1" x14ac:dyDescent="0.3">
      <c r="A645" s="146"/>
      <c r="B645" s="147" t="s">
        <v>10</v>
      </c>
      <c r="C645" s="148"/>
      <c r="D645" s="148">
        <f t="shared" ref="D645" si="58">SUM(D639:D644)</f>
        <v>16420667</v>
      </c>
      <c r="E645" s="148">
        <f>SUM(E639:E644)</f>
        <v>0</v>
      </c>
      <c r="F645" s="148">
        <f>SUM(F639:F644)</f>
        <v>1000000</v>
      </c>
      <c r="G645" s="148">
        <f>SUM(G639:G644)</f>
        <v>0</v>
      </c>
      <c r="H645" s="148">
        <f t="shared" ref="H645:I645" si="59">SUM(H639:H644)</f>
        <v>6020000</v>
      </c>
      <c r="I645" s="149">
        <f t="shared" si="59"/>
        <v>23440667</v>
      </c>
    </row>
    <row r="647" spans="1:9" x14ac:dyDescent="0.25">
      <c r="G647" s="84" t="s">
        <v>3536</v>
      </c>
      <c r="H647" s="84"/>
    </row>
    <row r="661" spans="1:9" x14ac:dyDescent="0.25">
      <c r="A661" t="s">
        <v>78</v>
      </c>
    </row>
    <row r="662" spans="1:9" x14ac:dyDescent="0.25">
      <c r="A662" t="s">
        <v>1</v>
      </c>
    </row>
    <row r="665" spans="1:9" x14ac:dyDescent="0.25">
      <c r="A665" s="268" t="s">
        <v>86</v>
      </c>
      <c r="B665" s="268"/>
      <c r="C665" s="268"/>
      <c r="D665" s="268"/>
      <c r="E665" s="268"/>
      <c r="F665" s="268"/>
      <c r="G665" s="268"/>
      <c r="H665" s="268"/>
      <c r="I665" s="268"/>
    </row>
    <row r="666" spans="1:9" x14ac:dyDescent="0.25">
      <c r="A666" s="268" t="s">
        <v>3473</v>
      </c>
      <c r="B666" s="268"/>
      <c r="C666" s="268"/>
      <c r="D666" s="268"/>
      <c r="E666" s="268"/>
      <c r="F666" s="268"/>
      <c r="G666" s="268"/>
      <c r="H666" s="268"/>
      <c r="I666" s="268"/>
    </row>
    <row r="667" spans="1:9" ht="15.75" thickBot="1" x14ac:dyDescent="0.3">
      <c r="I667" t="s">
        <v>3539</v>
      </c>
    </row>
    <row r="668" spans="1:9" x14ac:dyDescent="0.25">
      <c r="A668" s="261" t="s">
        <v>16</v>
      </c>
      <c r="B668" s="263" t="s">
        <v>8</v>
      </c>
      <c r="C668" s="263" t="s">
        <v>77</v>
      </c>
      <c r="D668" s="265" t="s">
        <v>87</v>
      </c>
      <c r="E668" s="265"/>
      <c r="F668" s="265"/>
      <c r="G668" s="265"/>
      <c r="H668" s="265"/>
      <c r="I668" s="266" t="s">
        <v>10</v>
      </c>
    </row>
    <row r="669" spans="1:9" x14ac:dyDescent="0.25">
      <c r="A669" s="262"/>
      <c r="B669" s="264"/>
      <c r="C669" s="264"/>
      <c r="D669" s="88" t="s">
        <v>88</v>
      </c>
      <c r="E669" s="88" t="s">
        <v>89</v>
      </c>
      <c r="F669" s="88" t="s">
        <v>90</v>
      </c>
      <c r="G669" s="88" t="s">
        <v>91</v>
      </c>
      <c r="H669" s="88" t="s">
        <v>92</v>
      </c>
      <c r="I669" s="267"/>
    </row>
    <row r="670" spans="1:9" x14ac:dyDescent="0.25">
      <c r="A670" s="262"/>
      <c r="B670" s="264"/>
      <c r="C670" s="264"/>
      <c r="D670" s="85" t="s">
        <v>93</v>
      </c>
      <c r="E670" s="85" t="s">
        <v>94</v>
      </c>
      <c r="F670" s="85" t="s">
        <v>94</v>
      </c>
      <c r="G670" s="85" t="s">
        <v>95</v>
      </c>
      <c r="H670" s="85" t="s">
        <v>75</v>
      </c>
      <c r="I670" s="267"/>
    </row>
    <row r="671" spans="1:9" x14ac:dyDescent="0.25">
      <c r="A671" s="262"/>
      <c r="B671" s="264"/>
      <c r="C671" s="264"/>
      <c r="D671" s="86" t="s">
        <v>96</v>
      </c>
      <c r="E671" s="86" t="s">
        <v>97</v>
      </c>
      <c r="F671" s="86" t="s">
        <v>96</v>
      </c>
      <c r="G671" s="86" t="s">
        <v>98</v>
      </c>
      <c r="H671" s="86"/>
      <c r="I671" s="267"/>
    </row>
    <row r="672" spans="1:9" x14ac:dyDescent="0.25">
      <c r="A672" s="132">
        <v>1</v>
      </c>
      <c r="B672" s="87" t="s">
        <v>99</v>
      </c>
      <c r="C672" s="133" t="s">
        <v>3540</v>
      </c>
      <c r="D672" s="133">
        <v>11771697</v>
      </c>
      <c r="E672" s="133"/>
      <c r="F672" s="158">
        <v>1600000</v>
      </c>
      <c r="G672" s="87"/>
      <c r="H672" s="134">
        <f>1250000*2</f>
        <v>2500000</v>
      </c>
      <c r="I672" s="135">
        <f>SUM(D672:H672)</f>
        <v>15871697</v>
      </c>
    </row>
    <row r="673" spans="1:9" x14ac:dyDescent="0.25">
      <c r="A673" s="136"/>
      <c r="B673" s="137"/>
      <c r="C673" s="138"/>
      <c r="D673" s="138"/>
      <c r="E673" s="138"/>
      <c r="F673" s="138"/>
      <c r="G673" s="137"/>
      <c r="H673" s="139"/>
      <c r="I673" s="135">
        <f>SUM(D673:H673)</f>
        <v>0</v>
      </c>
    </row>
    <row r="674" spans="1:9" x14ac:dyDescent="0.25">
      <c r="A674" s="136"/>
      <c r="B674" s="137"/>
      <c r="C674" s="138"/>
      <c r="D674" s="137"/>
      <c r="E674" s="138"/>
      <c r="F674" s="138"/>
      <c r="G674" s="137"/>
      <c r="H674" s="139"/>
      <c r="I674" s="135">
        <f t="shared" ref="I674:I675" si="60">SUM(D674:H674)</f>
        <v>0</v>
      </c>
    </row>
    <row r="675" spans="1:9" x14ac:dyDescent="0.25">
      <c r="A675" s="136"/>
      <c r="B675" s="137"/>
      <c r="C675" s="137"/>
      <c r="D675" s="137"/>
      <c r="E675" s="138"/>
      <c r="F675" s="137"/>
      <c r="G675" s="137"/>
      <c r="H675" s="139"/>
      <c r="I675" s="135">
        <f t="shared" si="60"/>
        <v>0</v>
      </c>
    </row>
    <row r="676" spans="1:9" x14ac:dyDescent="0.25">
      <c r="A676" s="140"/>
      <c r="B676" s="137"/>
      <c r="C676" s="137"/>
      <c r="D676" s="137"/>
      <c r="E676" s="137"/>
      <c r="F676" s="137"/>
      <c r="G676" s="137"/>
      <c r="H676" s="139"/>
      <c r="I676" s="141"/>
    </row>
    <row r="677" spans="1:9" x14ac:dyDescent="0.25">
      <c r="A677" s="142"/>
      <c r="B677" s="143"/>
      <c r="C677" s="143"/>
      <c r="D677" s="143"/>
      <c r="E677" s="143"/>
      <c r="F677" s="143"/>
      <c r="G677" s="143"/>
      <c r="H677" s="144"/>
      <c r="I677" s="145"/>
    </row>
    <row r="678" spans="1:9" ht="15.75" thickBot="1" x14ac:dyDescent="0.3">
      <c r="A678" s="146"/>
      <c r="B678" s="147" t="s">
        <v>10</v>
      </c>
      <c r="C678" s="148"/>
      <c r="D678" s="148">
        <f t="shared" ref="D678" si="61">SUM(D672:D677)</f>
        <v>11771697</v>
      </c>
      <c r="E678" s="148">
        <f>SUM(E672:E677)</f>
        <v>0</v>
      </c>
      <c r="F678" s="148">
        <f>SUM(F672:F677)</f>
        <v>1600000</v>
      </c>
      <c r="G678" s="148">
        <f>SUM(G672:G677)</f>
        <v>0</v>
      </c>
      <c r="H678" s="148">
        <f t="shared" ref="H678:I678" si="62">SUM(H672:H677)</f>
        <v>2500000</v>
      </c>
      <c r="I678" s="149">
        <f t="shared" si="62"/>
        <v>15871697</v>
      </c>
    </row>
    <row r="680" spans="1:9" x14ac:dyDescent="0.25">
      <c r="G680" s="84" t="s">
        <v>3541</v>
      </c>
      <c r="H680" s="84"/>
    </row>
    <row r="694" spans="1:9" x14ac:dyDescent="0.25">
      <c r="A694" t="s">
        <v>78</v>
      </c>
    </row>
    <row r="695" spans="1:9" x14ac:dyDescent="0.25">
      <c r="A695" t="s">
        <v>1</v>
      </c>
    </row>
    <row r="698" spans="1:9" x14ac:dyDescent="0.25">
      <c r="A698" s="268" t="s">
        <v>86</v>
      </c>
      <c r="B698" s="268"/>
      <c r="C698" s="268"/>
      <c r="D698" s="268"/>
      <c r="E698" s="268"/>
      <c r="F698" s="268"/>
      <c r="G698" s="268"/>
      <c r="H698" s="268"/>
      <c r="I698" s="268"/>
    </row>
    <row r="699" spans="1:9" x14ac:dyDescent="0.25">
      <c r="A699" s="268" t="s">
        <v>3473</v>
      </c>
      <c r="B699" s="268"/>
      <c r="C699" s="268"/>
      <c r="D699" s="268"/>
      <c r="E699" s="268"/>
      <c r="F699" s="268"/>
      <c r="G699" s="268"/>
      <c r="H699" s="268"/>
      <c r="I699" s="268"/>
    </row>
    <row r="700" spans="1:9" ht="15.75" thickBot="1" x14ac:dyDescent="0.3">
      <c r="I700" t="s">
        <v>3542</v>
      </c>
    </row>
    <row r="701" spans="1:9" x14ac:dyDescent="0.25">
      <c r="A701" s="261" t="s">
        <v>16</v>
      </c>
      <c r="B701" s="263" t="s">
        <v>8</v>
      </c>
      <c r="C701" s="263" t="s">
        <v>77</v>
      </c>
      <c r="D701" s="265" t="s">
        <v>87</v>
      </c>
      <c r="E701" s="265"/>
      <c r="F701" s="265"/>
      <c r="G701" s="265"/>
      <c r="H701" s="265"/>
      <c r="I701" s="266" t="s">
        <v>10</v>
      </c>
    </row>
    <row r="702" spans="1:9" x14ac:dyDescent="0.25">
      <c r="A702" s="262"/>
      <c r="B702" s="264"/>
      <c r="C702" s="264"/>
      <c r="D702" s="88" t="s">
        <v>88</v>
      </c>
      <c r="E702" s="88" t="s">
        <v>89</v>
      </c>
      <c r="F702" s="88" t="s">
        <v>90</v>
      </c>
      <c r="G702" s="88" t="s">
        <v>91</v>
      </c>
      <c r="H702" s="88" t="s">
        <v>92</v>
      </c>
      <c r="I702" s="267"/>
    </row>
    <row r="703" spans="1:9" x14ac:dyDescent="0.25">
      <c r="A703" s="262"/>
      <c r="B703" s="264"/>
      <c r="C703" s="264"/>
      <c r="D703" s="85" t="s">
        <v>93</v>
      </c>
      <c r="E703" s="85" t="s">
        <v>94</v>
      </c>
      <c r="F703" s="85" t="s">
        <v>94</v>
      </c>
      <c r="G703" s="85" t="s">
        <v>95</v>
      </c>
      <c r="H703" s="85" t="s">
        <v>75</v>
      </c>
      <c r="I703" s="267"/>
    </row>
    <row r="704" spans="1:9" x14ac:dyDescent="0.25">
      <c r="A704" s="262"/>
      <c r="B704" s="264"/>
      <c r="C704" s="264"/>
      <c r="D704" s="86" t="s">
        <v>96</v>
      </c>
      <c r="E704" s="86" t="s">
        <v>97</v>
      </c>
      <c r="F704" s="86" t="s">
        <v>96</v>
      </c>
      <c r="G704" s="86" t="s">
        <v>98</v>
      </c>
      <c r="H704" s="86"/>
      <c r="I704" s="267"/>
    </row>
    <row r="705" spans="1:9" x14ac:dyDescent="0.25">
      <c r="A705" s="132">
        <v>1</v>
      </c>
      <c r="B705" s="87" t="s">
        <v>99</v>
      </c>
      <c r="C705" s="133" t="s">
        <v>3543</v>
      </c>
      <c r="D705" s="133">
        <v>3766133</v>
      </c>
      <c r="E705" s="133"/>
      <c r="F705" s="158">
        <v>565000</v>
      </c>
      <c r="G705" s="87"/>
      <c r="H705" s="134">
        <f>450000*2</f>
        <v>900000</v>
      </c>
      <c r="I705" s="135">
        <f>SUM(D705:H705)</f>
        <v>5231133</v>
      </c>
    </row>
    <row r="706" spans="1:9" x14ac:dyDescent="0.25">
      <c r="A706" s="136"/>
      <c r="B706" s="137"/>
      <c r="C706" s="138"/>
      <c r="D706" s="138"/>
      <c r="E706" s="138"/>
      <c r="F706" s="138"/>
      <c r="G706" s="137"/>
      <c r="H706" s="139"/>
      <c r="I706" s="135">
        <f>SUM(D706:H706)</f>
        <v>0</v>
      </c>
    </row>
    <row r="707" spans="1:9" x14ac:dyDescent="0.25">
      <c r="A707" s="136"/>
      <c r="B707" s="137"/>
      <c r="C707" s="138"/>
      <c r="D707" s="137"/>
      <c r="E707" s="138"/>
      <c r="F707" s="138"/>
      <c r="G707" s="137"/>
      <c r="H707" s="139"/>
      <c r="I707" s="135">
        <f t="shared" ref="I707:I708" si="63">SUM(D707:H707)</f>
        <v>0</v>
      </c>
    </row>
    <row r="708" spans="1:9" x14ac:dyDescent="0.25">
      <c r="A708" s="136"/>
      <c r="B708" s="137"/>
      <c r="C708" s="137"/>
      <c r="D708" s="137"/>
      <c r="E708" s="138"/>
      <c r="F708" s="137"/>
      <c r="G708" s="137"/>
      <c r="H708" s="139"/>
      <c r="I708" s="135">
        <f t="shared" si="63"/>
        <v>0</v>
      </c>
    </row>
    <row r="709" spans="1:9" x14ac:dyDescent="0.25">
      <c r="A709" s="140"/>
      <c r="B709" s="137"/>
      <c r="C709" s="137"/>
      <c r="D709" s="137"/>
      <c r="E709" s="137"/>
      <c r="F709" s="137"/>
      <c r="G709" s="137"/>
      <c r="H709" s="139"/>
      <c r="I709" s="141"/>
    </row>
    <row r="710" spans="1:9" x14ac:dyDescent="0.25">
      <c r="A710" s="142"/>
      <c r="B710" s="143"/>
      <c r="C710" s="143"/>
      <c r="D710" s="143"/>
      <c r="E710" s="143"/>
      <c r="F710" s="143"/>
      <c r="G710" s="143"/>
      <c r="H710" s="144"/>
      <c r="I710" s="145"/>
    </row>
    <row r="711" spans="1:9" ht="15.75" thickBot="1" x14ac:dyDescent="0.3">
      <c r="A711" s="146"/>
      <c r="B711" s="147" t="s">
        <v>10</v>
      </c>
      <c r="C711" s="148"/>
      <c r="D711" s="148">
        <f t="shared" ref="D711" si="64">SUM(D705:D710)</f>
        <v>3766133</v>
      </c>
      <c r="E711" s="148">
        <f>SUM(E705:E710)</f>
        <v>0</v>
      </c>
      <c r="F711" s="148">
        <f>SUM(F705:F710)</f>
        <v>565000</v>
      </c>
      <c r="G711" s="148">
        <f>SUM(G705:G710)</f>
        <v>0</v>
      </c>
      <c r="H711" s="148">
        <f t="shared" ref="H711:I711" si="65">SUM(H705:H710)</f>
        <v>900000</v>
      </c>
      <c r="I711" s="149">
        <f t="shared" si="65"/>
        <v>5231133</v>
      </c>
    </row>
    <row r="713" spans="1:9" x14ac:dyDescent="0.25">
      <c r="G713" s="84" t="s">
        <v>3544</v>
      </c>
      <c r="H713" s="84"/>
    </row>
    <row r="727" spans="1:9" x14ac:dyDescent="0.25">
      <c r="A727" t="s">
        <v>78</v>
      </c>
    </row>
    <row r="728" spans="1:9" x14ac:dyDescent="0.25">
      <c r="A728" t="s">
        <v>1</v>
      </c>
    </row>
    <row r="731" spans="1:9" x14ac:dyDescent="0.25">
      <c r="A731" s="268" t="s">
        <v>86</v>
      </c>
      <c r="B731" s="268"/>
      <c r="C731" s="268"/>
      <c r="D731" s="268"/>
      <c r="E731" s="268"/>
      <c r="F731" s="268"/>
      <c r="G731" s="268"/>
      <c r="H731" s="268"/>
      <c r="I731" s="268"/>
    </row>
    <row r="732" spans="1:9" x14ac:dyDescent="0.25">
      <c r="A732" s="268" t="s">
        <v>3473</v>
      </c>
      <c r="B732" s="268"/>
      <c r="C732" s="268"/>
      <c r="D732" s="268"/>
      <c r="E732" s="268"/>
      <c r="F732" s="268"/>
      <c r="G732" s="268"/>
      <c r="H732" s="268"/>
      <c r="I732" s="268"/>
    </row>
    <row r="733" spans="1:9" ht="15.75" thickBot="1" x14ac:dyDescent="0.3">
      <c r="I733" t="s">
        <v>3545</v>
      </c>
    </row>
    <row r="734" spans="1:9" x14ac:dyDescent="0.25">
      <c r="A734" s="261" t="s">
        <v>16</v>
      </c>
      <c r="B734" s="263" t="s">
        <v>8</v>
      </c>
      <c r="C734" s="263" t="s">
        <v>77</v>
      </c>
      <c r="D734" s="265" t="s">
        <v>87</v>
      </c>
      <c r="E734" s="265"/>
      <c r="F734" s="265"/>
      <c r="G734" s="265"/>
      <c r="H734" s="265"/>
      <c r="I734" s="266" t="s">
        <v>10</v>
      </c>
    </row>
    <row r="735" spans="1:9" x14ac:dyDescent="0.25">
      <c r="A735" s="262"/>
      <c r="B735" s="264"/>
      <c r="C735" s="264"/>
      <c r="D735" s="88" t="s">
        <v>88</v>
      </c>
      <c r="E735" s="88" t="s">
        <v>89</v>
      </c>
      <c r="F735" s="88" t="s">
        <v>90</v>
      </c>
      <c r="G735" s="88" t="s">
        <v>91</v>
      </c>
      <c r="H735" s="88" t="s">
        <v>92</v>
      </c>
      <c r="I735" s="267"/>
    </row>
    <row r="736" spans="1:9" x14ac:dyDescent="0.25">
      <c r="A736" s="262"/>
      <c r="B736" s="264"/>
      <c r="C736" s="264"/>
      <c r="D736" s="85" t="s">
        <v>93</v>
      </c>
      <c r="E736" s="85" t="s">
        <v>94</v>
      </c>
      <c r="F736" s="85" t="s">
        <v>94</v>
      </c>
      <c r="G736" s="85" t="s">
        <v>95</v>
      </c>
      <c r="H736" s="85" t="s">
        <v>75</v>
      </c>
      <c r="I736" s="267"/>
    </row>
    <row r="737" spans="1:9" x14ac:dyDescent="0.25">
      <c r="A737" s="262"/>
      <c r="B737" s="264"/>
      <c r="C737" s="264"/>
      <c r="D737" s="86" t="s">
        <v>96</v>
      </c>
      <c r="E737" s="86" t="s">
        <v>97</v>
      </c>
      <c r="F737" s="86" t="s">
        <v>96</v>
      </c>
      <c r="G737" s="86" t="s">
        <v>98</v>
      </c>
      <c r="H737" s="86"/>
      <c r="I737" s="267"/>
    </row>
    <row r="738" spans="1:9" x14ac:dyDescent="0.25">
      <c r="A738" s="132">
        <v>1</v>
      </c>
      <c r="B738" s="87" t="s">
        <v>99</v>
      </c>
      <c r="C738" s="133" t="s">
        <v>3546</v>
      </c>
      <c r="D738" s="133">
        <v>180065</v>
      </c>
      <c r="E738" s="133"/>
      <c r="F738" s="158">
        <v>130000</v>
      </c>
      <c r="G738" s="87"/>
      <c r="H738" s="134">
        <f>110000*2</f>
        <v>220000</v>
      </c>
      <c r="I738" s="135">
        <f>SUM(D738:H738)</f>
        <v>530065</v>
      </c>
    </row>
    <row r="739" spans="1:9" x14ac:dyDescent="0.25">
      <c r="A739" s="136"/>
      <c r="B739" s="137"/>
      <c r="C739" s="138"/>
      <c r="D739" s="138"/>
      <c r="E739" s="138"/>
      <c r="F739" s="138"/>
      <c r="G739" s="137"/>
      <c r="H739" s="139"/>
      <c r="I739" s="135">
        <f>SUM(D739:H739)</f>
        <v>0</v>
      </c>
    </row>
    <row r="740" spans="1:9" x14ac:dyDescent="0.25">
      <c r="A740" s="136"/>
      <c r="B740" s="137"/>
      <c r="C740" s="138"/>
      <c r="D740" s="137"/>
      <c r="E740" s="138"/>
      <c r="F740" s="138"/>
      <c r="G740" s="137"/>
      <c r="H740" s="139"/>
      <c r="I740" s="135">
        <f t="shared" ref="I740:I741" si="66">SUM(D740:H740)</f>
        <v>0</v>
      </c>
    </row>
    <row r="741" spans="1:9" x14ac:dyDescent="0.25">
      <c r="A741" s="136"/>
      <c r="B741" s="137"/>
      <c r="C741" s="137"/>
      <c r="D741" s="137"/>
      <c r="E741" s="138"/>
      <c r="F741" s="137"/>
      <c r="G741" s="137"/>
      <c r="H741" s="139"/>
      <c r="I741" s="135">
        <f t="shared" si="66"/>
        <v>0</v>
      </c>
    </row>
    <row r="742" spans="1:9" x14ac:dyDescent="0.25">
      <c r="A742" s="140"/>
      <c r="B742" s="137"/>
      <c r="C742" s="137"/>
      <c r="D742" s="137"/>
      <c r="E742" s="137"/>
      <c r="F742" s="137"/>
      <c r="G742" s="137"/>
      <c r="H742" s="139"/>
      <c r="I742" s="141"/>
    </row>
    <row r="743" spans="1:9" x14ac:dyDescent="0.25">
      <c r="A743" s="142"/>
      <c r="B743" s="143"/>
      <c r="C743" s="143"/>
      <c r="D743" s="143"/>
      <c r="E743" s="143"/>
      <c r="F743" s="143"/>
      <c r="G743" s="143"/>
      <c r="H743" s="144"/>
      <c r="I743" s="145"/>
    </row>
    <row r="744" spans="1:9" ht="15.75" thickBot="1" x14ac:dyDescent="0.3">
      <c r="A744" s="146"/>
      <c r="B744" s="147" t="s">
        <v>10</v>
      </c>
      <c r="C744" s="148"/>
      <c r="D744" s="148">
        <f t="shared" ref="D744" si="67">SUM(D738:D743)</f>
        <v>180065</v>
      </c>
      <c r="E744" s="148">
        <f>SUM(E738:E743)</f>
        <v>0</v>
      </c>
      <c r="F744" s="148">
        <f>SUM(F738:F743)</f>
        <v>130000</v>
      </c>
      <c r="G744" s="148">
        <f>SUM(G738:G743)</f>
        <v>0</v>
      </c>
      <c r="H744" s="148">
        <f t="shared" ref="H744:I744" si="68">SUM(H738:H743)</f>
        <v>220000</v>
      </c>
      <c r="I744" s="149">
        <f t="shared" si="68"/>
        <v>530065</v>
      </c>
    </row>
    <row r="746" spans="1:9" x14ac:dyDescent="0.25">
      <c r="G746" s="84" t="s">
        <v>3547</v>
      </c>
      <c r="H746" s="84"/>
    </row>
  </sheetData>
  <mergeCells count="162">
    <mergeCell ref="A665:I665"/>
    <mergeCell ref="A666:I666"/>
    <mergeCell ref="A668:A671"/>
    <mergeCell ref="B668:B671"/>
    <mergeCell ref="C668:C671"/>
    <mergeCell ref="D668:H668"/>
    <mergeCell ref="I668:I671"/>
    <mergeCell ref="A632:I632"/>
    <mergeCell ref="A633:I633"/>
    <mergeCell ref="A635:A638"/>
    <mergeCell ref="B635:B638"/>
    <mergeCell ref="C635:C638"/>
    <mergeCell ref="D635:H635"/>
    <mergeCell ref="I635:I638"/>
    <mergeCell ref="D536:H536"/>
    <mergeCell ref="I536:I539"/>
    <mergeCell ref="A599:I599"/>
    <mergeCell ref="A600:I600"/>
    <mergeCell ref="A602:A605"/>
    <mergeCell ref="B602:B605"/>
    <mergeCell ref="C602:C605"/>
    <mergeCell ref="D602:H602"/>
    <mergeCell ref="I602:I605"/>
    <mergeCell ref="A566:I566"/>
    <mergeCell ref="A567:I567"/>
    <mergeCell ref="A569:A572"/>
    <mergeCell ref="B569:B572"/>
    <mergeCell ref="C569:C572"/>
    <mergeCell ref="D569:H569"/>
    <mergeCell ref="I569:I572"/>
    <mergeCell ref="A500:I500"/>
    <mergeCell ref="A501:I501"/>
    <mergeCell ref="A503:A506"/>
    <mergeCell ref="B503:B506"/>
    <mergeCell ref="C503:C506"/>
    <mergeCell ref="D503:H503"/>
    <mergeCell ref="I503:I506"/>
    <mergeCell ref="B404:B407"/>
    <mergeCell ref="C404:C407"/>
    <mergeCell ref="D404:H404"/>
    <mergeCell ref="I404:I407"/>
    <mergeCell ref="A434:I434"/>
    <mergeCell ref="A435:I435"/>
    <mergeCell ref="A437:A440"/>
    <mergeCell ref="B437:B440"/>
    <mergeCell ref="C437:C440"/>
    <mergeCell ref="D437:H437"/>
    <mergeCell ref="I437:I440"/>
    <mergeCell ref="D12:H12"/>
    <mergeCell ref="A5:I5"/>
    <mergeCell ref="A6:I6"/>
    <mergeCell ref="A8:A11"/>
    <mergeCell ref="B8:B11"/>
    <mergeCell ref="C8:C11"/>
    <mergeCell ref="D8:H8"/>
    <mergeCell ref="I8:I11"/>
    <mergeCell ref="A71:I71"/>
    <mergeCell ref="A41:A44"/>
    <mergeCell ref="B41:B44"/>
    <mergeCell ref="C41:C44"/>
    <mergeCell ref="D41:H41"/>
    <mergeCell ref="I41:I44"/>
    <mergeCell ref="I74:I77"/>
    <mergeCell ref="A38:I38"/>
    <mergeCell ref="A39:I39"/>
    <mergeCell ref="A72:I72"/>
    <mergeCell ref="A104:I104"/>
    <mergeCell ref="A105:I105"/>
    <mergeCell ref="A74:A77"/>
    <mergeCell ref="B74:B77"/>
    <mergeCell ref="A107:A110"/>
    <mergeCell ref="B107:B110"/>
    <mergeCell ref="C107:C110"/>
    <mergeCell ref="C74:C77"/>
    <mergeCell ref="D74:H74"/>
    <mergeCell ref="D107:H107"/>
    <mergeCell ref="I107:I110"/>
    <mergeCell ref="A236:I236"/>
    <mergeCell ref="A237:I237"/>
    <mergeCell ref="A203:I203"/>
    <mergeCell ref="A204:I204"/>
    <mergeCell ref="A206:A209"/>
    <mergeCell ref="B206:B209"/>
    <mergeCell ref="C206:C209"/>
    <mergeCell ref="D206:H206"/>
    <mergeCell ref="I206:I209"/>
    <mergeCell ref="A170:I170"/>
    <mergeCell ref="A171:I171"/>
    <mergeCell ref="A173:A176"/>
    <mergeCell ref="B173:B176"/>
    <mergeCell ref="C173:C176"/>
    <mergeCell ref="D173:H173"/>
    <mergeCell ref="I173:I176"/>
    <mergeCell ref="A137:I137"/>
    <mergeCell ref="A138:I138"/>
    <mergeCell ref="A140:A143"/>
    <mergeCell ref="D140:H140"/>
    <mergeCell ref="I140:I143"/>
    <mergeCell ref="B140:B143"/>
    <mergeCell ref="C140:C143"/>
    <mergeCell ref="A239:A242"/>
    <mergeCell ref="B239:B242"/>
    <mergeCell ref="C239:C242"/>
    <mergeCell ref="D239:H239"/>
    <mergeCell ref="I239:I242"/>
    <mergeCell ref="A269:I269"/>
    <mergeCell ref="A270:I270"/>
    <mergeCell ref="A272:A275"/>
    <mergeCell ref="B272:B275"/>
    <mergeCell ref="C272:C275"/>
    <mergeCell ref="D272:H272"/>
    <mergeCell ref="I272:I275"/>
    <mergeCell ref="A533:I533"/>
    <mergeCell ref="A534:I534"/>
    <mergeCell ref="A536:A539"/>
    <mergeCell ref="B536:B539"/>
    <mergeCell ref="C536:C539"/>
    <mergeCell ref="A302:I302"/>
    <mergeCell ref="A303:I303"/>
    <mergeCell ref="A305:A308"/>
    <mergeCell ref="B305:B308"/>
    <mergeCell ref="C305:C308"/>
    <mergeCell ref="D305:H305"/>
    <mergeCell ref="I305:I308"/>
    <mergeCell ref="A335:I335"/>
    <mergeCell ref="A336:I336"/>
    <mergeCell ref="A467:I467"/>
    <mergeCell ref="A468:I468"/>
    <mergeCell ref="A470:A473"/>
    <mergeCell ref="B470:B473"/>
    <mergeCell ref="C470:C473"/>
    <mergeCell ref="D470:H470"/>
    <mergeCell ref="I470:I473"/>
    <mergeCell ref="A401:I401"/>
    <mergeCell ref="A402:I402"/>
    <mergeCell ref="A404:A407"/>
    <mergeCell ref="A338:A341"/>
    <mergeCell ref="B338:B341"/>
    <mergeCell ref="C338:C341"/>
    <mergeCell ref="D338:H338"/>
    <mergeCell ref="I338:I341"/>
    <mergeCell ref="A368:I368"/>
    <mergeCell ref="A369:I369"/>
    <mergeCell ref="A371:A374"/>
    <mergeCell ref="B371:B374"/>
    <mergeCell ref="C371:C374"/>
    <mergeCell ref="D371:H371"/>
    <mergeCell ref="I371:I374"/>
    <mergeCell ref="A734:A737"/>
    <mergeCell ref="B734:B737"/>
    <mergeCell ref="C734:C737"/>
    <mergeCell ref="D734:H734"/>
    <mergeCell ref="I734:I737"/>
    <mergeCell ref="A698:I698"/>
    <mergeCell ref="A699:I699"/>
    <mergeCell ref="A701:A704"/>
    <mergeCell ref="B701:B704"/>
    <mergeCell ref="C701:C704"/>
    <mergeCell ref="D701:H701"/>
    <mergeCell ref="I701:I704"/>
    <mergeCell ref="A731:I731"/>
    <mergeCell ref="A732:I732"/>
  </mergeCells>
  <pageMargins left="0.51181102362204722" right="0.31496062992125984" top="0.74803149606299213" bottom="0.74803149606299213" header="0.31496062992125984" footer="0.31496062992125984"/>
  <pageSetup paperSize="9" orientation="landscape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M66"/>
  <sheetViews>
    <sheetView view="pageLayout" workbookViewId="0">
      <selection activeCell="A4" sqref="A4:A5"/>
    </sheetView>
  </sheetViews>
  <sheetFormatPr defaultRowHeight="15" x14ac:dyDescent="0.25"/>
  <cols>
    <col min="1" max="1" width="4" style="3" customWidth="1"/>
    <col min="2" max="2" width="9.85546875" customWidth="1"/>
    <col min="3" max="3" width="3.28515625" customWidth="1"/>
    <col min="4" max="4" width="32.5703125" customWidth="1"/>
    <col min="5" max="5" width="7" customWidth="1"/>
    <col min="6" max="6" width="14" style="79" customWidth="1"/>
    <col min="7" max="7" width="14.85546875" style="73" customWidth="1"/>
    <col min="8" max="8" width="14.7109375" customWidth="1"/>
    <col min="9" max="9" width="11.140625" customWidth="1"/>
    <col min="10" max="10" width="10.5703125" customWidth="1"/>
    <col min="11" max="11" width="23.85546875" customWidth="1"/>
    <col min="12" max="12" width="18.140625" customWidth="1"/>
  </cols>
  <sheetData>
    <row r="1" spans="1:13" x14ac:dyDescent="0.25">
      <c r="A1" s="45" t="s">
        <v>0</v>
      </c>
      <c r="B1" s="45"/>
      <c r="C1" s="45"/>
      <c r="D1" s="9"/>
      <c r="E1" s="9"/>
      <c r="F1" s="74"/>
      <c r="G1" s="65"/>
      <c r="H1" s="9"/>
      <c r="I1" s="9"/>
      <c r="J1" s="9"/>
      <c r="K1" s="9"/>
      <c r="L1" s="9"/>
      <c r="M1" s="1"/>
    </row>
    <row r="2" spans="1:13" x14ac:dyDescent="0.25">
      <c r="A2" s="45" t="s">
        <v>1</v>
      </c>
      <c r="B2" s="45"/>
      <c r="C2" s="45"/>
      <c r="D2" s="9"/>
      <c r="E2" s="9"/>
      <c r="F2" s="74"/>
      <c r="G2" s="65"/>
      <c r="H2" s="9"/>
      <c r="I2" s="9"/>
      <c r="J2" s="9"/>
      <c r="K2" s="9"/>
      <c r="L2" s="9"/>
      <c r="M2" s="1"/>
    </row>
    <row r="3" spans="1:13" x14ac:dyDescent="0.25">
      <c r="A3" s="45" t="s">
        <v>11</v>
      </c>
      <c r="B3" s="45"/>
      <c r="C3" s="45"/>
      <c r="D3" s="9"/>
      <c r="E3" s="9"/>
      <c r="F3" s="74"/>
      <c r="G3" s="65"/>
      <c r="H3" s="9"/>
      <c r="I3" s="9"/>
      <c r="J3" s="9"/>
      <c r="K3" s="9"/>
      <c r="L3" s="9"/>
      <c r="M3" s="1"/>
    </row>
    <row r="4" spans="1:13" x14ac:dyDescent="0.25">
      <c r="A4" s="2" t="s">
        <v>3214</v>
      </c>
      <c r="B4" s="2"/>
      <c r="C4" s="2"/>
      <c r="D4" s="2"/>
      <c r="E4" s="2"/>
      <c r="F4" s="2"/>
      <c r="G4" s="2"/>
      <c r="H4" s="9"/>
      <c r="I4" s="9"/>
      <c r="J4" s="9"/>
      <c r="K4" s="9"/>
      <c r="L4" s="9"/>
      <c r="M4" s="1"/>
    </row>
    <row r="5" spans="1:13" x14ac:dyDescent="0.25">
      <c r="A5" s="2" t="s">
        <v>3248</v>
      </c>
      <c r="B5" s="2"/>
      <c r="C5" s="2"/>
      <c r="D5" s="2"/>
      <c r="E5" s="2"/>
      <c r="F5" s="2"/>
      <c r="G5" s="2"/>
      <c r="H5" s="9"/>
      <c r="I5" s="9"/>
      <c r="J5" s="9"/>
      <c r="K5" s="9"/>
      <c r="L5" s="9"/>
      <c r="M5" s="1"/>
    </row>
    <row r="6" spans="1:13" ht="15.75" thickBot="1" x14ac:dyDescent="0.3">
      <c r="A6" s="19"/>
      <c r="B6" s="1"/>
      <c r="C6" s="1"/>
      <c r="D6" s="1"/>
      <c r="E6" s="1"/>
      <c r="F6" s="75"/>
      <c r="G6" s="66"/>
      <c r="H6" s="1"/>
      <c r="I6" s="1"/>
      <c r="J6" s="1"/>
      <c r="K6" s="1"/>
      <c r="L6" s="1"/>
      <c r="M6" s="1"/>
    </row>
    <row r="7" spans="1:13" ht="27.75" customHeight="1" x14ac:dyDescent="0.25">
      <c r="A7" s="32" t="s">
        <v>46</v>
      </c>
      <c r="B7" s="48" t="s">
        <v>3</v>
      </c>
      <c r="C7" s="272" t="s">
        <v>4</v>
      </c>
      <c r="D7" s="272"/>
      <c r="E7" s="33" t="s">
        <v>47</v>
      </c>
      <c r="F7" s="76" t="s">
        <v>48</v>
      </c>
      <c r="G7" s="67" t="s">
        <v>49</v>
      </c>
      <c r="H7" s="9"/>
      <c r="I7" s="9"/>
      <c r="J7" s="9"/>
      <c r="K7" s="9"/>
      <c r="L7" s="9"/>
      <c r="M7" s="1"/>
    </row>
    <row r="8" spans="1:13" ht="15" customHeight="1" x14ac:dyDescent="0.25">
      <c r="A8" s="41"/>
      <c r="B8" s="56"/>
      <c r="C8" s="81"/>
      <c r="D8" s="150"/>
      <c r="E8" s="10"/>
      <c r="F8" s="77"/>
      <c r="G8" s="68"/>
      <c r="H8" s="9"/>
      <c r="I8" s="9"/>
      <c r="J8" s="9"/>
      <c r="K8" s="9"/>
      <c r="L8" s="9"/>
      <c r="M8" s="1"/>
    </row>
    <row r="9" spans="1:13" ht="15" customHeight="1" x14ac:dyDescent="0.25">
      <c r="A9" s="41"/>
      <c r="B9" s="163" t="s">
        <v>3241</v>
      </c>
      <c r="C9" s="46" t="s">
        <v>67</v>
      </c>
      <c r="D9" s="47"/>
      <c r="E9" s="24"/>
      <c r="F9" s="72"/>
      <c r="G9" s="70"/>
      <c r="H9" s="9"/>
      <c r="I9" s="9"/>
      <c r="J9" s="9"/>
      <c r="K9" s="9"/>
      <c r="L9" s="9"/>
      <c r="M9" s="1"/>
    </row>
    <row r="10" spans="1:13" ht="15" customHeight="1" x14ac:dyDescent="0.25">
      <c r="A10" s="41"/>
      <c r="B10" s="64"/>
      <c r="C10" s="46"/>
      <c r="D10" s="21" t="s">
        <v>3245</v>
      </c>
      <c r="E10" s="24"/>
      <c r="F10" s="72"/>
      <c r="G10" s="69"/>
      <c r="H10" s="9"/>
      <c r="I10" s="9"/>
      <c r="J10" s="9"/>
      <c r="K10" s="9"/>
      <c r="L10" s="9"/>
      <c r="M10" s="1"/>
    </row>
    <row r="11" spans="1:13" ht="15" customHeight="1" x14ac:dyDescent="0.25">
      <c r="A11" s="41"/>
      <c r="B11" s="64"/>
      <c r="C11" s="46"/>
      <c r="D11" s="21" t="s">
        <v>3242</v>
      </c>
      <c r="E11" s="24"/>
      <c r="F11" s="72"/>
      <c r="G11" s="69"/>
      <c r="H11" s="9"/>
      <c r="I11" s="9"/>
      <c r="J11" s="9"/>
      <c r="K11" s="9"/>
      <c r="L11" s="9"/>
      <c r="M11" s="1"/>
    </row>
    <row r="12" spans="1:13" ht="15" customHeight="1" x14ac:dyDescent="0.25">
      <c r="A12" s="41"/>
      <c r="B12" s="58"/>
      <c r="C12" s="59"/>
      <c r="D12" s="57"/>
      <c r="E12" s="10"/>
      <c r="F12" s="78"/>
      <c r="G12" s="68"/>
      <c r="H12" s="9"/>
      <c r="I12" s="9"/>
      <c r="J12" s="9"/>
      <c r="K12" s="9"/>
      <c r="L12" s="9"/>
      <c r="M12" s="1"/>
    </row>
    <row r="13" spans="1:13" x14ac:dyDescent="0.25">
      <c r="A13" s="29"/>
      <c r="B13" s="60"/>
      <c r="C13" s="36"/>
      <c r="D13" s="39"/>
      <c r="E13" s="27"/>
      <c r="F13" s="72"/>
      <c r="G13" s="71"/>
      <c r="J13" s="20"/>
    </row>
    <row r="14" spans="1:13" x14ac:dyDescent="0.25">
      <c r="A14" s="29"/>
      <c r="B14" s="10"/>
      <c r="C14" s="36"/>
      <c r="D14" s="39"/>
      <c r="E14" s="27"/>
      <c r="F14" s="72"/>
      <c r="G14" s="71"/>
      <c r="J14" s="20"/>
    </row>
    <row r="15" spans="1:13" x14ac:dyDescent="0.25">
      <c r="A15" s="29"/>
      <c r="B15" s="10"/>
      <c r="C15" s="36"/>
      <c r="D15" s="39"/>
      <c r="E15" s="27"/>
      <c r="F15" s="72"/>
      <c r="G15" s="71"/>
      <c r="H15" s="21"/>
      <c r="I15" s="20"/>
      <c r="J15" s="20"/>
      <c r="K15" s="20"/>
      <c r="L15" s="20"/>
      <c r="M15" s="1"/>
    </row>
    <row r="16" spans="1:13" x14ac:dyDescent="0.25">
      <c r="A16" s="29"/>
      <c r="B16" s="10"/>
      <c r="C16" s="36"/>
      <c r="D16" s="39"/>
      <c r="E16" s="27"/>
      <c r="F16" s="72"/>
      <c r="G16" s="71"/>
      <c r="H16" s="21"/>
      <c r="I16" s="20"/>
      <c r="J16" s="20"/>
      <c r="K16" s="20"/>
      <c r="L16" s="20"/>
      <c r="M16" s="1"/>
    </row>
    <row r="17" spans="1:13" x14ac:dyDescent="0.25">
      <c r="A17" s="29"/>
      <c r="B17" s="60"/>
      <c r="C17" s="36"/>
      <c r="D17" s="39"/>
      <c r="E17" s="27"/>
      <c r="F17" s="72"/>
      <c r="G17" s="71"/>
      <c r="H17" s="21"/>
      <c r="I17" s="20"/>
      <c r="J17" s="20"/>
      <c r="K17" s="20"/>
      <c r="L17" s="20"/>
      <c r="M17" s="1"/>
    </row>
    <row r="18" spans="1:13" x14ac:dyDescent="0.25">
      <c r="A18" s="29"/>
      <c r="B18" s="10"/>
      <c r="C18" s="36"/>
      <c r="D18" s="39"/>
      <c r="E18" s="27"/>
      <c r="F18" s="72"/>
      <c r="G18" s="71"/>
      <c r="H18" s="21"/>
      <c r="I18" s="20"/>
      <c r="J18" s="20"/>
      <c r="K18" s="20"/>
      <c r="L18" s="20"/>
      <c r="M18" s="1"/>
    </row>
    <row r="19" spans="1:13" x14ac:dyDescent="0.25">
      <c r="A19" s="29"/>
      <c r="B19" s="10"/>
      <c r="C19" s="36"/>
      <c r="D19" s="39"/>
      <c r="E19" s="27"/>
      <c r="F19" s="72"/>
      <c r="G19" s="71"/>
      <c r="H19" s="21"/>
      <c r="I19" s="20"/>
      <c r="J19" s="20"/>
      <c r="K19" s="20"/>
      <c r="L19" s="20"/>
      <c r="M19" s="1"/>
    </row>
    <row r="20" spans="1:13" x14ac:dyDescent="0.25">
      <c r="A20" s="89"/>
      <c r="B20" s="10"/>
      <c r="C20" s="17"/>
      <c r="D20" s="39"/>
      <c r="E20" s="20"/>
      <c r="F20" s="72"/>
      <c r="G20" s="90"/>
      <c r="H20" s="21"/>
      <c r="I20" s="20"/>
      <c r="J20" s="20"/>
      <c r="K20" s="20"/>
      <c r="L20" s="20"/>
      <c r="M20" s="1"/>
    </row>
    <row r="21" spans="1:13" ht="20.25" customHeight="1" thickBot="1" x14ac:dyDescent="0.3">
      <c r="A21" s="273" t="s">
        <v>10</v>
      </c>
      <c r="B21" s="273"/>
      <c r="C21" s="273"/>
      <c r="D21" s="273"/>
      <c r="E21" s="273"/>
      <c r="F21" s="91">
        <f>SUM(F8:F19)</f>
        <v>0</v>
      </c>
      <c r="G21" s="92">
        <f>SUM(G8:G19)</f>
        <v>0</v>
      </c>
      <c r="H21" s="44"/>
      <c r="I21" s="1"/>
      <c r="J21" s="1"/>
      <c r="K21" s="1"/>
      <c r="L21" s="1"/>
      <c r="M21" s="1"/>
    </row>
    <row r="22" spans="1:13" ht="15" customHeight="1" x14ac:dyDescent="0.25">
      <c r="A22" s="82"/>
      <c r="B22" s="82"/>
      <c r="C22" s="82"/>
      <c r="D22" s="82"/>
      <c r="E22" s="82"/>
      <c r="F22" s="83"/>
      <c r="G22" s="83"/>
      <c r="H22" s="44"/>
      <c r="I22" s="1"/>
      <c r="J22" s="1"/>
      <c r="K22" s="1"/>
      <c r="L22" s="1"/>
      <c r="M22" s="1"/>
    </row>
    <row r="23" spans="1:13" ht="15" customHeight="1" x14ac:dyDescent="0.25">
      <c r="A23" s="82"/>
      <c r="B23" s="82"/>
      <c r="C23" s="82"/>
      <c r="D23" s="82"/>
      <c r="E23" s="82"/>
      <c r="F23" s="83"/>
      <c r="G23" s="83"/>
      <c r="H23" s="44"/>
      <c r="I23" s="1"/>
      <c r="J23" s="1"/>
      <c r="K23" s="1"/>
      <c r="L23" s="1"/>
      <c r="M23" s="1"/>
    </row>
    <row r="24" spans="1:13" ht="15" customHeight="1" x14ac:dyDescent="0.25">
      <c r="A24" s="82"/>
      <c r="B24" s="82"/>
      <c r="C24" s="82"/>
      <c r="D24" s="82"/>
      <c r="E24" s="82"/>
      <c r="F24" s="83"/>
      <c r="G24" s="83"/>
      <c r="H24" s="44"/>
      <c r="I24" s="1"/>
      <c r="J24" s="1"/>
      <c r="K24" s="1"/>
      <c r="L24" s="1"/>
      <c r="M24" s="1"/>
    </row>
    <row r="25" spans="1:13" ht="15" customHeight="1" x14ac:dyDescent="0.25">
      <c r="A25" s="82"/>
      <c r="B25" s="82"/>
      <c r="C25" s="82"/>
      <c r="D25" s="82"/>
      <c r="E25" s="82"/>
      <c r="F25" s="83"/>
      <c r="G25" s="83"/>
      <c r="H25" s="44"/>
      <c r="I25" s="1"/>
      <c r="J25" s="1"/>
      <c r="K25" s="1"/>
      <c r="L25" s="1"/>
      <c r="M25" s="1"/>
    </row>
    <row r="26" spans="1:13" ht="15" customHeight="1" x14ac:dyDescent="0.25">
      <c r="A26" s="82"/>
      <c r="B26" s="82"/>
      <c r="C26" s="82"/>
      <c r="D26" s="82"/>
      <c r="E26" s="82"/>
      <c r="F26" s="83"/>
      <c r="G26" s="83"/>
      <c r="H26" s="44"/>
      <c r="I26" s="1"/>
      <c r="J26" s="1"/>
      <c r="K26" s="1"/>
      <c r="L26" s="1"/>
      <c r="M26" s="1"/>
    </row>
    <row r="27" spans="1:13" ht="15" customHeight="1" x14ac:dyDescent="0.25">
      <c r="A27" s="82"/>
      <c r="B27" s="82"/>
      <c r="C27" s="82"/>
      <c r="D27" s="82"/>
      <c r="E27" s="82"/>
      <c r="F27" s="83"/>
      <c r="G27" s="83"/>
      <c r="H27" s="44"/>
      <c r="I27" s="1"/>
      <c r="J27" s="1"/>
      <c r="K27" s="1"/>
      <c r="L27" s="1"/>
      <c r="M27" s="1"/>
    </row>
    <row r="28" spans="1:13" ht="15" customHeight="1" x14ac:dyDescent="0.25">
      <c r="A28" s="82"/>
      <c r="B28" s="82"/>
      <c r="C28" s="82"/>
      <c r="D28" s="82"/>
      <c r="E28" s="82"/>
      <c r="F28" s="83"/>
      <c r="G28" s="83"/>
      <c r="H28" s="44"/>
      <c r="I28" s="1"/>
      <c r="J28" s="1"/>
      <c r="K28" s="1"/>
      <c r="L28" s="1"/>
      <c r="M28" s="1"/>
    </row>
    <row r="29" spans="1:13" ht="15" customHeight="1" x14ac:dyDescent="0.25">
      <c r="A29" s="82"/>
      <c r="B29" s="82"/>
      <c r="C29" s="82"/>
      <c r="D29" s="82"/>
      <c r="E29" s="82"/>
      <c r="F29" s="83"/>
      <c r="G29" s="83"/>
      <c r="H29" s="44"/>
      <c r="I29" s="1"/>
      <c r="J29" s="1"/>
      <c r="K29" s="1"/>
      <c r="L29" s="1"/>
      <c r="M29" s="1"/>
    </row>
    <row r="30" spans="1:13" ht="15" customHeight="1" x14ac:dyDescent="0.25">
      <c r="A30" s="82"/>
      <c r="B30" s="82"/>
      <c r="C30" s="82"/>
      <c r="D30" s="82"/>
      <c r="E30" s="82"/>
      <c r="F30" s="83"/>
      <c r="G30" s="83"/>
      <c r="H30" s="44"/>
      <c r="I30" s="1"/>
      <c r="J30" s="1"/>
      <c r="K30" s="1"/>
      <c r="L30" s="1"/>
      <c r="M30" s="1"/>
    </row>
    <row r="31" spans="1:13" ht="15" customHeight="1" x14ac:dyDescent="0.25">
      <c r="A31" s="82"/>
      <c r="B31" s="82"/>
      <c r="C31" s="82"/>
      <c r="D31" s="82"/>
      <c r="E31" s="82"/>
      <c r="F31" s="83"/>
      <c r="G31" s="83"/>
      <c r="H31" s="44"/>
      <c r="I31" s="1"/>
      <c r="J31" s="1"/>
      <c r="K31" s="1"/>
      <c r="L31" s="1"/>
      <c r="M31" s="1"/>
    </row>
    <row r="32" spans="1:13" ht="15" customHeight="1" x14ac:dyDescent="0.25">
      <c r="A32" s="82"/>
      <c r="B32" s="82"/>
      <c r="C32" s="82"/>
      <c r="D32" s="82"/>
      <c r="E32" s="82"/>
      <c r="F32" s="83"/>
      <c r="G32" s="83"/>
      <c r="H32" s="44"/>
      <c r="I32" s="1"/>
      <c r="J32" s="1"/>
      <c r="K32" s="1"/>
      <c r="L32" s="1"/>
      <c r="M32" s="1"/>
    </row>
    <row r="33" spans="1:13" ht="15" customHeight="1" x14ac:dyDescent="0.25">
      <c r="A33" s="82"/>
      <c r="B33" s="82"/>
      <c r="C33" s="82"/>
      <c r="D33" s="82"/>
      <c r="E33" s="82"/>
      <c r="F33" s="83"/>
      <c r="G33" s="83"/>
      <c r="H33" s="44"/>
      <c r="I33" s="1"/>
      <c r="J33" s="1"/>
      <c r="K33" s="1"/>
      <c r="L33" s="1"/>
      <c r="M33" s="1"/>
    </row>
    <row r="34" spans="1:13" ht="15" customHeight="1" x14ac:dyDescent="0.25">
      <c r="A34" s="82"/>
      <c r="B34" s="82"/>
      <c r="C34" s="82"/>
      <c r="D34" s="82"/>
      <c r="E34" s="82"/>
      <c r="F34" s="83"/>
      <c r="G34" s="83"/>
      <c r="H34" s="44"/>
      <c r="I34" s="1"/>
      <c r="J34" s="1"/>
      <c r="K34" s="1"/>
      <c r="L34" s="1"/>
      <c r="M34" s="1"/>
    </row>
    <row r="35" spans="1:13" ht="15" customHeight="1" x14ac:dyDescent="0.25">
      <c r="A35" s="82"/>
      <c r="B35" s="82"/>
      <c r="C35" s="82"/>
      <c r="D35" s="82"/>
      <c r="E35" s="82"/>
      <c r="F35" s="83"/>
      <c r="G35" s="83"/>
      <c r="H35" s="44"/>
      <c r="I35" s="1"/>
      <c r="J35" s="1"/>
      <c r="K35" s="1"/>
      <c r="L35" s="1"/>
      <c r="M35" s="1"/>
    </row>
    <row r="36" spans="1:13" ht="15" customHeight="1" x14ac:dyDescent="0.25">
      <c r="A36" s="82"/>
      <c r="B36" s="82"/>
      <c r="C36" s="82"/>
      <c r="D36" s="82"/>
      <c r="E36" s="82"/>
      <c r="F36" s="83"/>
      <c r="G36" s="83"/>
      <c r="H36" s="44"/>
      <c r="I36" s="1"/>
      <c r="J36" s="1"/>
      <c r="K36" s="1"/>
      <c r="L36" s="1"/>
      <c r="M36" s="1"/>
    </row>
    <row r="37" spans="1:13" ht="15" customHeight="1" x14ac:dyDescent="0.25">
      <c r="A37" s="82"/>
      <c r="B37" s="82"/>
      <c r="C37" s="82"/>
      <c r="D37" s="82"/>
      <c r="E37" s="82"/>
      <c r="F37" s="83"/>
      <c r="G37" s="83"/>
      <c r="H37" s="44"/>
      <c r="I37" s="1"/>
      <c r="J37" s="1"/>
      <c r="K37" s="1"/>
      <c r="L37" s="1"/>
      <c r="M37" s="1"/>
    </row>
    <row r="38" spans="1:13" ht="15" customHeight="1" x14ac:dyDescent="0.25">
      <c r="A38" s="82"/>
      <c r="B38" s="82"/>
      <c r="C38" s="82"/>
      <c r="D38" s="82"/>
      <c r="E38" s="82"/>
      <c r="F38" s="83"/>
      <c r="G38" s="83"/>
      <c r="H38" s="44"/>
      <c r="I38" s="1"/>
      <c r="J38" s="1"/>
      <c r="K38" s="1"/>
      <c r="L38" s="1"/>
      <c r="M38" s="1"/>
    </row>
    <row r="39" spans="1:13" ht="15" customHeight="1" x14ac:dyDescent="0.25">
      <c r="A39" s="82"/>
      <c r="B39" s="82"/>
      <c r="C39" s="82"/>
      <c r="D39" s="82"/>
      <c r="E39" s="82"/>
      <c r="F39" s="83"/>
      <c r="G39" s="83"/>
      <c r="H39" s="44"/>
      <c r="I39" s="1"/>
      <c r="J39" s="1"/>
      <c r="K39" s="1"/>
      <c r="L39" s="1"/>
      <c r="M39" s="1"/>
    </row>
    <row r="40" spans="1:13" ht="15" customHeight="1" x14ac:dyDescent="0.25">
      <c r="A40" s="82"/>
      <c r="B40" s="82"/>
      <c r="C40" s="82"/>
      <c r="D40" s="82"/>
      <c r="E40" s="82"/>
      <c r="F40" s="83"/>
      <c r="G40" s="83"/>
      <c r="H40" s="44"/>
      <c r="I40" s="1"/>
      <c r="J40" s="1"/>
      <c r="K40" s="1"/>
      <c r="L40" s="1"/>
      <c r="M40" s="1"/>
    </row>
    <row r="41" spans="1:13" ht="15" customHeight="1" x14ac:dyDescent="0.25">
      <c r="A41" s="82"/>
      <c r="B41" s="82"/>
      <c r="C41" s="82"/>
      <c r="D41" s="82"/>
      <c r="E41" s="82"/>
      <c r="F41" s="83"/>
      <c r="G41" s="83"/>
      <c r="H41" s="44"/>
      <c r="I41" s="1"/>
      <c r="J41" s="1"/>
      <c r="K41" s="1"/>
      <c r="L41" s="1"/>
      <c r="M41" s="1"/>
    </row>
    <row r="42" spans="1:13" ht="15" customHeight="1" x14ac:dyDescent="0.25">
      <c r="A42" s="82"/>
      <c r="B42" s="82"/>
      <c r="C42" s="82"/>
      <c r="D42" s="82"/>
      <c r="E42" s="82"/>
      <c r="F42" s="83"/>
      <c r="G42" s="83"/>
      <c r="H42" s="44"/>
      <c r="I42" s="1"/>
      <c r="J42" s="1"/>
      <c r="K42" s="1"/>
      <c r="L42" s="1"/>
      <c r="M42" s="1"/>
    </row>
    <row r="43" spans="1:13" ht="15" customHeight="1" x14ac:dyDescent="0.25">
      <c r="A43" s="82"/>
      <c r="B43" s="82"/>
      <c r="C43" s="82"/>
      <c r="D43" s="82"/>
      <c r="E43" s="82"/>
      <c r="F43" s="83"/>
      <c r="G43" s="83"/>
      <c r="H43" s="44"/>
      <c r="I43" s="1"/>
      <c r="J43" s="1"/>
      <c r="K43" s="1"/>
      <c r="L43" s="1"/>
      <c r="M43" s="1"/>
    </row>
    <row r="44" spans="1:13" ht="15" customHeight="1" x14ac:dyDescent="0.25">
      <c r="A44" s="82"/>
      <c r="B44" s="82"/>
      <c r="C44" s="82"/>
      <c r="D44" s="82"/>
      <c r="E44" s="82"/>
      <c r="F44" s="83"/>
      <c r="G44" s="83"/>
      <c r="H44" s="44"/>
      <c r="I44" s="1"/>
      <c r="J44" s="1"/>
      <c r="K44" s="1"/>
      <c r="L44" s="1"/>
      <c r="M44" s="1"/>
    </row>
    <row r="45" spans="1:13" ht="15" customHeight="1" x14ac:dyDescent="0.25">
      <c r="A45" s="82"/>
      <c r="B45" s="82"/>
      <c r="C45" s="82"/>
      <c r="D45" s="82"/>
      <c r="E45" s="82"/>
      <c r="F45" s="83"/>
      <c r="G45" s="83"/>
      <c r="H45" s="44"/>
      <c r="I45" s="1"/>
      <c r="J45" s="1"/>
      <c r="K45" s="1"/>
      <c r="L45" s="1"/>
      <c r="M45" s="1"/>
    </row>
    <row r="46" spans="1:13" ht="15" customHeight="1" x14ac:dyDescent="0.25">
      <c r="A46" s="82"/>
      <c r="B46" s="82"/>
      <c r="C46" s="82"/>
      <c r="D46" s="82"/>
      <c r="E46" s="82"/>
      <c r="F46" s="83"/>
      <c r="G46" s="83"/>
      <c r="H46" s="44"/>
      <c r="I46" s="1"/>
      <c r="J46" s="1"/>
      <c r="K46" s="1"/>
      <c r="L46" s="1"/>
      <c r="M46" s="1"/>
    </row>
    <row r="47" spans="1:13" ht="15" customHeight="1" x14ac:dyDescent="0.25">
      <c r="A47" s="82"/>
      <c r="B47" s="82"/>
      <c r="C47" s="82"/>
      <c r="D47" s="82"/>
      <c r="E47" s="82"/>
      <c r="F47" s="83"/>
      <c r="G47" s="83"/>
      <c r="H47" s="44"/>
      <c r="I47" s="1"/>
      <c r="J47" s="1"/>
      <c r="K47" s="1"/>
      <c r="L47" s="1"/>
      <c r="M47" s="1"/>
    </row>
    <row r="48" spans="1:13" ht="15" customHeight="1" x14ac:dyDescent="0.25">
      <c r="A48" s="82"/>
      <c r="B48" s="82"/>
      <c r="C48" s="82"/>
      <c r="D48" s="82"/>
      <c r="E48" s="82"/>
      <c r="F48" s="83"/>
      <c r="G48" s="83"/>
      <c r="H48" s="44"/>
      <c r="I48" s="1"/>
      <c r="J48" s="1"/>
      <c r="K48" s="1"/>
      <c r="L48" s="1"/>
      <c r="M48" s="1"/>
    </row>
    <row r="49" spans="1:13" ht="15" customHeight="1" x14ac:dyDescent="0.25">
      <c r="A49" s="82"/>
      <c r="B49" s="82"/>
      <c r="C49" s="82"/>
      <c r="D49" s="82"/>
      <c r="E49" s="82"/>
      <c r="F49" s="83"/>
      <c r="G49" s="83"/>
      <c r="H49" s="44"/>
      <c r="I49" s="1"/>
      <c r="J49" s="1"/>
      <c r="K49" s="1"/>
      <c r="L49" s="1"/>
      <c r="M49" s="1"/>
    </row>
    <row r="50" spans="1:13" ht="15" customHeight="1" x14ac:dyDescent="0.25">
      <c r="A50" s="82"/>
      <c r="B50" s="82"/>
      <c r="C50" s="82"/>
      <c r="D50" s="82"/>
      <c r="E50" s="82"/>
      <c r="F50" s="83"/>
      <c r="G50" s="83"/>
      <c r="H50" s="44"/>
      <c r="I50" s="1"/>
      <c r="J50" s="1"/>
      <c r="K50" s="1"/>
      <c r="L50" s="1"/>
      <c r="M50" s="1"/>
    </row>
    <row r="51" spans="1:13" ht="15" customHeight="1" x14ac:dyDescent="0.25">
      <c r="A51" s="82"/>
      <c r="B51" s="82"/>
      <c r="C51" s="82"/>
      <c r="D51" s="82"/>
      <c r="E51" s="82"/>
      <c r="F51" s="83"/>
      <c r="G51" s="83"/>
      <c r="H51" s="44"/>
      <c r="I51" s="1"/>
      <c r="J51" s="1"/>
      <c r="K51" s="1"/>
      <c r="L51" s="1"/>
      <c r="M51" s="1"/>
    </row>
    <row r="52" spans="1:13" ht="15" customHeight="1" x14ac:dyDescent="0.25">
      <c r="A52" s="82"/>
      <c r="B52" s="82"/>
      <c r="C52" s="82"/>
      <c r="D52" s="82"/>
      <c r="E52" s="82"/>
      <c r="F52" s="83"/>
      <c r="G52" s="83"/>
      <c r="H52" s="44"/>
      <c r="I52" s="1"/>
      <c r="J52" s="1"/>
      <c r="K52" s="1"/>
      <c r="L52" s="1"/>
      <c r="M52" s="1"/>
    </row>
    <row r="53" spans="1:13" ht="15" customHeight="1" x14ac:dyDescent="0.25">
      <c r="A53" s="82"/>
      <c r="B53" s="82"/>
      <c r="C53" s="82"/>
      <c r="D53" s="82"/>
      <c r="E53" s="82"/>
      <c r="F53" s="83"/>
      <c r="G53" s="83"/>
      <c r="H53" s="44"/>
      <c r="I53" s="1"/>
      <c r="J53" s="1"/>
      <c r="K53" s="1"/>
      <c r="L53" s="1"/>
      <c r="M53" s="1"/>
    </row>
    <row r="54" spans="1:13" ht="15" customHeight="1" x14ac:dyDescent="0.25">
      <c r="A54" s="82"/>
      <c r="B54" s="82"/>
      <c r="C54" s="82"/>
      <c r="D54" s="82"/>
      <c r="E54" s="82"/>
      <c r="F54" s="83"/>
      <c r="G54" s="83"/>
      <c r="H54" s="44"/>
      <c r="I54" s="1"/>
      <c r="J54" s="1"/>
      <c r="K54" s="1"/>
      <c r="L54" s="1"/>
      <c r="M54" s="1"/>
    </row>
    <row r="55" spans="1:13" ht="15" customHeight="1" x14ac:dyDescent="0.25">
      <c r="A55" s="82"/>
      <c r="B55" s="82"/>
      <c r="C55" s="82"/>
      <c r="D55" s="82"/>
      <c r="E55" s="82"/>
      <c r="F55" s="83"/>
      <c r="G55" s="83"/>
      <c r="H55" s="44"/>
      <c r="I55" s="1"/>
      <c r="J55" s="1"/>
      <c r="K55" s="1"/>
      <c r="L55" s="1"/>
      <c r="M55" s="1"/>
    </row>
    <row r="56" spans="1:13" ht="15" customHeight="1" x14ac:dyDescent="0.25">
      <c r="A56" s="82"/>
      <c r="B56" s="82"/>
      <c r="C56" s="82"/>
      <c r="D56" s="82"/>
      <c r="E56" s="82"/>
      <c r="F56" s="83"/>
      <c r="G56" s="83"/>
      <c r="H56" s="44"/>
      <c r="I56" s="1"/>
      <c r="J56" s="1"/>
      <c r="K56" s="1"/>
      <c r="L56" s="1"/>
      <c r="M56" s="1"/>
    </row>
    <row r="57" spans="1:13" ht="15" customHeight="1" x14ac:dyDescent="0.25">
      <c r="A57" s="82"/>
      <c r="B57" s="82"/>
      <c r="C57" s="82"/>
      <c r="D57" s="82"/>
      <c r="E57" s="82"/>
      <c r="F57" s="83"/>
      <c r="G57" s="83"/>
      <c r="H57" s="44"/>
      <c r="I57" s="1"/>
      <c r="J57" s="1"/>
      <c r="K57" s="1"/>
      <c r="L57" s="1"/>
      <c r="M57" s="1"/>
    </row>
    <row r="58" spans="1:13" ht="15" customHeight="1" x14ac:dyDescent="0.25">
      <c r="A58" s="82"/>
      <c r="B58" s="82"/>
      <c r="C58" s="82"/>
      <c r="D58" s="82"/>
      <c r="E58" s="82"/>
      <c r="F58" s="83"/>
      <c r="G58" s="83"/>
      <c r="H58" s="44"/>
      <c r="I58" s="1"/>
      <c r="J58" s="1"/>
      <c r="K58" s="1"/>
      <c r="L58" s="1"/>
      <c r="M58" s="1"/>
    </row>
    <row r="59" spans="1:13" ht="15" customHeight="1" x14ac:dyDescent="0.25">
      <c r="A59" s="82"/>
      <c r="B59" s="82"/>
      <c r="C59" s="82"/>
      <c r="D59" s="82"/>
      <c r="E59" s="82"/>
      <c r="F59" s="83"/>
      <c r="G59" s="83"/>
      <c r="H59" s="44"/>
      <c r="I59" s="1"/>
      <c r="J59" s="1"/>
      <c r="K59" s="1"/>
      <c r="L59" s="1"/>
      <c r="M59" s="1"/>
    </row>
    <row r="60" spans="1:13" ht="15" customHeight="1" x14ac:dyDescent="0.25">
      <c r="A60" s="82"/>
      <c r="B60" s="82"/>
      <c r="C60" s="82"/>
      <c r="D60" s="82"/>
      <c r="E60" s="82"/>
      <c r="F60" s="83"/>
      <c r="G60" s="83"/>
      <c r="H60" s="44"/>
      <c r="I60" s="1"/>
      <c r="J60" s="1"/>
      <c r="K60" s="1"/>
      <c r="L60" s="1"/>
      <c r="M60" s="1"/>
    </row>
    <row r="61" spans="1:13" ht="15" customHeight="1" x14ac:dyDescent="0.25">
      <c r="A61" s="82"/>
      <c r="B61" s="82"/>
      <c r="C61" s="82"/>
      <c r="D61" s="82"/>
      <c r="E61" s="82"/>
      <c r="F61" s="83"/>
      <c r="G61" s="83"/>
      <c r="H61" s="44"/>
      <c r="I61" s="1"/>
      <c r="J61" s="1"/>
      <c r="K61" s="1"/>
      <c r="L61" s="1"/>
      <c r="M61" s="1"/>
    </row>
    <row r="62" spans="1:13" ht="15" customHeight="1" x14ac:dyDescent="0.25">
      <c r="A62" s="82"/>
      <c r="B62" s="82"/>
      <c r="C62" s="82"/>
      <c r="D62" s="82"/>
      <c r="E62" s="82"/>
      <c r="F62" s="83"/>
      <c r="G62" s="83"/>
      <c r="H62" s="44"/>
      <c r="I62" s="1"/>
      <c r="J62" s="1"/>
      <c r="K62" s="1"/>
      <c r="L62" s="1"/>
      <c r="M62" s="1"/>
    </row>
    <row r="63" spans="1:13" ht="15" customHeight="1" x14ac:dyDescent="0.25">
      <c r="A63" s="82"/>
      <c r="B63" s="82"/>
      <c r="C63" s="82"/>
      <c r="D63" s="82"/>
      <c r="E63" s="82"/>
      <c r="F63" s="83"/>
      <c r="G63" s="83"/>
      <c r="H63" s="44"/>
      <c r="I63" s="1"/>
      <c r="J63" s="1"/>
      <c r="K63" s="1"/>
      <c r="L63" s="1"/>
      <c r="M63" s="1"/>
    </row>
    <row r="64" spans="1:13" ht="15" customHeight="1" x14ac:dyDescent="0.25">
      <c r="A64" s="82"/>
      <c r="B64" s="82"/>
      <c r="C64" s="82"/>
      <c r="D64" s="82"/>
      <c r="E64" s="82"/>
      <c r="F64" s="83"/>
      <c r="G64" s="83"/>
      <c r="H64" s="44"/>
      <c r="I64" s="1"/>
      <c r="J64" s="1"/>
      <c r="K64" s="1"/>
      <c r="L64" s="1"/>
      <c r="M64" s="1"/>
    </row>
    <row r="65" spans="1:13" ht="15" customHeight="1" x14ac:dyDescent="0.25">
      <c r="A65" s="82"/>
      <c r="B65" s="82"/>
      <c r="C65" s="82"/>
      <c r="D65" s="82"/>
      <c r="E65" s="82"/>
      <c r="F65" s="83"/>
      <c r="G65" s="83"/>
      <c r="H65" s="44"/>
      <c r="I65" s="1"/>
      <c r="J65" s="1"/>
      <c r="K65" s="1"/>
      <c r="L65" s="1"/>
      <c r="M65" s="1"/>
    </row>
    <row r="66" spans="1:13" ht="15" customHeight="1" x14ac:dyDescent="0.25">
      <c r="A66" s="82"/>
      <c r="B66" s="82"/>
      <c r="C66" s="82"/>
      <c r="D66" s="82"/>
      <c r="E66" s="82"/>
      <c r="F66" s="83"/>
      <c r="G66" s="83"/>
      <c r="H66" s="44"/>
      <c r="I66" s="1"/>
      <c r="J66" s="1"/>
      <c r="K66" s="1"/>
      <c r="L66" s="1"/>
      <c r="M66" s="1"/>
    </row>
  </sheetData>
  <mergeCells count="2">
    <mergeCell ref="C7:D7"/>
    <mergeCell ref="A21:E21"/>
  </mergeCells>
  <pageMargins left="0.70866141732283472" right="0.70866141732283472" top="0.74803149606299213" bottom="0.74803149606299213" header="0.31496062992125984" footer="0.31496062992125984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Q62"/>
  <sheetViews>
    <sheetView showWhiteSpace="0" zoomScale="90" zoomScaleNormal="90" workbookViewId="0">
      <pane xSplit="9" ySplit="15" topLeftCell="AM16" activePane="bottomRight" state="frozen"/>
      <selection pane="topRight" activeCell="J1" sqref="J1"/>
      <selection pane="bottomLeft" activeCell="A16" sqref="A16"/>
      <selection pane="bottomRight" activeCell="C10" sqref="C10:C32"/>
    </sheetView>
  </sheetViews>
  <sheetFormatPr defaultColWidth="9.140625" defaultRowHeight="11.25" x14ac:dyDescent="0.2"/>
  <cols>
    <col min="1" max="1" width="7" style="1" customWidth="1"/>
    <col min="2" max="2" width="7.28515625" style="19" customWidth="1"/>
    <col min="3" max="3" width="35.28515625" style="1" customWidth="1"/>
    <col min="4" max="4" width="8.140625" style="1" customWidth="1"/>
    <col min="5" max="5" width="7.85546875" style="1" customWidth="1"/>
    <col min="6" max="6" width="12.140625" style="63" customWidth="1"/>
    <col min="7" max="8" width="9.28515625" style="63" customWidth="1"/>
    <col min="9" max="9" width="21.28515625" style="63" customWidth="1"/>
    <col min="10" max="11" width="9.28515625" style="63" customWidth="1"/>
    <col min="12" max="12" width="22.140625" style="63" customWidth="1"/>
    <col min="13" max="14" width="9.28515625" style="63" customWidth="1"/>
    <col min="15" max="15" width="22.85546875" style="63" customWidth="1"/>
    <col min="16" max="17" width="9.28515625" style="63" customWidth="1"/>
    <col min="18" max="18" width="20.42578125" style="63" customWidth="1"/>
    <col min="19" max="20" width="9.28515625" style="63" customWidth="1"/>
    <col min="21" max="21" width="22.140625" style="63" customWidth="1"/>
    <col min="22" max="23" width="9.28515625" style="63" customWidth="1"/>
    <col min="24" max="24" width="21.7109375" style="63" customWidth="1"/>
    <col min="25" max="26" width="9.28515625" style="63" customWidth="1"/>
    <col min="27" max="27" width="20.85546875" style="63" customWidth="1"/>
    <col min="28" max="29" width="9.28515625" style="63" customWidth="1"/>
    <col min="30" max="30" width="22.140625" style="63" customWidth="1"/>
    <col min="31" max="32" width="9.28515625" style="63" customWidth="1"/>
    <col min="33" max="33" width="23.85546875" style="63" customWidth="1"/>
    <col min="34" max="35" width="9.28515625" style="63" customWidth="1"/>
    <col min="36" max="36" width="21.7109375" style="63" customWidth="1"/>
    <col min="37" max="38" width="9.28515625" style="63" customWidth="1"/>
    <col min="39" max="39" width="24.5703125" style="63" customWidth="1"/>
    <col min="40" max="41" width="9.28515625" style="63" customWidth="1"/>
    <col min="42" max="42" width="26.85546875" style="63" customWidth="1"/>
    <col min="43" max="43" width="19.85546875" style="63" customWidth="1"/>
    <col min="44" max="16384" width="9.140625" style="1"/>
  </cols>
  <sheetData>
    <row r="1" spans="1:43" x14ac:dyDescent="0.2">
      <c r="A1" s="9" t="s">
        <v>0</v>
      </c>
      <c r="B1" s="18"/>
      <c r="C1" s="9"/>
      <c r="D1" s="9"/>
      <c r="E1" s="9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161"/>
      <c r="AE1" s="161"/>
      <c r="AF1" s="161"/>
      <c r="AG1" s="161"/>
      <c r="AH1" s="161"/>
      <c r="AI1" s="161"/>
      <c r="AJ1" s="161"/>
      <c r="AK1" s="161"/>
      <c r="AL1" s="161"/>
      <c r="AM1" s="161"/>
      <c r="AN1" s="161"/>
      <c r="AO1" s="161"/>
      <c r="AP1" s="161"/>
      <c r="AQ1" s="161"/>
    </row>
    <row r="2" spans="1:43" x14ac:dyDescent="0.2">
      <c r="A2" s="9" t="s">
        <v>1</v>
      </c>
      <c r="B2" s="18"/>
      <c r="C2" s="9"/>
      <c r="D2" s="9"/>
      <c r="E2" s="9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  <c r="W2" s="161"/>
      <c r="X2" s="161"/>
      <c r="Y2" s="161"/>
      <c r="Z2" s="161"/>
      <c r="AA2" s="161"/>
      <c r="AB2" s="161"/>
      <c r="AC2" s="161"/>
      <c r="AD2" s="161"/>
      <c r="AE2" s="161"/>
      <c r="AF2" s="161"/>
      <c r="AG2" s="161"/>
      <c r="AH2" s="161"/>
      <c r="AI2" s="161"/>
      <c r="AJ2" s="161"/>
      <c r="AK2" s="161"/>
      <c r="AL2" s="161"/>
      <c r="AM2" s="161"/>
      <c r="AN2" s="161"/>
      <c r="AO2" s="161"/>
      <c r="AP2" s="161"/>
      <c r="AQ2" s="161"/>
    </row>
    <row r="3" spans="1:43" x14ac:dyDescent="0.2">
      <c r="A3" s="286" t="s">
        <v>3259</v>
      </c>
      <c r="B3" s="286"/>
      <c r="C3" s="286"/>
      <c r="D3" s="286"/>
      <c r="E3" s="286"/>
      <c r="F3" s="286"/>
      <c r="G3" s="286"/>
      <c r="H3" s="286"/>
      <c r="I3" s="286"/>
      <c r="J3" s="286"/>
      <c r="K3" s="286"/>
      <c r="L3" s="286"/>
      <c r="M3" s="286"/>
      <c r="N3" s="286"/>
      <c r="O3" s="286"/>
      <c r="P3" s="286"/>
      <c r="Q3" s="286"/>
      <c r="R3" s="286"/>
      <c r="S3" s="286"/>
      <c r="T3" s="286"/>
      <c r="U3" s="286"/>
      <c r="V3" s="286"/>
      <c r="W3" s="286"/>
      <c r="X3" s="286"/>
      <c r="Y3" s="286"/>
      <c r="Z3" s="286"/>
      <c r="AA3" s="286"/>
      <c r="AB3" s="286"/>
      <c r="AC3" s="286"/>
      <c r="AD3" s="286"/>
      <c r="AE3" s="286"/>
      <c r="AF3" s="286"/>
      <c r="AG3" s="286"/>
      <c r="AH3" s="286"/>
      <c r="AI3" s="286"/>
      <c r="AJ3" s="286"/>
      <c r="AK3" s="286"/>
      <c r="AL3" s="286"/>
      <c r="AM3" s="286"/>
      <c r="AN3" s="286"/>
      <c r="AO3" s="286"/>
      <c r="AP3" s="286"/>
      <c r="AQ3" s="286"/>
    </row>
    <row r="4" spans="1:43" x14ac:dyDescent="0.2">
      <c r="A4" s="286" t="s">
        <v>3272</v>
      </c>
      <c r="B4" s="286"/>
      <c r="C4" s="286"/>
      <c r="D4" s="286"/>
      <c r="E4" s="286"/>
      <c r="F4" s="286"/>
      <c r="G4" s="286"/>
      <c r="H4" s="286"/>
      <c r="I4" s="286"/>
      <c r="J4" s="286"/>
      <c r="K4" s="286"/>
      <c r="L4" s="286"/>
      <c r="M4" s="286"/>
      <c r="N4" s="286"/>
      <c r="O4" s="286"/>
      <c r="P4" s="286"/>
      <c r="Q4" s="286"/>
      <c r="R4" s="286"/>
      <c r="S4" s="286"/>
      <c r="T4" s="286"/>
      <c r="U4" s="286"/>
      <c r="V4" s="286"/>
      <c r="W4" s="286"/>
      <c r="X4" s="286"/>
      <c r="Y4" s="286"/>
      <c r="Z4" s="286"/>
      <c r="AA4" s="286"/>
      <c r="AB4" s="286"/>
      <c r="AC4" s="286"/>
      <c r="AD4" s="286"/>
      <c r="AE4" s="286"/>
      <c r="AF4" s="286"/>
      <c r="AG4" s="286"/>
      <c r="AH4" s="286"/>
      <c r="AI4" s="286"/>
      <c r="AJ4" s="286"/>
      <c r="AK4" s="286"/>
      <c r="AL4" s="286"/>
      <c r="AM4" s="286"/>
      <c r="AN4" s="286"/>
      <c r="AO4" s="286"/>
      <c r="AP4" s="286"/>
      <c r="AQ4" s="286"/>
    </row>
    <row r="5" spans="1:43" x14ac:dyDescent="0.2">
      <c r="A5" s="18"/>
      <c r="B5" s="18"/>
      <c r="C5" s="18"/>
      <c r="D5" s="18"/>
      <c r="E5" s="18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69"/>
      <c r="AE5" s="169"/>
      <c r="AF5" s="169"/>
      <c r="AG5" s="169"/>
      <c r="AH5" s="169"/>
      <c r="AI5" s="169"/>
      <c r="AJ5" s="169"/>
      <c r="AK5" s="169"/>
      <c r="AL5" s="169"/>
      <c r="AM5" s="169"/>
      <c r="AN5" s="169"/>
      <c r="AO5" s="169"/>
      <c r="AP5" s="169"/>
      <c r="AQ5" s="169"/>
    </row>
    <row r="6" spans="1:43" x14ac:dyDescent="0.2">
      <c r="A6" s="287" t="s">
        <v>3260</v>
      </c>
      <c r="B6" s="288"/>
      <c r="C6" s="289" t="s">
        <v>8</v>
      </c>
      <c r="D6" s="287" t="s">
        <v>3261</v>
      </c>
      <c r="E6" s="288"/>
      <c r="F6" s="274" t="s">
        <v>5</v>
      </c>
      <c r="G6" s="276"/>
      <c r="H6" s="170"/>
      <c r="I6" s="170"/>
      <c r="J6" s="170"/>
      <c r="K6" s="170"/>
      <c r="L6" s="170"/>
      <c r="M6" s="274" t="s">
        <v>76</v>
      </c>
      <c r="N6" s="275"/>
      <c r="O6" s="275"/>
      <c r="P6" s="275"/>
      <c r="Q6" s="275"/>
      <c r="R6" s="275"/>
      <c r="S6" s="275"/>
      <c r="T6" s="275"/>
      <c r="U6" s="275"/>
      <c r="V6" s="275"/>
      <c r="W6" s="275"/>
      <c r="X6" s="275"/>
      <c r="Y6" s="275"/>
      <c r="Z6" s="275"/>
      <c r="AA6" s="275"/>
      <c r="AB6" s="275"/>
      <c r="AC6" s="275"/>
      <c r="AD6" s="275"/>
      <c r="AE6" s="275"/>
      <c r="AF6" s="275"/>
      <c r="AG6" s="275"/>
      <c r="AH6" s="275"/>
      <c r="AI6" s="275"/>
      <c r="AJ6" s="275"/>
      <c r="AK6" s="275"/>
      <c r="AL6" s="275"/>
      <c r="AM6" s="275"/>
      <c r="AN6" s="275"/>
      <c r="AO6" s="275"/>
      <c r="AP6" s="275"/>
      <c r="AQ6" s="276"/>
    </row>
    <row r="7" spans="1:43" ht="21.75" customHeight="1" x14ac:dyDescent="0.2">
      <c r="A7" s="289" t="s">
        <v>7</v>
      </c>
      <c r="B7" s="289" t="s">
        <v>16</v>
      </c>
      <c r="C7" s="290"/>
      <c r="D7" s="292" t="s">
        <v>7</v>
      </c>
      <c r="E7" s="292" t="s">
        <v>3262</v>
      </c>
      <c r="F7" s="280" t="s">
        <v>18</v>
      </c>
      <c r="G7" s="282"/>
      <c r="H7" s="280" t="s">
        <v>3326</v>
      </c>
      <c r="I7" s="281"/>
      <c r="J7" s="282"/>
      <c r="K7" s="283" t="s">
        <v>3273</v>
      </c>
      <c r="L7" s="284"/>
      <c r="M7" s="285"/>
      <c r="N7" s="277" t="s">
        <v>3263</v>
      </c>
      <c r="O7" s="278"/>
      <c r="P7" s="279"/>
      <c r="Q7" s="283" t="s">
        <v>3264</v>
      </c>
      <c r="R7" s="284"/>
      <c r="S7" s="285"/>
      <c r="T7" s="277" t="s">
        <v>3265</v>
      </c>
      <c r="U7" s="278"/>
      <c r="V7" s="279"/>
      <c r="W7" s="283" t="s">
        <v>3266</v>
      </c>
      <c r="X7" s="284"/>
      <c r="Y7" s="285"/>
      <c r="Z7" s="280" t="s">
        <v>23</v>
      </c>
      <c r="AA7" s="281"/>
      <c r="AB7" s="281"/>
      <c r="AC7" s="281"/>
      <c r="AD7" s="281"/>
      <c r="AE7" s="281"/>
      <c r="AF7" s="281"/>
      <c r="AG7" s="281"/>
      <c r="AH7" s="281"/>
      <c r="AI7" s="281"/>
      <c r="AJ7" s="281"/>
      <c r="AK7" s="281"/>
      <c r="AL7" s="281"/>
      <c r="AM7" s="281"/>
      <c r="AN7" s="281"/>
      <c r="AO7" s="281"/>
      <c r="AP7" s="281"/>
      <c r="AQ7" s="282"/>
    </row>
    <row r="8" spans="1:43" ht="22.5" customHeight="1" x14ac:dyDescent="0.2">
      <c r="A8" s="290"/>
      <c r="B8" s="290"/>
      <c r="C8" s="290"/>
      <c r="D8" s="293"/>
      <c r="E8" s="293"/>
      <c r="F8" s="171" t="s">
        <v>25</v>
      </c>
      <c r="G8" s="171" t="s">
        <v>26</v>
      </c>
      <c r="H8" s="171" t="s">
        <v>3293</v>
      </c>
      <c r="I8" s="171" t="s">
        <v>3298</v>
      </c>
      <c r="J8" s="175" t="s">
        <v>10</v>
      </c>
      <c r="K8" s="171" t="s">
        <v>3293</v>
      </c>
      <c r="L8" s="171" t="s">
        <v>3298</v>
      </c>
      <c r="M8" s="175" t="s">
        <v>10</v>
      </c>
      <c r="N8" s="171" t="s">
        <v>3293</v>
      </c>
      <c r="O8" s="171" t="s">
        <v>3298</v>
      </c>
      <c r="P8" s="175" t="s">
        <v>10</v>
      </c>
      <c r="Q8" s="171" t="s">
        <v>3293</v>
      </c>
      <c r="R8" s="171" t="s">
        <v>3298</v>
      </c>
      <c r="S8" s="175" t="s">
        <v>10</v>
      </c>
      <c r="T8" s="171" t="s">
        <v>3293</v>
      </c>
      <c r="U8" s="171" t="s">
        <v>3298</v>
      </c>
      <c r="V8" s="175" t="s">
        <v>10</v>
      </c>
      <c r="W8" s="171" t="s">
        <v>3293</v>
      </c>
      <c r="X8" s="171" t="s">
        <v>3298</v>
      </c>
      <c r="Y8" s="175" t="s">
        <v>10</v>
      </c>
      <c r="Z8" s="277" t="s">
        <v>3294</v>
      </c>
      <c r="AA8" s="278"/>
      <c r="AB8" s="279"/>
      <c r="AC8" s="280" t="s">
        <v>3295</v>
      </c>
      <c r="AD8" s="281"/>
      <c r="AE8" s="282"/>
      <c r="AF8" s="280" t="s">
        <v>3296</v>
      </c>
      <c r="AG8" s="281"/>
      <c r="AH8" s="282"/>
      <c r="AI8" s="280" t="s">
        <v>3308</v>
      </c>
      <c r="AJ8" s="281"/>
      <c r="AK8" s="282"/>
      <c r="AL8" s="280" t="s">
        <v>3309</v>
      </c>
      <c r="AM8" s="281"/>
      <c r="AN8" s="282"/>
      <c r="AO8" s="280" t="s">
        <v>3310</v>
      </c>
      <c r="AP8" s="281"/>
      <c r="AQ8" s="282"/>
    </row>
    <row r="9" spans="1:43" ht="15" customHeight="1" x14ac:dyDescent="0.2">
      <c r="A9" s="291"/>
      <c r="B9" s="291"/>
      <c r="C9" s="291"/>
      <c r="D9" s="294"/>
      <c r="E9" s="294"/>
      <c r="F9" s="172" t="s">
        <v>3257</v>
      </c>
      <c r="G9" s="172" t="s">
        <v>3258</v>
      </c>
      <c r="H9" s="274" t="s">
        <v>3327</v>
      </c>
      <c r="I9" s="275"/>
      <c r="J9" s="276"/>
      <c r="K9" s="274" t="s">
        <v>3267</v>
      </c>
      <c r="L9" s="275"/>
      <c r="M9" s="276"/>
      <c r="N9" s="274" t="s">
        <v>3268</v>
      </c>
      <c r="O9" s="275"/>
      <c r="P9" s="276"/>
      <c r="Q9" s="274" t="s">
        <v>3269</v>
      </c>
      <c r="R9" s="275"/>
      <c r="S9" s="276"/>
      <c r="T9" s="274" t="s">
        <v>3270</v>
      </c>
      <c r="U9" s="275"/>
      <c r="V9" s="276"/>
      <c r="W9" s="274" t="s">
        <v>3271</v>
      </c>
      <c r="X9" s="275"/>
      <c r="Y9" s="276"/>
      <c r="Z9" s="171" t="s">
        <v>3293</v>
      </c>
      <c r="AA9" s="171" t="s">
        <v>3298</v>
      </c>
      <c r="AB9" s="175" t="s">
        <v>10</v>
      </c>
      <c r="AC9" s="171" t="s">
        <v>3293</v>
      </c>
      <c r="AD9" s="171" t="s">
        <v>3298</v>
      </c>
      <c r="AE9" s="175" t="s">
        <v>10</v>
      </c>
      <c r="AF9" s="171" t="s">
        <v>3293</v>
      </c>
      <c r="AG9" s="171" t="s">
        <v>3298</v>
      </c>
      <c r="AH9" s="175" t="s">
        <v>10</v>
      </c>
      <c r="AI9" s="171" t="s">
        <v>3293</v>
      </c>
      <c r="AJ9" s="171" t="s">
        <v>3298</v>
      </c>
      <c r="AK9" s="175" t="s">
        <v>10</v>
      </c>
      <c r="AL9" s="171" t="s">
        <v>3293</v>
      </c>
      <c r="AM9" s="171" t="s">
        <v>3298</v>
      </c>
      <c r="AN9" s="175" t="s">
        <v>10</v>
      </c>
      <c r="AO9" s="171" t="s">
        <v>3293</v>
      </c>
      <c r="AP9" s="171" t="s">
        <v>3298</v>
      </c>
      <c r="AQ9" s="175" t="s">
        <v>10</v>
      </c>
    </row>
    <row r="10" spans="1:43" x14ac:dyDescent="0.2">
      <c r="A10" s="168" t="s">
        <v>3275</v>
      </c>
      <c r="B10" s="176" t="s">
        <v>3276</v>
      </c>
      <c r="C10" s="55" t="s">
        <v>3277</v>
      </c>
      <c r="D10" s="168" t="s">
        <v>3278</v>
      </c>
      <c r="E10" s="55" t="s">
        <v>3279</v>
      </c>
      <c r="F10" s="174">
        <f>M10+P10+S10+V10+Y10+AB10+AE10+AH10+AK10+AN10+AQ10+J10</f>
        <v>150000</v>
      </c>
      <c r="G10" s="173"/>
      <c r="H10" s="173"/>
      <c r="I10" s="173"/>
      <c r="J10" s="173"/>
      <c r="K10" s="173"/>
      <c r="L10" s="173"/>
      <c r="M10" s="173"/>
      <c r="N10" s="173"/>
      <c r="O10" s="173"/>
      <c r="P10" s="173"/>
      <c r="Q10" s="173"/>
      <c r="R10" s="173"/>
      <c r="S10" s="173"/>
      <c r="T10" s="173" t="s">
        <v>3297</v>
      </c>
      <c r="U10" s="173" t="s">
        <v>3299</v>
      </c>
      <c r="V10" s="173">
        <v>150000</v>
      </c>
      <c r="W10" s="173"/>
      <c r="X10" s="173"/>
      <c r="Y10" s="173"/>
      <c r="Z10" s="173"/>
      <c r="AA10" s="173"/>
      <c r="AB10" s="173"/>
      <c r="AC10" s="173"/>
      <c r="AD10" s="173"/>
      <c r="AE10" s="173"/>
      <c r="AF10" s="173"/>
      <c r="AG10" s="173"/>
      <c r="AH10" s="173"/>
      <c r="AI10" s="173"/>
      <c r="AJ10" s="173"/>
      <c r="AK10" s="173"/>
      <c r="AL10" s="173"/>
      <c r="AM10" s="173"/>
      <c r="AN10" s="173"/>
      <c r="AO10" s="173"/>
      <c r="AP10" s="173"/>
      <c r="AQ10" s="173"/>
    </row>
    <row r="11" spans="1:43" x14ac:dyDescent="0.2">
      <c r="A11" s="30"/>
      <c r="B11" s="62" t="s">
        <v>3280</v>
      </c>
      <c r="C11" s="30" t="s">
        <v>3281</v>
      </c>
      <c r="D11" s="80" t="s">
        <v>3278</v>
      </c>
      <c r="E11" s="30" t="s">
        <v>3279</v>
      </c>
      <c r="F11" s="174">
        <f>M11+P11+S11+V11+Y11+AB11+AE11+AH11+AK11+AN11+AQ11+J11</f>
        <v>130000</v>
      </c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4"/>
      <c r="R11" s="174"/>
      <c r="S11" s="174"/>
      <c r="T11" s="174"/>
      <c r="U11" s="174"/>
      <c r="V11" s="174"/>
      <c r="W11" s="174"/>
      <c r="X11" s="174"/>
      <c r="Y11" s="174"/>
      <c r="Z11" s="174"/>
      <c r="AA11" s="174"/>
      <c r="AB11" s="174"/>
      <c r="AC11" s="174" t="s">
        <v>3300</v>
      </c>
      <c r="AD11" s="174" t="s">
        <v>3301</v>
      </c>
      <c r="AE11" s="174">
        <v>130000</v>
      </c>
      <c r="AF11" s="174"/>
      <c r="AG11" s="174"/>
      <c r="AH11" s="174"/>
      <c r="AI11" s="174"/>
      <c r="AJ11" s="174"/>
      <c r="AK11" s="174"/>
      <c r="AL11" s="174"/>
      <c r="AM11" s="174"/>
      <c r="AN11" s="174"/>
      <c r="AO11" s="174"/>
      <c r="AP11" s="174"/>
      <c r="AQ11" s="174"/>
    </row>
    <row r="12" spans="1:43" x14ac:dyDescent="0.2">
      <c r="A12" s="80"/>
      <c r="B12" s="62" t="s">
        <v>3282</v>
      </c>
      <c r="C12" s="30" t="s">
        <v>3283</v>
      </c>
      <c r="D12" s="30">
        <f>A12</f>
        <v>0</v>
      </c>
      <c r="E12" s="30" t="s">
        <v>3279</v>
      </c>
      <c r="F12" s="174">
        <f t="shared" ref="F12:F36" si="0">M12+P12+S12+V12+Y12+AB12+AE12+AH12+AK12+AN12+AQ12+J12</f>
        <v>150000</v>
      </c>
      <c r="G12" s="174"/>
      <c r="H12" s="174"/>
      <c r="I12" s="174"/>
      <c r="J12" s="174"/>
      <c r="K12" s="174"/>
      <c r="L12" s="174"/>
      <c r="M12" s="174"/>
      <c r="N12" s="174"/>
      <c r="O12" s="174"/>
      <c r="P12" s="174"/>
      <c r="Q12" s="174"/>
      <c r="R12" s="174"/>
      <c r="S12" s="174"/>
      <c r="T12" s="174"/>
      <c r="U12" s="174"/>
      <c r="V12" s="174"/>
      <c r="W12" s="174"/>
      <c r="X12" s="174"/>
      <c r="Y12" s="174"/>
      <c r="Z12" s="174"/>
      <c r="AA12" s="174"/>
      <c r="AB12" s="174"/>
      <c r="AC12" s="174" t="s">
        <v>3300</v>
      </c>
      <c r="AD12" s="174" t="s">
        <v>3301</v>
      </c>
      <c r="AE12" s="174">
        <v>150000</v>
      </c>
      <c r="AF12" s="174"/>
      <c r="AG12" s="174"/>
      <c r="AH12" s="174"/>
      <c r="AI12" s="174"/>
      <c r="AJ12" s="174"/>
      <c r="AK12" s="174"/>
      <c r="AL12" s="174"/>
      <c r="AM12" s="174"/>
      <c r="AN12" s="174"/>
      <c r="AO12" s="174"/>
      <c r="AP12" s="174"/>
      <c r="AQ12" s="174"/>
    </row>
    <row r="13" spans="1:43" x14ac:dyDescent="0.2">
      <c r="A13" s="80" t="s">
        <v>3285</v>
      </c>
      <c r="B13" s="62" t="s">
        <v>3286</v>
      </c>
      <c r="C13" s="30" t="s">
        <v>3284</v>
      </c>
      <c r="D13" s="30" t="str">
        <f t="shared" ref="D13:D36" si="1">A13</f>
        <v>04 Jan</v>
      </c>
      <c r="E13" s="30" t="s">
        <v>3279</v>
      </c>
      <c r="F13" s="174">
        <f t="shared" si="0"/>
        <v>110000</v>
      </c>
      <c r="G13" s="174"/>
      <c r="H13" s="174"/>
      <c r="I13" s="174"/>
      <c r="J13" s="174"/>
      <c r="K13" s="174"/>
      <c r="L13" s="174"/>
      <c r="M13" s="174"/>
      <c r="N13" s="174"/>
      <c r="O13" s="174"/>
      <c r="P13" s="174"/>
      <c r="Q13" s="174"/>
      <c r="R13" s="174"/>
      <c r="S13" s="174"/>
      <c r="T13" s="174"/>
      <c r="U13" s="174"/>
      <c r="V13" s="174"/>
      <c r="W13" s="174" t="s">
        <v>3303</v>
      </c>
      <c r="X13" s="174" t="s">
        <v>3302</v>
      </c>
      <c r="Y13" s="174">
        <v>110000</v>
      </c>
      <c r="Z13" s="174"/>
      <c r="AA13" s="174"/>
      <c r="AB13" s="174"/>
      <c r="AC13" s="174"/>
      <c r="AD13" s="174"/>
      <c r="AE13" s="174"/>
      <c r="AF13" s="174"/>
      <c r="AG13" s="174"/>
      <c r="AH13" s="174"/>
      <c r="AI13" s="174"/>
      <c r="AJ13" s="174"/>
      <c r="AK13" s="174"/>
      <c r="AL13" s="174"/>
      <c r="AM13" s="174"/>
      <c r="AN13" s="174"/>
      <c r="AO13" s="174"/>
      <c r="AP13" s="174"/>
      <c r="AQ13" s="174"/>
    </row>
    <row r="14" spans="1:43" x14ac:dyDescent="0.2">
      <c r="A14" s="80" t="s">
        <v>3287</v>
      </c>
      <c r="B14" s="62" t="s">
        <v>3288</v>
      </c>
      <c r="C14" s="30" t="s">
        <v>3289</v>
      </c>
      <c r="D14" s="30" t="str">
        <f t="shared" si="1"/>
        <v>06 jan</v>
      </c>
      <c r="E14" s="30" t="s">
        <v>3279</v>
      </c>
      <c r="F14" s="174">
        <f t="shared" si="0"/>
        <v>188000</v>
      </c>
      <c r="G14" s="174"/>
      <c r="H14" s="174"/>
      <c r="I14" s="174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  <c r="AA14" s="174"/>
      <c r="AB14" s="174"/>
      <c r="AC14" s="174" t="s">
        <v>3300</v>
      </c>
      <c r="AD14" s="174" t="s">
        <v>3301</v>
      </c>
      <c r="AE14" s="174">
        <v>188000</v>
      </c>
      <c r="AF14" s="174"/>
      <c r="AG14" s="174"/>
      <c r="AH14" s="174"/>
      <c r="AI14" s="174"/>
      <c r="AJ14" s="174"/>
      <c r="AK14" s="174"/>
      <c r="AL14" s="174"/>
      <c r="AM14" s="174"/>
      <c r="AN14" s="174"/>
      <c r="AO14" s="174"/>
      <c r="AP14" s="174"/>
      <c r="AQ14" s="174"/>
    </row>
    <row r="15" spans="1:43" x14ac:dyDescent="0.2">
      <c r="A15" s="30"/>
      <c r="B15" s="62" t="s">
        <v>3290</v>
      </c>
      <c r="C15" s="30" t="s">
        <v>3291</v>
      </c>
      <c r="D15" s="30">
        <f t="shared" si="1"/>
        <v>0</v>
      </c>
      <c r="E15" s="30" t="s">
        <v>3279</v>
      </c>
      <c r="F15" s="174">
        <f t="shared" si="0"/>
        <v>334000</v>
      </c>
      <c r="G15" s="174"/>
      <c r="H15" s="174"/>
      <c r="I15" s="174"/>
      <c r="J15" s="174"/>
      <c r="K15" s="174"/>
      <c r="L15" s="174"/>
      <c r="M15" s="174"/>
      <c r="N15" s="174"/>
      <c r="O15" s="174"/>
      <c r="P15" s="174"/>
      <c r="Q15" s="174"/>
      <c r="R15" s="174"/>
      <c r="S15" s="174"/>
      <c r="T15" s="174"/>
      <c r="U15" s="174"/>
      <c r="V15" s="174"/>
      <c r="W15" s="174"/>
      <c r="X15" s="174"/>
      <c r="Y15" s="174"/>
      <c r="Z15" s="174"/>
      <c r="AA15" s="174"/>
      <c r="AB15" s="174"/>
      <c r="AC15" s="174" t="s">
        <v>3300</v>
      </c>
      <c r="AD15" s="174" t="s">
        <v>3301</v>
      </c>
      <c r="AE15" s="174">
        <v>334000</v>
      </c>
      <c r="AF15" s="174"/>
      <c r="AG15" s="174"/>
      <c r="AH15" s="174"/>
      <c r="AI15" s="174"/>
      <c r="AJ15" s="174"/>
      <c r="AK15" s="174"/>
      <c r="AL15" s="174"/>
      <c r="AM15" s="174"/>
      <c r="AN15" s="174"/>
      <c r="AO15" s="174"/>
      <c r="AP15" s="174"/>
      <c r="AQ15" s="174"/>
    </row>
    <row r="16" spans="1:43" x14ac:dyDescent="0.2">
      <c r="A16" s="80" t="s">
        <v>3292</v>
      </c>
      <c r="B16" s="62" t="s">
        <v>3304</v>
      </c>
      <c r="C16" s="30" t="s">
        <v>3305</v>
      </c>
      <c r="D16" s="30" t="str">
        <f t="shared" si="1"/>
        <v>20 Jan</v>
      </c>
      <c r="E16" s="30" t="s">
        <v>3279</v>
      </c>
      <c r="F16" s="174">
        <f t="shared" si="0"/>
        <v>185000</v>
      </c>
      <c r="G16" s="174"/>
      <c r="H16" s="174"/>
      <c r="I16" s="174"/>
      <c r="J16" s="174"/>
      <c r="K16" s="174"/>
      <c r="L16" s="174"/>
      <c r="M16" s="174"/>
      <c r="N16" s="174"/>
      <c r="O16" s="174"/>
      <c r="P16" s="174"/>
      <c r="Q16" s="174"/>
      <c r="R16" s="174"/>
      <c r="S16" s="174"/>
      <c r="T16" s="174"/>
      <c r="U16" s="174"/>
      <c r="V16" s="174"/>
      <c r="W16" s="174"/>
      <c r="X16" s="174"/>
      <c r="Y16" s="174"/>
      <c r="Z16" s="174"/>
      <c r="AA16" s="174"/>
      <c r="AB16" s="174"/>
      <c r="AC16" s="174"/>
      <c r="AD16" s="174"/>
      <c r="AE16" s="174"/>
      <c r="AF16" s="174"/>
      <c r="AG16" s="174"/>
      <c r="AH16" s="174"/>
      <c r="AI16" s="174"/>
      <c r="AJ16" s="174"/>
      <c r="AK16" s="174"/>
      <c r="AL16" s="174" t="s">
        <v>3306</v>
      </c>
      <c r="AM16" s="174" t="s">
        <v>3307</v>
      </c>
      <c r="AN16" s="174">
        <v>185000</v>
      </c>
      <c r="AO16" s="174"/>
      <c r="AP16" s="174"/>
      <c r="AQ16" s="174"/>
    </row>
    <row r="17" spans="1:43" x14ac:dyDescent="0.2">
      <c r="A17" s="80" t="s">
        <v>3311</v>
      </c>
      <c r="B17" s="62" t="s">
        <v>3312</v>
      </c>
      <c r="C17" s="30" t="s">
        <v>3313</v>
      </c>
      <c r="D17" s="30" t="str">
        <f t="shared" si="1"/>
        <v>22 Jan</v>
      </c>
      <c r="E17" s="30" t="s">
        <v>3279</v>
      </c>
      <c r="F17" s="174">
        <f t="shared" si="0"/>
        <v>636000</v>
      </c>
      <c r="G17" s="174"/>
      <c r="H17" s="174"/>
      <c r="I17" s="174"/>
      <c r="J17" s="174"/>
      <c r="K17" s="174"/>
      <c r="L17" s="174"/>
      <c r="M17" s="174"/>
      <c r="N17" s="174"/>
      <c r="O17" s="174"/>
      <c r="P17" s="174"/>
      <c r="Q17" s="174"/>
      <c r="R17" s="174"/>
      <c r="S17" s="174"/>
      <c r="T17" s="174"/>
      <c r="U17" s="174"/>
      <c r="V17" s="174"/>
      <c r="W17" s="174"/>
      <c r="X17" s="174"/>
      <c r="Y17" s="174"/>
      <c r="Z17" s="174"/>
      <c r="AA17" s="174"/>
      <c r="AB17" s="174"/>
      <c r="AC17" s="174"/>
      <c r="AD17" s="174"/>
      <c r="AE17" s="174"/>
      <c r="AF17" s="174"/>
      <c r="AG17" s="174"/>
      <c r="AH17" s="174"/>
      <c r="AI17" s="174"/>
      <c r="AJ17" s="174"/>
      <c r="AK17" s="174"/>
      <c r="AL17" s="174" t="s">
        <v>3314</v>
      </c>
      <c r="AM17" s="174" t="s">
        <v>3315</v>
      </c>
      <c r="AN17" s="174">
        <v>636000</v>
      </c>
      <c r="AO17" s="174"/>
      <c r="AP17" s="174"/>
      <c r="AQ17" s="174"/>
    </row>
    <row r="18" spans="1:43" x14ac:dyDescent="0.2">
      <c r="A18" s="30"/>
      <c r="B18" s="62" t="s">
        <v>3316</v>
      </c>
      <c r="C18" s="30" t="s">
        <v>3317</v>
      </c>
      <c r="D18" s="80" t="s">
        <v>3311</v>
      </c>
      <c r="E18" s="30" t="s">
        <v>3279</v>
      </c>
      <c r="F18" s="174">
        <f t="shared" si="0"/>
        <v>12550000</v>
      </c>
      <c r="G18" s="174"/>
      <c r="H18" s="174"/>
      <c r="I18" s="174"/>
      <c r="J18" s="174"/>
      <c r="K18" s="174"/>
      <c r="L18" s="174"/>
      <c r="M18" s="174"/>
      <c r="N18" s="174"/>
      <c r="O18" s="174"/>
      <c r="P18" s="174"/>
      <c r="Q18" s="174"/>
      <c r="R18" s="174"/>
      <c r="S18" s="174"/>
      <c r="T18" s="174"/>
      <c r="U18" s="174"/>
      <c r="V18" s="174"/>
      <c r="W18" s="174"/>
      <c r="X18" s="174"/>
      <c r="Y18" s="174"/>
      <c r="Z18" s="174"/>
      <c r="AA18" s="174"/>
      <c r="AB18" s="174"/>
      <c r="AC18" s="174"/>
      <c r="AD18" s="174"/>
      <c r="AE18" s="174"/>
      <c r="AF18" s="174"/>
      <c r="AG18" s="174"/>
      <c r="AH18" s="174"/>
      <c r="AI18" s="174"/>
      <c r="AJ18" s="174"/>
      <c r="AK18" s="174"/>
      <c r="AL18" s="174"/>
      <c r="AM18" s="174"/>
      <c r="AN18" s="174"/>
      <c r="AO18" s="174" t="s">
        <v>3318</v>
      </c>
      <c r="AP18" s="174" t="s">
        <v>3319</v>
      </c>
      <c r="AQ18" s="174">
        <v>12550000</v>
      </c>
    </row>
    <row r="19" spans="1:43" x14ac:dyDescent="0.2">
      <c r="A19" s="30"/>
      <c r="B19" s="62" t="s">
        <v>3320</v>
      </c>
      <c r="C19" s="30" t="s">
        <v>3321</v>
      </c>
      <c r="D19" s="80" t="s">
        <v>3311</v>
      </c>
      <c r="E19" s="30" t="s">
        <v>3279</v>
      </c>
      <c r="F19" s="174">
        <f t="shared" si="0"/>
        <v>28173777</v>
      </c>
      <c r="G19" s="174"/>
      <c r="H19" s="174"/>
      <c r="I19" s="174"/>
      <c r="J19" s="174"/>
      <c r="K19" s="174"/>
      <c r="L19" s="174"/>
      <c r="M19" s="174"/>
      <c r="N19" s="174"/>
      <c r="O19" s="174"/>
      <c r="P19" s="174"/>
      <c r="Q19" s="174" t="s">
        <v>3322</v>
      </c>
      <c r="R19" s="174" t="s">
        <v>3323</v>
      </c>
      <c r="S19" s="174">
        <v>28173777</v>
      </c>
      <c r="T19" s="174"/>
      <c r="U19" s="174"/>
      <c r="V19" s="174"/>
      <c r="W19" s="174"/>
      <c r="X19" s="174"/>
      <c r="Y19" s="174"/>
      <c r="Z19" s="174"/>
      <c r="AA19" s="174"/>
      <c r="AB19" s="174"/>
      <c r="AC19" s="174"/>
      <c r="AD19" s="174"/>
      <c r="AE19" s="174"/>
      <c r="AF19" s="174"/>
      <c r="AG19" s="174"/>
      <c r="AH19" s="174"/>
      <c r="AI19" s="174"/>
      <c r="AJ19" s="174"/>
      <c r="AK19" s="174"/>
      <c r="AL19" s="174"/>
      <c r="AM19" s="174"/>
      <c r="AN19" s="174"/>
      <c r="AO19" s="174"/>
      <c r="AP19" s="174"/>
      <c r="AQ19" s="174"/>
    </row>
    <row r="20" spans="1:43" x14ac:dyDescent="0.2">
      <c r="A20" s="30"/>
      <c r="B20" s="62" t="s">
        <v>3324</v>
      </c>
      <c r="C20" s="30" t="s">
        <v>3325</v>
      </c>
      <c r="D20" s="30">
        <f t="shared" si="1"/>
        <v>0</v>
      </c>
      <c r="E20" s="30" t="s">
        <v>3279</v>
      </c>
      <c r="F20" s="174">
        <f t="shared" si="0"/>
        <v>6800000</v>
      </c>
      <c r="G20" s="174"/>
      <c r="H20" s="174" t="s">
        <v>3328</v>
      </c>
      <c r="I20" s="174" t="s">
        <v>3329</v>
      </c>
      <c r="J20" s="174">
        <v>6800000</v>
      </c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  <c r="AA20" s="174"/>
      <c r="AB20" s="174"/>
      <c r="AC20" s="174"/>
      <c r="AD20" s="174"/>
      <c r="AE20" s="174"/>
      <c r="AF20" s="174"/>
      <c r="AG20" s="174"/>
      <c r="AH20" s="174"/>
      <c r="AI20" s="174"/>
      <c r="AJ20" s="174"/>
      <c r="AK20" s="174"/>
      <c r="AL20" s="174"/>
      <c r="AM20" s="174"/>
      <c r="AN20" s="174"/>
      <c r="AO20" s="174"/>
      <c r="AP20" s="174"/>
      <c r="AQ20" s="174"/>
    </row>
    <row r="21" spans="1:43" x14ac:dyDescent="0.2">
      <c r="A21" s="30"/>
      <c r="B21" s="62" t="s">
        <v>3330</v>
      </c>
      <c r="C21" s="30" t="s">
        <v>3331</v>
      </c>
      <c r="D21" s="30">
        <f t="shared" si="1"/>
        <v>0</v>
      </c>
      <c r="E21" s="30" t="s">
        <v>3279</v>
      </c>
      <c r="F21" s="174">
        <f t="shared" si="0"/>
        <v>41820000</v>
      </c>
      <c r="G21" s="174"/>
      <c r="H21" s="174" t="s">
        <v>3332</v>
      </c>
      <c r="I21" s="174" t="s">
        <v>3333</v>
      </c>
      <c r="J21" s="174">
        <v>41820000</v>
      </c>
      <c r="K21" s="174"/>
      <c r="L21" s="174"/>
      <c r="M21" s="174"/>
      <c r="N21" s="174"/>
      <c r="O21" s="174"/>
      <c r="P21" s="174"/>
      <c r="Q21" s="174"/>
      <c r="R21" s="174"/>
      <c r="S21" s="174"/>
      <c r="T21" s="174"/>
      <c r="U21" s="174"/>
      <c r="V21" s="174"/>
      <c r="W21" s="174"/>
      <c r="X21" s="174"/>
      <c r="Y21" s="174"/>
      <c r="Z21" s="174"/>
      <c r="AA21" s="174"/>
      <c r="AB21" s="174"/>
      <c r="AC21" s="174"/>
      <c r="AD21" s="174"/>
      <c r="AE21" s="174"/>
      <c r="AF21" s="174"/>
      <c r="AG21" s="174"/>
      <c r="AH21" s="174"/>
      <c r="AI21" s="174"/>
      <c r="AJ21" s="174"/>
      <c r="AK21" s="174"/>
      <c r="AL21" s="174"/>
      <c r="AM21" s="174"/>
      <c r="AN21" s="174"/>
      <c r="AO21" s="174"/>
      <c r="AP21" s="174"/>
      <c r="AQ21" s="174"/>
    </row>
    <row r="22" spans="1:43" x14ac:dyDescent="0.2">
      <c r="A22" s="30"/>
      <c r="B22" s="62" t="s">
        <v>3334</v>
      </c>
      <c r="C22" s="30" t="s">
        <v>3335</v>
      </c>
      <c r="D22" s="30">
        <f t="shared" si="1"/>
        <v>0</v>
      </c>
      <c r="E22" s="30" t="s">
        <v>3279</v>
      </c>
      <c r="F22" s="174">
        <f t="shared" si="0"/>
        <v>810000</v>
      </c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  <c r="R22" s="174"/>
      <c r="S22" s="174"/>
      <c r="T22" s="174"/>
      <c r="U22" s="174"/>
      <c r="V22" s="174"/>
      <c r="W22" s="174"/>
      <c r="X22" s="174"/>
      <c r="Y22" s="174"/>
      <c r="Z22" s="174"/>
      <c r="AA22" s="174"/>
      <c r="AB22" s="174"/>
      <c r="AC22" s="174"/>
      <c r="AD22" s="174"/>
      <c r="AE22" s="174"/>
      <c r="AF22" s="174"/>
      <c r="AG22" s="174"/>
      <c r="AH22" s="174"/>
      <c r="AI22" s="174"/>
      <c r="AJ22" s="174"/>
      <c r="AK22" s="174"/>
      <c r="AL22" s="174" t="s">
        <v>3314</v>
      </c>
      <c r="AM22" s="174" t="s">
        <v>3315</v>
      </c>
      <c r="AN22" s="174">
        <v>810000</v>
      </c>
      <c r="AO22" s="174"/>
      <c r="AP22" s="174"/>
      <c r="AQ22" s="174"/>
    </row>
    <row r="23" spans="1:43" x14ac:dyDescent="0.2">
      <c r="A23" s="30"/>
      <c r="B23" s="62" t="s">
        <v>3336</v>
      </c>
      <c r="C23" s="30" t="s">
        <v>3337</v>
      </c>
      <c r="D23" s="30">
        <f t="shared" si="1"/>
        <v>0</v>
      </c>
      <c r="E23" s="30" t="s">
        <v>3279</v>
      </c>
      <c r="F23" s="174">
        <f t="shared" si="0"/>
        <v>202000</v>
      </c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 t="s">
        <v>3338</v>
      </c>
      <c r="R23" s="174" t="s">
        <v>3339</v>
      </c>
      <c r="S23" s="174">
        <v>202000</v>
      </c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174"/>
      <c r="AL23" s="174"/>
      <c r="AM23" s="174"/>
      <c r="AN23" s="174"/>
      <c r="AO23" s="174"/>
      <c r="AP23" s="174"/>
      <c r="AQ23" s="174"/>
    </row>
    <row r="24" spans="1:43" x14ac:dyDescent="0.2">
      <c r="A24" s="80" t="s">
        <v>3340</v>
      </c>
      <c r="B24" s="62" t="s">
        <v>3341</v>
      </c>
      <c r="C24" s="30" t="s">
        <v>3237</v>
      </c>
      <c r="D24" s="30" t="str">
        <f t="shared" si="1"/>
        <v>23 Jan</v>
      </c>
      <c r="E24" s="30" t="s">
        <v>3279</v>
      </c>
      <c r="F24" s="174">
        <f t="shared" si="0"/>
        <v>1023500</v>
      </c>
      <c r="G24" s="174"/>
      <c r="H24" s="174"/>
      <c r="I24" s="174"/>
      <c r="J24" s="174"/>
      <c r="K24" s="174"/>
      <c r="L24" s="174"/>
      <c r="M24" s="174"/>
      <c r="N24" s="174"/>
      <c r="O24" s="174"/>
      <c r="P24" s="174"/>
      <c r="Q24" s="174"/>
      <c r="R24" s="174"/>
      <c r="S24" s="174"/>
      <c r="T24" s="174"/>
      <c r="U24" s="174"/>
      <c r="V24" s="174"/>
      <c r="W24" s="174"/>
      <c r="X24" s="174"/>
      <c r="Y24" s="174"/>
      <c r="Z24" s="174"/>
      <c r="AA24" s="174"/>
      <c r="AB24" s="174"/>
      <c r="AC24" s="174" t="s">
        <v>3300</v>
      </c>
      <c r="AD24" s="174" t="s">
        <v>3301</v>
      </c>
      <c r="AE24" s="174">
        <v>1023500</v>
      </c>
      <c r="AF24" s="174"/>
      <c r="AG24" s="174"/>
      <c r="AH24" s="174"/>
      <c r="AI24" s="174"/>
      <c r="AJ24" s="174"/>
      <c r="AK24" s="174"/>
      <c r="AL24" s="174"/>
      <c r="AM24" s="174"/>
      <c r="AN24" s="174"/>
      <c r="AO24" s="174"/>
      <c r="AP24" s="174"/>
      <c r="AQ24" s="174"/>
    </row>
    <row r="25" spans="1:43" x14ac:dyDescent="0.2">
      <c r="A25" s="30"/>
      <c r="B25" s="62" t="s">
        <v>3342</v>
      </c>
      <c r="C25" s="30" t="s">
        <v>3343</v>
      </c>
      <c r="D25" s="30">
        <f t="shared" si="1"/>
        <v>0</v>
      </c>
      <c r="E25" s="30" t="s">
        <v>3279</v>
      </c>
      <c r="F25" s="174">
        <f t="shared" si="0"/>
        <v>1207500</v>
      </c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74"/>
      <c r="R25" s="174"/>
      <c r="S25" s="174"/>
      <c r="T25" s="174"/>
      <c r="U25" s="174"/>
      <c r="V25" s="174"/>
      <c r="W25" s="174"/>
      <c r="X25" s="174"/>
      <c r="Y25" s="174"/>
      <c r="Z25" s="174"/>
      <c r="AA25" s="174"/>
      <c r="AB25" s="174"/>
      <c r="AC25" s="174" t="s">
        <v>3344</v>
      </c>
      <c r="AD25" s="174" t="s">
        <v>3345</v>
      </c>
      <c r="AE25" s="174">
        <v>1207500</v>
      </c>
      <c r="AF25" s="174"/>
      <c r="AG25" s="174"/>
      <c r="AH25" s="174"/>
      <c r="AI25" s="174"/>
      <c r="AJ25" s="174"/>
      <c r="AK25" s="174"/>
      <c r="AL25" s="174"/>
      <c r="AM25" s="174"/>
      <c r="AN25" s="174"/>
      <c r="AO25" s="174"/>
      <c r="AP25" s="174"/>
      <c r="AQ25" s="174"/>
    </row>
    <row r="26" spans="1:43" x14ac:dyDescent="0.2">
      <c r="A26" s="30"/>
      <c r="B26" s="62" t="s">
        <v>3346</v>
      </c>
      <c r="C26" s="30" t="s">
        <v>3347</v>
      </c>
      <c r="D26" s="30">
        <f t="shared" si="1"/>
        <v>0</v>
      </c>
      <c r="E26" s="30" t="s">
        <v>3279</v>
      </c>
      <c r="F26" s="174">
        <f t="shared" si="0"/>
        <v>71660</v>
      </c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Q26" s="174"/>
      <c r="R26" s="174"/>
      <c r="S26" s="174"/>
      <c r="T26" s="174"/>
      <c r="U26" s="174"/>
      <c r="V26" s="174"/>
      <c r="W26" s="174"/>
      <c r="X26" s="174"/>
      <c r="Y26" s="174"/>
      <c r="Z26" s="174"/>
      <c r="AA26" s="174"/>
      <c r="AB26" s="174"/>
      <c r="AC26" s="174" t="s">
        <v>3348</v>
      </c>
      <c r="AD26" s="174" t="s">
        <v>3349</v>
      </c>
      <c r="AE26" s="174">
        <v>71660</v>
      </c>
      <c r="AF26" s="174"/>
      <c r="AG26" s="174"/>
      <c r="AH26" s="174"/>
      <c r="AI26" s="174"/>
      <c r="AJ26" s="174"/>
      <c r="AK26" s="174"/>
      <c r="AL26" s="174"/>
      <c r="AM26" s="174"/>
      <c r="AN26" s="174"/>
      <c r="AO26" s="174"/>
      <c r="AP26" s="174"/>
      <c r="AQ26" s="174"/>
    </row>
    <row r="27" spans="1:43" x14ac:dyDescent="0.2">
      <c r="A27" s="30"/>
      <c r="B27" s="62" t="s">
        <v>3350</v>
      </c>
      <c r="C27" s="30" t="s">
        <v>3351</v>
      </c>
      <c r="D27" s="30">
        <f t="shared" si="1"/>
        <v>0</v>
      </c>
      <c r="E27" s="30" t="s">
        <v>3279</v>
      </c>
      <c r="F27" s="174">
        <f t="shared" si="0"/>
        <v>377000</v>
      </c>
      <c r="G27" s="174"/>
      <c r="H27" s="174"/>
      <c r="I27" s="174"/>
      <c r="J27" s="174"/>
      <c r="K27" s="174"/>
      <c r="L27" s="174"/>
      <c r="M27" s="174"/>
      <c r="N27" s="174"/>
      <c r="O27" s="174"/>
      <c r="P27" s="174"/>
      <c r="Q27" s="174"/>
      <c r="R27" s="174"/>
      <c r="S27" s="174"/>
      <c r="T27" s="174"/>
      <c r="U27" s="174"/>
      <c r="V27" s="174"/>
      <c r="W27" s="174"/>
      <c r="X27" s="174"/>
      <c r="Y27" s="174"/>
      <c r="Z27" s="174"/>
      <c r="AA27" s="174"/>
      <c r="AB27" s="174"/>
      <c r="AC27" s="174" t="s">
        <v>3300</v>
      </c>
      <c r="AD27" s="174" t="s">
        <v>3301</v>
      </c>
      <c r="AE27" s="174">
        <v>377000</v>
      </c>
      <c r="AF27" s="174"/>
      <c r="AG27" s="174"/>
      <c r="AH27" s="174"/>
      <c r="AI27" s="174"/>
      <c r="AJ27" s="174"/>
      <c r="AK27" s="174"/>
      <c r="AL27" s="174"/>
      <c r="AM27" s="174"/>
      <c r="AN27" s="174"/>
      <c r="AO27" s="174"/>
      <c r="AP27" s="174"/>
      <c r="AQ27" s="174"/>
    </row>
    <row r="28" spans="1:43" x14ac:dyDescent="0.2">
      <c r="A28" s="30"/>
      <c r="B28" s="62" t="s">
        <v>3352</v>
      </c>
      <c r="C28" s="30" t="s">
        <v>3355</v>
      </c>
      <c r="D28" s="30">
        <f t="shared" si="1"/>
        <v>0</v>
      </c>
      <c r="E28" s="30" t="s">
        <v>3279</v>
      </c>
      <c r="F28" s="174">
        <f t="shared" si="0"/>
        <v>4230575</v>
      </c>
      <c r="G28" s="174"/>
      <c r="H28" s="174"/>
      <c r="I28" s="174"/>
      <c r="J28" s="174"/>
      <c r="K28" s="174"/>
      <c r="L28" s="174"/>
      <c r="M28" s="174"/>
      <c r="N28" s="174"/>
      <c r="O28" s="174"/>
      <c r="P28" s="174"/>
      <c r="Q28" s="174"/>
      <c r="R28" s="174"/>
      <c r="S28" s="174"/>
      <c r="T28" s="174"/>
      <c r="U28" s="174"/>
      <c r="V28" s="174"/>
      <c r="W28" s="174"/>
      <c r="X28" s="174"/>
      <c r="Y28" s="174"/>
      <c r="Z28" s="174"/>
      <c r="AA28" s="174"/>
      <c r="AB28" s="174"/>
      <c r="AC28" s="174" t="s">
        <v>3256</v>
      </c>
      <c r="AD28" s="174" t="s">
        <v>3353</v>
      </c>
      <c r="AE28" s="174">
        <v>4230575</v>
      </c>
      <c r="AF28" s="174"/>
      <c r="AG28" s="174"/>
      <c r="AH28" s="174"/>
      <c r="AI28" s="174"/>
      <c r="AJ28" s="174"/>
      <c r="AK28" s="174"/>
      <c r="AL28" s="174"/>
      <c r="AM28" s="174"/>
      <c r="AN28" s="174"/>
      <c r="AO28" s="174"/>
      <c r="AP28" s="174"/>
      <c r="AQ28" s="174"/>
    </row>
    <row r="29" spans="1:43" x14ac:dyDescent="0.2">
      <c r="A29" s="30"/>
      <c r="B29" s="62" t="s">
        <v>3354</v>
      </c>
      <c r="C29" s="30" t="s">
        <v>3356</v>
      </c>
      <c r="D29" s="30">
        <f t="shared" si="1"/>
        <v>0</v>
      </c>
      <c r="E29" s="30" t="s">
        <v>3279</v>
      </c>
      <c r="F29" s="174">
        <f t="shared" si="0"/>
        <v>500000</v>
      </c>
      <c r="G29" s="174"/>
      <c r="H29" s="174"/>
      <c r="I29" s="174"/>
      <c r="J29" s="174"/>
      <c r="K29" s="174"/>
      <c r="L29" s="174"/>
      <c r="M29" s="174"/>
      <c r="N29" s="174"/>
      <c r="O29" s="174"/>
      <c r="P29" s="174"/>
      <c r="Q29" s="174"/>
      <c r="R29" s="174"/>
      <c r="S29" s="174"/>
      <c r="T29" s="174"/>
      <c r="U29" s="174"/>
      <c r="V29" s="174"/>
      <c r="W29" s="174"/>
      <c r="X29" s="174"/>
      <c r="Y29" s="174"/>
      <c r="Z29" s="174"/>
      <c r="AA29" s="174"/>
      <c r="AB29" s="174"/>
      <c r="AC29" s="174" t="s">
        <v>3357</v>
      </c>
      <c r="AD29" s="174" t="s">
        <v>3358</v>
      </c>
      <c r="AE29" s="174">
        <v>500000</v>
      </c>
      <c r="AF29" s="174"/>
      <c r="AG29" s="174"/>
      <c r="AH29" s="174"/>
      <c r="AI29" s="174"/>
      <c r="AJ29" s="174"/>
      <c r="AK29" s="174"/>
      <c r="AL29" s="174"/>
      <c r="AM29" s="174"/>
      <c r="AN29" s="174"/>
      <c r="AO29" s="174"/>
      <c r="AP29" s="174"/>
      <c r="AQ29" s="174"/>
    </row>
    <row r="30" spans="1:43" x14ac:dyDescent="0.2">
      <c r="A30" s="80" t="s">
        <v>3360</v>
      </c>
      <c r="B30" s="62" t="s">
        <v>3359</v>
      </c>
      <c r="C30" s="30" t="s">
        <v>3361</v>
      </c>
      <c r="D30" s="30" t="str">
        <f t="shared" si="1"/>
        <v>24 Jan</v>
      </c>
      <c r="E30" s="30" t="s">
        <v>3279</v>
      </c>
      <c r="F30" s="174">
        <f t="shared" si="0"/>
        <v>5850000</v>
      </c>
      <c r="G30" s="174"/>
      <c r="H30" s="174"/>
      <c r="I30" s="174"/>
      <c r="J30" s="174"/>
      <c r="K30" s="174"/>
      <c r="L30" s="174"/>
      <c r="M30" s="174"/>
      <c r="N30" s="174"/>
      <c r="O30" s="174"/>
      <c r="P30" s="174"/>
      <c r="Q30" s="174"/>
      <c r="R30" s="174"/>
      <c r="S30" s="174"/>
      <c r="T30" s="174"/>
      <c r="U30" s="174"/>
      <c r="V30" s="174"/>
      <c r="W30" s="174"/>
      <c r="X30" s="174"/>
      <c r="Y30" s="174"/>
      <c r="Z30" s="174"/>
      <c r="AA30" s="174"/>
      <c r="AB30" s="174"/>
      <c r="AC30" s="174" t="s">
        <v>3300</v>
      </c>
      <c r="AD30" s="174"/>
      <c r="AE30" s="174"/>
      <c r="AF30" s="174"/>
      <c r="AG30" s="174"/>
      <c r="AH30" s="174"/>
      <c r="AI30" s="174"/>
      <c r="AJ30" s="174"/>
      <c r="AK30" s="174"/>
      <c r="AL30" s="174"/>
      <c r="AM30" s="174"/>
      <c r="AN30" s="174"/>
      <c r="AO30" s="174" t="s">
        <v>3318</v>
      </c>
      <c r="AP30" s="174" t="s">
        <v>3319</v>
      </c>
      <c r="AQ30" s="174">
        <v>5850000</v>
      </c>
    </row>
    <row r="31" spans="1:43" x14ac:dyDescent="0.2">
      <c r="A31" s="30"/>
      <c r="B31" s="62" t="s">
        <v>3362</v>
      </c>
      <c r="C31" s="30" t="s">
        <v>3363</v>
      </c>
      <c r="D31" s="30">
        <f t="shared" si="1"/>
        <v>0</v>
      </c>
      <c r="E31" s="30" t="s">
        <v>3279</v>
      </c>
      <c r="F31" s="174">
        <f t="shared" si="0"/>
        <v>229000</v>
      </c>
      <c r="G31" s="174"/>
      <c r="H31" s="174"/>
      <c r="I31" s="174"/>
      <c r="J31" s="174"/>
      <c r="K31" s="174"/>
      <c r="L31" s="174"/>
      <c r="M31" s="174"/>
      <c r="N31" s="174"/>
      <c r="O31" s="174"/>
      <c r="P31" s="174"/>
      <c r="Q31" s="174"/>
      <c r="R31" s="174"/>
      <c r="S31" s="174"/>
      <c r="T31" s="174"/>
      <c r="U31" s="174"/>
      <c r="V31" s="174"/>
      <c r="W31" s="174"/>
      <c r="X31" s="174"/>
      <c r="Y31" s="174"/>
      <c r="Z31" s="174"/>
      <c r="AA31" s="174"/>
      <c r="AB31" s="174"/>
      <c r="AC31" s="174"/>
      <c r="AD31" s="174" t="s">
        <v>3301</v>
      </c>
      <c r="AE31" s="174">
        <v>229000</v>
      </c>
      <c r="AF31" s="174"/>
      <c r="AG31" s="174"/>
      <c r="AH31" s="174"/>
      <c r="AI31" s="174"/>
      <c r="AJ31" s="174"/>
      <c r="AK31" s="174"/>
      <c r="AL31" s="174"/>
      <c r="AM31" s="174"/>
      <c r="AN31" s="174"/>
      <c r="AO31" s="174"/>
      <c r="AP31" s="174"/>
      <c r="AQ31" s="174"/>
    </row>
    <row r="32" spans="1:43" x14ac:dyDescent="0.2">
      <c r="A32" s="80" t="s">
        <v>3414</v>
      </c>
      <c r="B32" s="62" t="s">
        <v>3364</v>
      </c>
      <c r="C32" s="30" t="s">
        <v>3365</v>
      </c>
      <c r="D32" s="30" t="str">
        <f t="shared" si="1"/>
        <v>27 Jan</v>
      </c>
      <c r="E32" s="30" t="s">
        <v>3279</v>
      </c>
      <c r="F32" s="174">
        <f t="shared" si="0"/>
        <v>12282800</v>
      </c>
      <c r="G32" s="174"/>
      <c r="H32" s="174"/>
      <c r="I32" s="174"/>
      <c r="J32" s="174"/>
      <c r="K32" s="174"/>
      <c r="L32" s="174"/>
      <c r="M32" s="174"/>
      <c r="N32" s="174"/>
      <c r="O32" s="174"/>
      <c r="P32" s="174"/>
      <c r="Q32" s="174"/>
      <c r="R32" s="174"/>
      <c r="S32" s="174"/>
      <c r="T32" s="174"/>
      <c r="U32" s="174"/>
      <c r="V32" s="174"/>
      <c r="W32" s="174"/>
      <c r="X32" s="174"/>
      <c r="Y32" s="174"/>
      <c r="Z32" s="174"/>
      <c r="AA32" s="174"/>
      <c r="AB32" s="174"/>
      <c r="AC32" s="174"/>
      <c r="AD32" s="174"/>
      <c r="AE32" s="174"/>
      <c r="AF32" s="174"/>
      <c r="AG32" s="174"/>
      <c r="AH32" s="174"/>
      <c r="AI32" s="174"/>
      <c r="AJ32" s="174"/>
      <c r="AK32" s="174"/>
      <c r="AL32" s="174"/>
      <c r="AM32" s="174"/>
      <c r="AN32" s="174"/>
      <c r="AO32" s="174" t="s">
        <v>3318</v>
      </c>
      <c r="AP32" s="174" t="s">
        <v>3319</v>
      </c>
      <c r="AQ32" s="174">
        <v>12282800</v>
      </c>
    </row>
    <row r="33" spans="1:43" x14ac:dyDescent="0.2">
      <c r="A33" s="30"/>
      <c r="B33" s="62" t="s">
        <v>3366</v>
      </c>
      <c r="C33" s="30" t="s">
        <v>3367</v>
      </c>
      <c r="D33" s="30">
        <f t="shared" si="1"/>
        <v>0</v>
      </c>
      <c r="E33" s="30" t="s">
        <v>3279</v>
      </c>
      <c r="F33" s="174">
        <f t="shared" si="0"/>
        <v>1500000</v>
      </c>
      <c r="G33" s="174"/>
      <c r="H33" s="174"/>
      <c r="I33" s="174"/>
      <c r="J33" s="174"/>
      <c r="K33" s="174"/>
      <c r="L33" s="174"/>
      <c r="M33" s="174"/>
      <c r="N33" s="174"/>
      <c r="O33" s="174"/>
      <c r="P33" s="174"/>
      <c r="Q33" s="174"/>
      <c r="R33" s="174"/>
      <c r="S33" s="174"/>
      <c r="T33" s="174"/>
      <c r="U33" s="174"/>
      <c r="V33" s="174"/>
      <c r="W33" s="174"/>
      <c r="X33" s="174"/>
      <c r="Y33" s="174"/>
      <c r="Z33" s="174"/>
      <c r="AA33" s="174"/>
      <c r="AB33" s="174"/>
      <c r="AC33" s="174"/>
      <c r="AD33" s="174"/>
      <c r="AE33" s="174"/>
      <c r="AF33" s="174"/>
      <c r="AG33" s="174"/>
      <c r="AH33" s="174"/>
      <c r="AI33" s="174"/>
      <c r="AJ33" s="174"/>
      <c r="AK33" s="174"/>
      <c r="AL33" s="174"/>
      <c r="AM33" s="174"/>
      <c r="AN33" s="174"/>
      <c r="AO33" s="174" t="s">
        <v>3368</v>
      </c>
      <c r="AP33" s="174" t="s">
        <v>3369</v>
      </c>
      <c r="AQ33" s="174">
        <v>1500000</v>
      </c>
    </row>
    <row r="34" spans="1:43" x14ac:dyDescent="0.2">
      <c r="A34" s="30"/>
      <c r="B34" s="62" t="s">
        <v>3370</v>
      </c>
      <c r="C34" s="30" t="s">
        <v>3236</v>
      </c>
      <c r="D34" s="30">
        <f t="shared" si="1"/>
        <v>0</v>
      </c>
      <c r="E34" s="30" t="s">
        <v>3279</v>
      </c>
      <c r="F34" s="174">
        <f t="shared" si="0"/>
        <v>9987916</v>
      </c>
      <c r="G34" s="174"/>
      <c r="H34" s="174"/>
      <c r="I34" s="174"/>
      <c r="J34" s="174"/>
      <c r="K34" s="174"/>
      <c r="L34" s="174"/>
      <c r="M34" s="174"/>
      <c r="N34" s="174"/>
      <c r="O34" s="174"/>
      <c r="P34" s="174"/>
      <c r="Q34" s="174"/>
      <c r="R34" s="174"/>
      <c r="S34" s="174"/>
      <c r="T34" s="174"/>
      <c r="U34" s="174"/>
      <c r="V34" s="174"/>
      <c r="W34" s="174"/>
      <c r="X34" s="174"/>
      <c r="Y34" s="174"/>
      <c r="Z34" s="174" t="s">
        <v>3371</v>
      </c>
      <c r="AA34" s="174" t="s">
        <v>3372</v>
      </c>
      <c r="AB34" s="174">
        <v>9987916</v>
      </c>
      <c r="AC34" s="174"/>
      <c r="AD34" s="174"/>
      <c r="AE34" s="174"/>
      <c r="AF34" s="174"/>
      <c r="AG34" s="174"/>
      <c r="AH34" s="174"/>
      <c r="AI34" s="174"/>
      <c r="AJ34" s="174"/>
      <c r="AK34" s="174"/>
      <c r="AL34" s="174"/>
      <c r="AM34" s="174"/>
      <c r="AN34" s="174"/>
      <c r="AO34" s="174"/>
      <c r="AP34" s="174"/>
      <c r="AQ34" s="174"/>
    </row>
    <row r="35" spans="1:43" x14ac:dyDescent="0.2">
      <c r="A35" s="30"/>
      <c r="B35" s="62" t="s">
        <v>3373</v>
      </c>
      <c r="C35" s="30" t="s">
        <v>3235</v>
      </c>
      <c r="D35" s="30">
        <f t="shared" si="1"/>
        <v>0</v>
      </c>
      <c r="E35" s="30" t="s">
        <v>3279</v>
      </c>
      <c r="F35" s="174">
        <f t="shared" si="0"/>
        <v>4399533</v>
      </c>
      <c r="G35" s="174"/>
      <c r="H35" s="174"/>
      <c r="I35" s="174"/>
      <c r="J35" s="174"/>
      <c r="K35" s="174"/>
      <c r="L35" s="174"/>
      <c r="M35" s="174"/>
      <c r="N35" s="174"/>
      <c r="O35" s="174"/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  <c r="AA35" s="174"/>
      <c r="AB35" s="174"/>
      <c r="AC35" s="174"/>
      <c r="AD35" s="174"/>
      <c r="AE35" s="174"/>
      <c r="AF35" s="174"/>
      <c r="AG35" s="174"/>
      <c r="AH35" s="174"/>
      <c r="AI35" s="174"/>
      <c r="AJ35" s="174"/>
      <c r="AK35" s="174"/>
      <c r="AL35" s="174"/>
      <c r="AM35" s="174"/>
      <c r="AN35" s="174"/>
      <c r="AO35" s="174" t="s">
        <v>3374</v>
      </c>
      <c r="AP35" s="174" t="s">
        <v>3375</v>
      </c>
      <c r="AQ35" s="174">
        <v>4399533</v>
      </c>
    </row>
    <row r="36" spans="1:43" x14ac:dyDescent="0.2">
      <c r="A36" s="30"/>
      <c r="B36" s="62" t="s">
        <v>3378</v>
      </c>
      <c r="C36" s="30" t="s">
        <v>3239</v>
      </c>
      <c r="D36" s="30">
        <f t="shared" si="1"/>
        <v>0</v>
      </c>
      <c r="E36" s="30" t="s">
        <v>3279</v>
      </c>
      <c r="F36" s="174">
        <f t="shared" si="0"/>
        <v>8000000</v>
      </c>
      <c r="G36" s="174"/>
      <c r="H36" s="174"/>
      <c r="I36" s="174"/>
      <c r="J36" s="174"/>
      <c r="K36" s="174"/>
      <c r="L36" s="174"/>
      <c r="M36" s="174"/>
      <c r="N36" s="174"/>
      <c r="O36" s="174"/>
      <c r="P36" s="174"/>
      <c r="Q36" s="174"/>
      <c r="R36" s="174"/>
      <c r="S36" s="174"/>
      <c r="T36" s="174"/>
      <c r="U36" s="174"/>
      <c r="V36" s="174"/>
      <c r="W36" s="174"/>
      <c r="X36" s="174"/>
      <c r="Y36" s="174"/>
      <c r="Z36" s="174"/>
      <c r="AA36" s="174"/>
      <c r="AB36" s="174"/>
      <c r="AC36" s="174"/>
      <c r="AD36" s="174"/>
      <c r="AE36" s="174"/>
      <c r="AF36" s="174"/>
      <c r="AG36" s="174"/>
      <c r="AH36" s="174"/>
      <c r="AI36" s="174"/>
      <c r="AJ36" s="174"/>
      <c r="AK36" s="174"/>
      <c r="AL36" s="174"/>
      <c r="AM36" s="174"/>
      <c r="AN36" s="174"/>
      <c r="AO36" s="174" t="s">
        <v>3376</v>
      </c>
      <c r="AP36" s="174" t="s">
        <v>3377</v>
      </c>
      <c r="AQ36" s="174">
        <v>8000000</v>
      </c>
    </row>
    <row r="37" spans="1:43" x14ac:dyDescent="0.2">
      <c r="A37" s="30"/>
      <c r="B37" s="62" t="s">
        <v>3379</v>
      </c>
      <c r="C37" s="30" t="s">
        <v>3240</v>
      </c>
      <c r="D37" s="30">
        <f t="shared" ref="D37:D61" si="2">A37</f>
        <v>0</v>
      </c>
      <c r="E37" s="30" t="s">
        <v>3279</v>
      </c>
      <c r="F37" s="174">
        <f t="shared" ref="F37:F61" si="3">M37+P37+S37+V37+Y37+AB37+AE37+AH37+AK37+AN37+AQ37+J37</f>
        <v>14855000</v>
      </c>
      <c r="G37" s="174"/>
      <c r="H37" s="174"/>
      <c r="I37" s="174"/>
      <c r="J37" s="174"/>
      <c r="K37" s="174"/>
      <c r="L37" s="174"/>
      <c r="M37" s="174"/>
      <c r="N37" s="174"/>
      <c r="O37" s="174"/>
      <c r="P37" s="174"/>
      <c r="Q37" s="174"/>
      <c r="R37" s="174"/>
      <c r="S37" s="174"/>
      <c r="T37" s="174"/>
      <c r="U37" s="174"/>
      <c r="V37" s="174"/>
      <c r="W37" s="174"/>
      <c r="X37" s="174"/>
      <c r="Y37" s="174"/>
      <c r="Z37" s="174"/>
      <c r="AA37" s="174"/>
      <c r="AB37" s="174"/>
      <c r="AC37" s="174"/>
      <c r="AD37" s="174"/>
      <c r="AE37" s="174"/>
      <c r="AF37" s="174"/>
      <c r="AG37" s="174"/>
      <c r="AH37" s="174"/>
      <c r="AI37" s="174"/>
      <c r="AJ37" s="174"/>
      <c r="AK37" s="174"/>
      <c r="AL37" s="174"/>
      <c r="AM37" s="174"/>
      <c r="AN37" s="174"/>
      <c r="AO37" s="174" t="s">
        <v>3376</v>
      </c>
      <c r="AP37" s="174" t="s">
        <v>3377</v>
      </c>
      <c r="AQ37" s="174">
        <v>14855000</v>
      </c>
    </row>
    <row r="38" spans="1:43" x14ac:dyDescent="0.2">
      <c r="A38" s="30"/>
      <c r="B38" s="62" t="s">
        <v>3380</v>
      </c>
      <c r="C38" s="30" t="s">
        <v>3381</v>
      </c>
      <c r="D38" s="30">
        <f t="shared" si="2"/>
        <v>0</v>
      </c>
      <c r="E38" s="30" t="s">
        <v>3279</v>
      </c>
      <c r="F38" s="174">
        <f t="shared" si="3"/>
        <v>195000</v>
      </c>
      <c r="G38" s="174"/>
      <c r="H38" s="174"/>
      <c r="I38" s="174"/>
      <c r="J38" s="174"/>
      <c r="K38" s="174"/>
      <c r="L38" s="174"/>
      <c r="M38" s="174"/>
      <c r="N38" s="174"/>
      <c r="O38" s="174"/>
      <c r="P38" s="174"/>
      <c r="Q38" s="174"/>
      <c r="R38" s="174"/>
      <c r="S38" s="174"/>
      <c r="T38" s="174"/>
      <c r="U38" s="174"/>
      <c r="V38" s="174"/>
      <c r="W38" s="174"/>
      <c r="X38" s="174"/>
      <c r="Y38" s="174"/>
      <c r="Z38" s="174"/>
      <c r="AA38" s="174"/>
      <c r="AB38" s="174"/>
      <c r="AC38" s="174"/>
      <c r="AD38" s="174"/>
      <c r="AE38" s="174"/>
      <c r="AF38" s="174"/>
      <c r="AG38" s="174"/>
      <c r="AH38" s="174"/>
      <c r="AI38" s="174"/>
      <c r="AJ38" s="174"/>
      <c r="AK38" s="174"/>
      <c r="AL38" s="174"/>
      <c r="AM38" s="174"/>
      <c r="AN38" s="174"/>
      <c r="AO38" s="174" t="s">
        <v>3382</v>
      </c>
      <c r="AP38" s="174" t="s">
        <v>3377</v>
      </c>
      <c r="AQ38" s="174">
        <v>195000</v>
      </c>
    </row>
    <row r="39" spans="1:43" x14ac:dyDescent="0.2">
      <c r="A39" s="30"/>
      <c r="B39" s="62" t="s">
        <v>3383</v>
      </c>
      <c r="C39" s="30" t="s">
        <v>3389</v>
      </c>
      <c r="D39" s="30">
        <f t="shared" si="2"/>
        <v>0</v>
      </c>
      <c r="E39" s="30" t="s">
        <v>3279</v>
      </c>
      <c r="F39" s="174">
        <f t="shared" si="3"/>
        <v>9970080</v>
      </c>
      <c r="G39" s="174"/>
      <c r="H39" s="174"/>
      <c r="I39" s="174"/>
      <c r="J39" s="174"/>
      <c r="K39" s="174"/>
      <c r="L39" s="174"/>
      <c r="M39" s="174"/>
      <c r="N39" s="174"/>
      <c r="O39" s="174"/>
      <c r="P39" s="174"/>
      <c r="Q39" s="174"/>
      <c r="R39" s="174"/>
      <c r="S39" s="174"/>
      <c r="T39" s="174"/>
      <c r="U39" s="174"/>
      <c r="V39" s="174"/>
      <c r="W39" s="174"/>
      <c r="X39" s="174"/>
      <c r="Y39" s="174"/>
      <c r="Z39" s="174"/>
      <c r="AA39" s="174"/>
      <c r="AB39" s="174"/>
      <c r="AC39" s="174"/>
      <c r="AD39" s="174"/>
      <c r="AE39" s="174"/>
      <c r="AF39" s="174"/>
      <c r="AG39" s="174"/>
      <c r="AH39" s="174"/>
      <c r="AI39" s="174"/>
      <c r="AJ39" s="174"/>
      <c r="AK39" s="174"/>
      <c r="AL39" s="174"/>
      <c r="AM39" s="174"/>
      <c r="AN39" s="174"/>
      <c r="AO39" s="174" t="s">
        <v>3390</v>
      </c>
      <c r="AP39" s="174" t="s">
        <v>3391</v>
      </c>
      <c r="AQ39" s="174">
        <v>9970080</v>
      </c>
    </row>
    <row r="40" spans="1:43" x14ac:dyDescent="0.2">
      <c r="A40" s="30"/>
      <c r="B40" s="62" t="s">
        <v>3384</v>
      </c>
      <c r="C40" s="30" t="s">
        <v>3392</v>
      </c>
      <c r="D40" s="30">
        <f t="shared" si="2"/>
        <v>0</v>
      </c>
      <c r="E40" s="30" t="s">
        <v>3279</v>
      </c>
      <c r="F40" s="174">
        <f t="shared" si="3"/>
        <v>82346378</v>
      </c>
      <c r="G40" s="174"/>
      <c r="H40" s="174"/>
      <c r="I40" s="174"/>
      <c r="J40" s="174"/>
      <c r="K40" s="174"/>
      <c r="L40" s="174"/>
      <c r="M40" s="174"/>
      <c r="N40" s="174"/>
      <c r="O40" s="174"/>
      <c r="P40" s="174"/>
      <c r="Q40" s="174"/>
      <c r="R40" s="174"/>
      <c r="S40" s="174"/>
      <c r="T40" s="174"/>
      <c r="U40" s="174"/>
      <c r="V40" s="174"/>
      <c r="W40" s="174"/>
      <c r="X40" s="174"/>
      <c r="Y40" s="174"/>
      <c r="Z40" s="174" t="s">
        <v>3393</v>
      </c>
      <c r="AA40" s="174" t="s">
        <v>3394</v>
      </c>
      <c r="AB40" s="174">
        <v>82346378</v>
      </c>
      <c r="AC40" s="174"/>
      <c r="AD40" s="174"/>
      <c r="AE40" s="174"/>
      <c r="AF40" s="174"/>
      <c r="AG40" s="174"/>
      <c r="AH40" s="174"/>
      <c r="AI40" s="174"/>
      <c r="AJ40" s="174"/>
      <c r="AK40" s="174"/>
      <c r="AL40" s="174"/>
      <c r="AM40" s="174"/>
      <c r="AN40" s="174"/>
      <c r="AO40" s="174"/>
      <c r="AP40" s="174"/>
      <c r="AQ40" s="174"/>
    </row>
    <row r="41" spans="1:43" x14ac:dyDescent="0.2">
      <c r="A41" s="30"/>
      <c r="B41" s="62" t="s">
        <v>3385</v>
      </c>
      <c r="C41" s="30" t="s">
        <v>3395</v>
      </c>
      <c r="D41" s="30">
        <f t="shared" si="2"/>
        <v>0</v>
      </c>
      <c r="E41" s="30" t="s">
        <v>3279</v>
      </c>
      <c r="F41" s="174">
        <f t="shared" si="3"/>
        <v>17840702</v>
      </c>
      <c r="G41" s="174"/>
      <c r="H41" s="174"/>
      <c r="I41" s="174"/>
      <c r="J41" s="174"/>
      <c r="K41" s="174"/>
      <c r="L41" s="174"/>
      <c r="M41" s="174"/>
      <c r="N41" s="174"/>
      <c r="O41" s="174"/>
      <c r="P41" s="174"/>
      <c r="Q41" s="174"/>
      <c r="R41" s="174"/>
      <c r="S41" s="174"/>
      <c r="T41" s="174"/>
      <c r="U41" s="174"/>
      <c r="V41" s="174"/>
      <c r="W41" s="174" t="s">
        <v>3396</v>
      </c>
      <c r="X41" s="174" t="s">
        <v>3397</v>
      </c>
      <c r="Y41" s="174">
        <v>17840702</v>
      </c>
      <c r="Z41" s="174"/>
      <c r="AA41" s="174"/>
      <c r="AB41" s="174"/>
      <c r="AC41" s="174"/>
      <c r="AD41" s="174"/>
      <c r="AE41" s="174"/>
      <c r="AF41" s="174"/>
      <c r="AG41" s="174"/>
      <c r="AH41" s="174"/>
      <c r="AI41" s="174"/>
      <c r="AJ41" s="174"/>
      <c r="AK41" s="174"/>
      <c r="AL41" s="174"/>
      <c r="AM41" s="174"/>
      <c r="AN41" s="174"/>
      <c r="AO41" s="174"/>
      <c r="AP41" s="174"/>
      <c r="AQ41" s="174"/>
    </row>
    <row r="42" spans="1:43" x14ac:dyDescent="0.2">
      <c r="A42" s="30"/>
      <c r="B42" s="62" t="s">
        <v>3386</v>
      </c>
      <c r="C42" s="30" t="s">
        <v>3398</v>
      </c>
      <c r="D42" s="30">
        <f t="shared" si="2"/>
        <v>0</v>
      </c>
      <c r="E42" s="30" t="s">
        <v>3279</v>
      </c>
      <c r="F42" s="174">
        <f t="shared" si="3"/>
        <v>17671486</v>
      </c>
      <c r="G42" s="174"/>
      <c r="H42" s="174"/>
      <c r="I42" s="174"/>
      <c r="J42" s="174"/>
      <c r="K42" s="174"/>
      <c r="L42" s="174"/>
      <c r="M42" s="174"/>
      <c r="N42" s="174"/>
      <c r="O42" s="174"/>
      <c r="P42" s="174"/>
      <c r="Q42" s="174"/>
      <c r="R42" s="174"/>
      <c r="S42" s="174"/>
      <c r="T42" s="174" t="s">
        <v>3399</v>
      </c>
      <c r="U42" s="174" t="s">
        <v>3400</v>
      </c>
      <c r="V42" s="174">
        <v>17671486</v>
      </c>
      <c r="W42" s="174"/>
      <c r="X42" s="174"/>
      <c r="Y42" s="174"/>
      <c r="Z42" s="174"/>
      <c r="AA42" s="174"/>
      <c r="AB42" s="174"/>
      <c r="AC42" s="174"/>
      <c r="AD42" s="174"/>
      <c r="AE42" s="174"/>
      <c r="AF42" s="174"/>
      <c r="AG42" s="174"/>
      <c r="AH42" s="174"/>
      <c r="AI42" s="174"/>
      <c r="AJ42" s="174"/>
      <c r="AK42" s="174"/>
      <c r="AL42" s="174"/>
      <c r="AM42" s="174"/>
      <c r="AN42" s="174"/>
      <c r="AO42" s="174"/>
      <c r="AP42" s="174"/>
      <c r="AQ42" s="174"/>
    </row>
    <row r="43" spans="1:43" x14ac:dyDescent="0.2">
      <c r="A43" s="30"/>
      <c r="B43" s="62" t="s">
        <v>3387</v>
      </c>
      <c r="C43" s="30" t="s">
        <v>3247</v>
      </c>
      <c r="D43" s="30">
        <f t="shared" si="2"/>
        <v>0</v>
      </c>
      <c r="E43" s="30" t="s">
        <v>3279</v>
      </c>
      <c r="F43" s="174">
        <f t="shared" si="3"/>
        <v>2750000</v>
      </c>
      <c r="G43" s="174"/>
      <c r="H43" s="174"/>
      <c r="I43" s="174"/>
      <c r="J43" s="174"/>
      <c r="K43" s="174"/>
      <c r="L43" s="174"/>
      <c r="M43" s="174"/>
      <c r="N43" s="174"/>
      <c r="O43" s="174"/>
      <c r="P43" s="174"/>
      <c r="Q43" s="174"/>
      <c r="R43" s="174"/>
      <c r="S43" s="174"/>
      <c r="T43" s="174"/>
      <c r="U43" s="174"/>
      <c r="V43" s="174"/>
      <c r="W43" s="174"/>
      <c r="X43" s="174"/>
      <c r="Y43" s="174"/>
      <c r="Z43" s="174"/>
      <c r="AA43" s="174"/>
      <c r="AB43" s="174"/>
      <c r="AC43" s="174"/>
      <c r="AD43" s="174"/>
      <c r="AE43" s="174"/>
      <c r="AF43" s="174"/>
      <c r="AG43" s="174"/>
      <c r="AH43" s="174"/>
      <c r="AI43" s="174"/>
      <c r="AJ43" s="174"/>
      <c r="AK43" s="174"/>
      <c r="AL43" s="174"/>
      <c r="AM43" s="174"/>
      <c r="AN43" s="174"/>
      <c r="AO43" s="174" t="s">
        <v>3374</v>
      </c>
      <c r="AP43" s="174" t="s">
        <v>3401</v>
      </c>
      <c r="AQ43" s="174">
        <v>2750000</v>
      </c>
    </row>
    <row r="44" spans="1:43" x14ac:dyDescent="0.2">
      <c r="A44" s="30"/>
      <c r="B44" s="62" t="s">
        <v>3388</v>
      </c>
      <c r="C44" s="30" t="s">
        <v>3402</v>
      </c>
      <c r="D44" s="30">
        <f t="shared" si="2"/>
        <v>0</v>
      </c>
      <c r="E44" s="30" t="s">
        <v>3279</v>
      </c>
      <c r="F44" s="174">
        <f t="shared" si="3"/>
        <v>42046740</v>
      </c>
      <c r="G44" s="174"/>
      <c r="H44" s="174"/>
      <c r="I44" s="174"/>
      <c r="J44" s="174"/>
      <c r="K44" s="174"/>
      <c r="L44" s="174"/>
      <c r="M44" s="174"/>
      <c r="N44" s="174"/>
      <c r="O44" s="174"/>
      <c r="P44" s="174"/>
      <c r="Q44" s="174"/>
      <c r="R44" s="174"/>
      <c r="S44" s="174"/>
      <c r="T44" s="174"/>
      <c r="U44" s="174"/>
      <c r="V44" s="174"/>
      <c r="W44" s="174"/>
      <c r="X44" s="174"/>
      <c r="Y44" s="174"/>
      <c r="Z44" s="174"/>
      <c r="AA44" s="174"/>
      <c r="AB44" s="174"/>
      <c r="AC44" s="174"/>
      <c r="AD44" s="174"/>
      <c r="AE44" s="174"/>
      <c r="AF44" s="174"/>
      <c r="AG44" s="174"/>
      <c r="AH44" s="174"/>
      <c r="AI44" s="174"/>
      <c r="AJ44" s="174"/>
      <c r="AK44" s="174"/>
      <c r="AL44" s="174"/>
      <c r="AM44" s="174"/>
      <c r="AN44" s="174"/>
      <c r="AO44" s="174" t="s">
        <v>3376</v>
      </c>
      <c r="AP44" s="174" t="s">
        <v>3377</v>
      </c>
      <c r="AQ44" s="174">
        <v>42046740</v>
      </c>
    </row>
    <row r="45" spans="1:43" x14ac:dyDescent="0.2">
      <c r="A45" s="30"/>
      <c r="B45" s="62" t="s">
        <v>3403</v>
      </c>
      <c r="C45" s="30" t="s">
        <v>3412</v>
      </c>
      <c r="D45" s="30">
        <f t="shared" si="2"/>
        <v>0</v>
      </c>
      <c r="E45" s="30" t="s">
        <v>3279</v>
      </c>
      <c r="F45" s="174">
        <f t="shared" si="3"/>
        <v>400000</v>
      </c>
      <c r="G45" s="174"/>
      <c r="H45" s="174"/>
      <c r="I45" s="174"/>
      <c r="J45" s="174"/>
      <c r="K45" s="174"/>
      <c r="L45" s="174"/>
      <c r="M45" s="174"/>
      <c r="N45" s="174"/>
      <c r="O45" s="174"/>
      <c r="P45" s="174"/>
      <c r="Q45" s="174"/>
      <c r="R45" s="174"/>
      <c r="S45" s="174"/>
      <c r="T45" s="174"/>
      <c r="U45" s="174"/>
      <c r="V45" s="174"/>
      <c r="W45" s="174"/>
      <c r="X45" s="174"/>
      <c r="Y45" s="174"/>
      <c r="Z45" s="174"/>
      <c r="AA45" s="174"/>
      <c r="AB45" s="174"/>
      <c r="AC45" s="174"/>
      <c r="AD45" s="174"/>
      <c r="AE45" s="174"/>
      <c r="AF45" s="174"/>
      <c r="AG45" s="174"/>
      <c r="AH45" s="174"/>
      <c r="AI45" s="174"/>
      <c r="AJ45" s="174"/>
      <c r="AK45" s="174"/>
      <c r="AL45" s="174"/>
      <c r="AM45" s="174"/>
      <c r="AN45" s="174"/>
      <c r="AO45" s="174" t="s">
        <v>3368</v>
      </c>
      <c r="AP45" s="174" t="s">
        <v>3369</v>
      </c>
      <c r="AQ45" s="174">
        <v>400000</v>
      </c>
    </row>
    <row r="46" spans="1:43" x14ac:dyDescent="0.2">
      <c r="A46" s="30"/>
      <c r="B46" s="62" t="s">
        <v>3404</v>
      </c>
      <c r="C46" s="30" t="s">
        <v>3235</v>
      </c>
      <c r="D46" s="30">
        <f t="shared" si="2"/>
        <v>0</v>
      </c>
      <c r="E46" s="30" t="s">
        <v>3279</v>
      </c>
      <c r="F46" s="174">
        <f t="shared" si="3"/>
        <v>226125</v>
      </c>
      <c r="G46" s="174"/>
      <c r="H46" s="174"/>
      <c r="I46" s="174"/>
      <c r="J46" s="174"/>
      <c r="K46" s="174"/>
      <c r="L46" s="174"/>
      <c r="M46" s="174"/>
      <c r="N46" s="174"/>
      <c r="O46" s="174"/>
      <c r="P46" s="174"/>
      <c r="Q46" s="174"/>
      <c r="R46" s="174"/>
      <c r="S46" s="174"/>
      <c r="T46" s="174"/>
      <c r="U46" s="174"/>
      <c r="V46" s="174"/>
      <c r="W46" s="174"/>
      <c r="X46" s="174"/>
      <c r="Y46" s="174"/>
      <c r="Z46" s="174"/>
      <c r="AA46" s="174"/>
      <c r="AB46" s="174"/>
      <c r="AC46" s="174"/>
      <c r="AD46" s="174"/>
      <c r="AE46" s="174"/>
      <c r="AF46" s="174"/>
      <c r="AG46" s="174"/>
      <c r="AH46" s="174"/>
      <c r="AI46" s="174"/>
      <c r="AJ46" s="174"/>
      <c r="AK46" s="174"/>
      <c r="AL46" s="174"/>
      <c r="AM46" s="174"/>
      <c r="AN46" s="174"/>
      <c r="AO46" s="174" t="s">
        <v>3368</v>
      </c>
      <c r="AP46" s="174" t="s">
        <v>3369</v>
      </c>
      <c r="AQ46" s="174">
        <v>226125</v>
      </c>
    </row>
    <row r="47" spans="1:43" x14ac:dyDescent="0.2">
      <c r="A47" s="30"/>
      <c r="B47" s="62" t="s">
        <v>3405</v>
      </c>
      <c r="C47" s="30" t="s">
        <v>3413</v>
      </c>
      <c r="D47" s="30">
        <f t="shared" si="2"/>
        <v>0</v>
      </c>
      <c r="E47" s="30" t="s">
        <v>3279</v>
      </c>
      <c r="F47" s="174">
        <f t="shared" si="3"/>
        <v>5000000</v>
      </c>
      <c r="G47" s="174"/>
      <c r="H47" s="174"/>
      <c r="I47" s="174"/>
      <c r="J47" s="174"/>
      <c r="K47" s="174"/>
      <c r="L47" s="174"/>
      <c r="M47" s="174"/>
      <c r="N47" s="174"/>
      <c r="O47" s="174"/>
      <c r="P47" s="174"/>
      <c r="Q47" s="174"/>
      <c r="R47" s="174"/>
      <c r="S47" s="174"/>
      <c r="T47" s="174"/>
      <c r="U47" s="174"/>
      <c r="V47" s="174"/>
      <c r="W47" s="174"/>
      <c r="X47" s="174"/>
      <c r="Y47" s="174"/>
      <c r="Z47" s="174"/>
      <c r="AA47" s="174"/>
      <c r="AB47" s="174"/>
      <c r="AC47" s="174"/>
      <c r="AD47" s="174"/>
      <c r="AE47" s="174"/>
      <c r="AF47" s="174"/>
      <c r="AG47" s="174"/>
      <c r="AH47" s="174"/>
      <c r="AI47" s="174"/>
      <c r="AJ47" s="174"/>
      <c r="AK47" s="174"/>
      <c r="AL47" s="174"/>
      <c r="AM47" s="174"/>
      <c r="AN47" s="174"/>
      <c r="AO47" s="174" t="s">
        <v>3376</v>
      </c>
      <c r="AP47" s="174" t="s">
        <v>3377</v>
      </c>
      <c r="AQ47" s="174">
        <v>5000000</v>
      </c>
    </row>
    <row r="48" spans="1:43" x14ac:dyDescent="0.2">
      <c r="A48" s="30"/>
      <c r="B48" s="62" t="s">
        <v>3406</v>
      </c>
      <c r="C48" s="30" t="s">
        <v>3415</v>
      </c>
      <c r="D48" s="30">
        <f t="shared" si="2"/>
        <v>0</v>
      </c>
      <c r="E48" s="30" t="s">
        <v>3279</v>
      </c>
      <c r="F48" s="174">
        <f t="shared" si="3"/>
        <v>21092716</v>
      </c>
      <c r="G48" s="174"/>
      <c r="H48" s="174"/>
      <c r="I48" s="174"/>
      <c r="J48" s="174"/>
      <c r="K48" s="174"/>
      <c r="L48" s="174"/>
      <c r="M48" s="174"/>
      <c r="N48" s="174"/>
      <c r="O48" s="174"/>
      <c r="P48" s="174"/>
      <c r="Q48" s="174"/>
      <c r="R48" s="174"/>
      <c r="S48" s="174"/>
      <c r="T48" s="174"/>
      <c r="U48" s="174"/>
      <c r="V48" s="174"/>
      <c r="W48" s="174"/>
      <c r="X48" s="174"/>
      <c r="Y48" s="174"/>
      <c r="Z48" s="174"/>
      <c r="AA48" s="174"/>
      <c r="AB48" s="174"/>
      <c r="AC48" s="174"/>
      <c r="AD48" s="174"/>
      <c r="AE48" s="174"/>
      <c r="AF48" s="174"/>
      <c r="AG48" s="174"/>
      <c r="AH48" s="174"/>
      <c r="AI48" s="174"/>
      <c r="AJ48" s="174"/>
      <c r="AK48" s="174"/>
      <c r="AL48" s="174"/>
      <c r="AM48" s="174"/>
      <c r="AN48" s="174"/>
      <c r="AO48" s="174" t="s">
        <v>3376</v>
      </c>
      <c r="AP48" s="174" t="s">
        <v>3377</v>
      </c>
      <c r="AQ48" s="174">
        <v>21092716</v>
      </c>
    </row>
    <row r="49" spans="1:43" x14ac:dyDescent="0.2">
      <c r="A49" s="80" t="s">
        <v>3443</v>
      </c>
      <c r="B49" s="62" t="s">
        <v>3407</v>
      </c>
      <c r="C49" s="30" t="s">
        <v>3238</v>
      </c>
      <c r="D49" s="30" t="str">
        <f t="shared" si="2"/>
        <v>28 Jan</v>
      </c>
      <c r="E49" s="30" t="s">
        <v>3279</v>
      </c>
      <c r="F49" s="174">
        <f t="shared" si="3"/>
        <v>255000</v>
      </c>
      <c r="G49" s="174"/>
      <c r="H49" s="174"/>
      <c r="I49" s="174"/>
      <c r="J49" s="174"/>
      <c r="K49" s="174"/>
      <c r="L49" s="174"/>
      <c r="M49" s="174"/>
      <c r="N49" s="174"/>
      <c r="O49" s="174"/>
      <c r="P49" s="174"/>
      <c r="Q49" s="174"/>
      <c r="R49" s="174"/>
      <c r="S49" s="174"/>
      <c r="T49" s="174"/>
      <c r="U49" s="174"/>
      <c r="V49" s="174"/>
      <c r="W49" s="174"/>
      <c r="X49" s="174"/>
      <c r="Y49" s="174"/>
      <c r="Z49" s="174"/>
      <c r="AA49" s="174"/>
      <c r="AB49" s="174"/>
      <c r="AC49" s="174" t="s">
        <v>3300</v>
      </c>
      <c r="AD49" s="174" t="s">
        <v>3301</v>
      </c>
      <c r="AE49" s="174">
        <v>255000</v>
      </c>
      <c r="AF49" s="174"/>
      <c r="AG49" s="174"/>
      <c r="AH49" s="174"/>
      <c r="AI49" s="174"/>
      <c r="AJ49" s="174"/>
      <c r="AK49" s="174"/>
      <c r="AL49" s="174"/>
      <c r="AM49" s="174"/>
      <c r="AN49" s="174"/>
      <c r="AO49" s="174"/>
      <c r="AP49" s="174"/>
      <c r="AQ49" s="174"/>
    </row>
    <row r="50" spans="1:43" x14ac:dyDescent="0.2">
      <c r="A50" s="30"/>
      <c r="B50" s="62" t="s">
        <v>3408</v>
      </c>
      <c r="C50" s="30" t="s">
        <v>3416</v>
      </c>
      <c r="D50" s="30">
        <f t="shared" si="2"/>
        <v>0</v>
      </c>
      <c r="E50" s="30" t="s">
        <v>3279</v>
      </c>
      <c r="F50" s="174">
        <f t="shared" si="3"/>
        <v>500000</v>
      </c>
      <c r="G50" s="174"/>
      <c r="H50" s="174"/>
      <c r="I50" s="174"/>
      <c r="J50" s="174"/>
      <c r="K50" s="174"/>
      <c r="L50" s="174"/>
      <c r="M50" s="174"/>
      <c r="N50" s="174"/>
      <c r="O50" s="174"/>
      <c r="P50" s="174"/>
      <c r="Q50" s="174"/>
      <c r="R50" s="174"/>
      <c r="S50" s="174"/>
      <c r="T50" s="174"/>
      <c r="U50" s="174"/>
      <c r="V50" s="174"/>
      <c r="W50" s="174"/>
      <c r="X50" s="174"/>
      <c r="Y50" s="174"/>
      <c r="Z50" s="174"/>
      <c r="AA50" s="174"/>
      <c r="AB50" s="174"/>
      <c r="AC50" s="174"/>
      <c r="AD50" s="174"/>
      <c r="AE50" s="174"/>
      <c r="AF50" s="174"/>
      <c r="AG50" s="174"/>
      <c r="AH50" s="174"/>
      <c r="AI50" s="174"/>
      <c r="AJ50" s="174"/>
      <c r="AK50" s="174"/>
      <c r="AL50" s="174" t="s">
        <v>3417</v>
      </c>
      <c r="AM50" s="174" t="s">
        <v>3418</v>
      </c>
      <c r="AN50" s="174">
        <v>500000</v>
      </c>
      <c r="AO50" s="174"/>
      <c r="AP50" s="174"/>
      <c r="AQ50" s="174"/>
    </row>
    <row r="51" spans="1:43" x14ac:dyDescent="0.2">
      <c r="A51" s="30"/>
      <c r="B51" s="62" t="s">
        <v>3409</v>
      </c>
      <c r="C51" s="30" t="s">
        <v>3419</v>
      </c>
      <c r="D51" s="30">
        <f t="shared" si="2"/>
        <v>0</v>
      </c>
      <c r="E51" s="30" t="s">
        <v>3279</v>
      </c>
      <c r="F51" s="174">
        <f t="shared" si="3"/>
        <v>1800000</v>
      </c>
      <c r="G51" s="174"/>
      <c r="H51" s="174" t="s">
        <v>3420</v>
      </c>
      <c r="I51" s="174" t="s">
        <v>3421</v>
      </c>
      <c r="J51" s="174">
        <v>1800000</v>
      </c>
      <c r="K51" s="174"/>
      <c r="L51" s="174"/>
      <c r="M51" s="174"/>
      <c r="N51" s="174"/>
      <c r="O51" s="174"/>
      <c r="P51" s="174"/>
      <c r="Q51" s="174"/>
      <c r="R51" s="174"/>
      <c r="S51" s="174"/>
      <c r="T51" s="174"/>
      <c r="U51" s="174"/>
      <c r="V51" s="174"/>
      <c r="W51" s="174"/>
      <c r="X51" s="174"/>
      <c r="Y51" s="174"/>
      <c r="Z51" s="174"/>
      <c r="AA51" s="174"/>
      <c r="AB51" s="174"/>
      <c r="AC51" s="174"/>
      <c r="AD51" s="174"/>
      <c r="AE51" s="174"/>
      <c r="AF51" s="174"/>
      <c r="AG51" s="174"/>
      <c r="AH51" s="174"/>
      <c r="AI51" s="174"/>
      <c r="AJ51" s="174"/>
      <c r="AK51" s="174"/>
      <c r="AL51" s="174"/>
      <c r="AM51" s="174"/>
      <c r="AN51" s="174"/>
      <c r="AO51" s="174"/>
      <c r="AP51" s="174"/>
      <c r="AQ51" s="174"/>
    </row>
    <row r="52" spans="1:43" x14ac:dyDescent="0.2">
      <c r="A52" s="30"/>
      <c r="B52" s="62" t="s">
        <v>3410</v>
      </c>
      <c r="C52" s="30" t="s">
        <v>3243</v>
      </c>
      <c r="D52" s="30">
        <f t="shared" si="2"/>
        <v>0</v>
      </c>
      <c r="E52" s="30" t="s">
        <v>3279</v>
      </c>
      <c r="F52" s="174">
        <f t="shared" si="3"/>
        <v>350000</v>
      </c>
      <c r="G52" s="174"/>
      <c r="H52" s="174"/>
      <c r="I52" s="174"/>
      <c r="J52" s="174"/>
      <c r="K52" s="174"/>
      <c r="L52" s="174"/>
      <c r="M52" s="174"/>
      <c r="N52" s="174"/>
      <c r="O52" s="174"/>
      <c r="P52" s="174"/>
      <c r="Q52" s="174"/>
      <c r="R52" s="174"/>
      <c r="S52" s="174"/>
      <c r="T52" s="174"/>
      <c r="U52" s="174"/>
      <c r="V52" s="174"/>
      <c r="W52" s="174"/>
      <c r="X52" s="174"/>
      <c r="Y52" s="174"/>
      <c r="Z52" s="174"/>
      <c r="AA52" s="174"/>
      <c r="AB52" s="174"/>
      <c r="AC52" s="174" t="s">
        <v>3422</v>
      </c>
      <c r="AD52" s="174" t="s">
        <v>3423</v>
      </c>
      <c r="AE52" s="174">
        <v>350000</v>
      </c>
      <c r="AF52" s="174"/>
      <c r="AG52" s="174"/>
      <c r="AH52" s="174"/>
      <c r="AI52" s="174"/>
      <c r="AJ52" s="174"/>
      <c r="AK52" s="174"/>
      <c r="AL52" s="174"/>
      <c r="AM52" s="174"/>
      <c r="AN52" s="174"/>
      <c r="AO52" s="174"/>
      <c r="AP52" s="174"/>
      <c r="AQ52" s="174"/>
    </row>
    <row r="53" spans="1:43" x14ac:dyDescent="0.2">
      <c r="A53" s="30"/>
      <c r="B53" s="62" t="s">
        <v>3411</v>
      </c>
      <c r="C53" s="30" t="s">
        <v>3424</v>
      </c>
      <c r="D53" s="30">
        <f t="shared" si="2"/>
        <v>0</v>
      </c>
      <c r="E53" s="30" t="s">
        <v>3279</v>
      </c>
      <c r="F53" s="174">
        <f t="shared" si="3"/>
        <v>1664700</v>
      </c>
      <c r="G53" s="174"/>
      <c r="H53" s="174"/>
      <c r="I53" s="174"/>
      <c r="J53" s="174"/>
      <c r="K53" s="174"/>
      <c r="L53" s="174"/>
      <c r="M53" s="174"/>
      <c r="N53" s="174"/>
      <c r="O53" s="174"/>
      <c r="P53" s="174"/>
      <c r="Q53" s="174"/>
      <c r="R53" s="174"/>
      <c r="S53" s="174"/>
      <c r="T53" s="174"/>
      <c r="U53" s="174"/>
      <c r="V53" s="174"/>
      <c r="W53" s="174"/>
      <c r="X53" s="174"/>
      <c r="Y53" s="174"/>
      <c r="Z53" s="174"/>
      <c r="AA53" s="174"/>
      <c r="AB53" s="174"/>
      <c r="AC53" s="174" t="s">
        <v>3300</v>
      </c>
      <c r="AD53" s="174" t="s">
        <v>3301</v>
      </c>
      <c r="AE53" s="174">
        <v>1664700</v>
      </c>
      <c r="AF53" s="174"/>
      <c r="AG53" s="174"/>
      <c r="AH53" s="174"/>
      <c r="AI53" s="174"/>
      <c r="AJ53" s="174"/>
      <c r="AK53" s="174"/>
      <c r="AL53" s="174"/>
      <c r="AM53" s="174"/>
      <c r="AN53" s="174"/>
      <c r="AO53" s="174"/>
      <c r="AP53" s="174"/>
      <c r="AQ53" s="174"/>
    </row>
    <row r="54" spans="1:43" x14ac:dyDescent="0.2">
      <c r="A54" s="30"/>
      <c r="B54" s="62" t="s">
        <v>3425</v>
      </c>
      <c r="C54" s="30" t="s">
        <v>3432</v>
      </c>
      <c r="D54" s="30">
        <f t="shared" si="2"/>
        <v>0</v>
      </c>
      <c r="E54" s="30" t="s">
        <v>3279</v>
      </c>
      <c r="F54" s="174">
        <f t="shared" si="3"/>
        <v>150000</v>
      </c>
      <c r="G54" s="174"/>
      <c r="H54" s="174"/>
      <c r="I54" s="174"/>
      <c r="J54" s="174"/>
      <c r="K54" s="174"/>
      <c r="L54" s="174"/>
      <c r="M54" s="174"/>
      <c r="N54" s="174"/>
      <c r="O54" s="174"/>
      <c r="P54" s="174"/>
      <c r="Q54" s="174"/>
      <c r="R54" s="174"/>
      <c r="S54" s="174"/>
      <c r="T54" s="174"/>
      <c r="U54" s="174"/>
      <c r="V54" s="174"/>
      <c r="W54" s="174" t="s">
        <v>3433</v>
      </c>
      <c r="X54" s="174" t="s">
        <v>3434</v>
      </c>
      <c r="Y54" s="174">
        <v>150000</v>
      </c>
      <c r="Z54" s="174"/>
      <c r="AA54" s="174"/>
      <c r="AB54" s="174"/>
      <c r="AC54" s="174"/>
      <c r="AD54" s="174"/>
      <c r="AE54" s="174"/>
      <c r="AF54" s="174"/>
      <c r="AG54" s="174"/>
      <c r="AH54" s="174"/>
      <c r="AI54" s="174"/>
      <c r="AJ54" s="174"/>
      <c r="AK54" s="174"/>
      <c r="AL54" s="174"/>
      <c r="AM54" s="174"/>
      <c r="AN54" s="174"/>
      <c r="AO54" s="174"/>
      <c r="AP54" s="174"/>
      <c r="AQ54" s="174"/>
    </row>
    <row r="55" spans="1:43" x14ac:dyDescent="0.2">
      <c r="A55" s="30"/>
      <c r="B55" s="62" t="s">
        <v>3426</v>
      </c>
      <c r="C55" s="30" t="s">
        <v>3435</v>
      </c>
      <c r="D55" s="30">
        <f t="shared" si="2"/>
        <v>0</v>
      </c>
      <c r="E55" s="30" t="s">
        <v>3279</v>
      </c>
      <c r="F55" s="174">
        <f t="shared" si="3"/>
        <v>100000</v>
      </c>
      <c r="G55" s="174"/>
      <c r="H55" s="174"/>
      <c r="I55" s="174"/>
      <c r="J55" s="174"/>
      <c r="K55" s="174"/>
      <c r="L55" s="174"/>
      <c r="M55" s="174"/>
      <c r="N55" s="174"/>
      <c r="O55" s="174"/>
      <c r="P55" s="174"/>
      <c r="Q55" s="174"/>
      <c r="R55" s="174"/>
      <c r="S55" s="174"/>
      <c r="T55" s="174"/>
      <c r="U55" s="174"/>
      <c r="V55" s="174"/>
      <c r="W55" s="174"/>
      <c r="X55" s="174"/>
      <c r="Y55" s="174"/>
      <c r="Z55" s="174" t="s">
        <v>3438</v>
      </c>
      <c r="AA55" s="174" t="s">
        <v>3439</v>
      </c>
      <c r="AB55" s="174">
        <v>100000</v>
      </c>
      <c r="AC55" s="174"/>
      <c r="AD55" s="174"/>
      <c r="AE55" s="174"/>
      <c r="AF55" s="174"/>
      <c r="AG55" s="174"/>
      <c r="AH55" s="174"/>
      <c r="AI55" s="174"/>
      <c r="AJ55" s="174"/>
      <c r="AK55" s="174"/>
      <c r="AL55" s="174"/>
      <c r="AM55" s="174"/>
      <c r="AN55" s="174"/>
      <c r="AO55" s="174"/>
      <c r="AP55" s="174"/>
      <c r="AQ55" s="174"/>
    </row>
    <row r="56" spans="1:43" x14ac:dyDescent="0.2">
      <c r="A56" s="30"/>
      <c r="B56" s="62" t="s">
        <v>3427</v>
      </c>
      <c r="C56" s="30" t="s">
        <v>3436</v>
      </c>
      <c r="D56" s="30">
        <f t="shared" si="2"/>
        <v>0</v>
      </c>
      <c r="E56" s="30" t="s">
        <v>3279</v>
      </c>
      <c r="F56" s="174">
        <f t="shared" si="3"/>
        <v>3030000</v>
      </c>
      <c r="G56" s="174"/>
      <c r="H56" s="174"/>
      <c r="I56" s="174"/>
      <c r="J56" s="174"/>
      <c r="K56" s="174"/>
      <c r="L56" s="174"/>
      <c r="M56" s="174"/>
      <c r="N56" s="174"/>
      <c r="O56" s="174"/>
      <c r="P56" s="174"/>
      <c r="Q56" s="174"/>
      <c r="R56" s="174"/>
      <c r="S56" s="174"/>
      <c r="T56" s="174"/>
      <c r="U56" s="174"/>
      <c r="V56" s="174"/>
      <c r="W56" s="174" t="s">
        <v>3250</v>
      </c>
      <c r="X56" s="174" t="s">
        <v>3437</v>
      </c>
      <c r="Y56" s="174">
        <v>3030000</v>
      </c>
      <c r="Z56" s="174"/>
      <c r="AA56" s="174"/>
      <c r="AB56" s="174"/>
      <c r="AC56" s="174"/>
      <c r="AD56" s="174"/>
      <c r="AE56" s="174"/>
      <c r="AF56" s="174"/>
      <c r="AG56" s="174"/>
      <c r="AH56" s="174"/>
      <c r="AI56" s="174"/>
      <c r="AJ56" s="174"/>
      <c r="AK56" s="174"/>
      <c r="AL56" s="174"/>
      <c r="AM56" s="174"/>
      <c r="AN56" s="174"/>
      <c r="AO56" s="174"/>
      <c r="AP56" s="174"/>
      <c r="AQ56" s="174"/>
    </row>
    <row r="57" spans="1:43" x14ac:dyDescent="0.2">
      <c r="A57" s="30"/>
      <c r="B57" s="62" t="s">
        <v>3428</v>
      </c>
      <c r="C57" s="30" t="s">
        <v>3442</v>
      </c>
      <c r="D57" s="30">
        <f t="shared" si="2"/>
        <v>0</v>
      </c>
      <c r="E57" s="30" t="s">
        <v>3279</v>
      </c>
      <c r="F57" s="174">
        <f t="shared" si="3"/>
        <v>2100000</v>
      </c>
      <c r="G57" s="174"/>
      <c r="H57" s="174"/>
      <c r="I57" s="174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 t="s">
        <v>3440</v>
      </c>
      <c r="AA57" s="174" t="s">
        <v>3441</v>
      </c>
      <c r="AB57" s="174">
        <v>2100000</v>
      </c>
      <c r="AC57" s="174"/>
      <c r="AD57" s="174"/>
      <c r="AE57" s="174"/>
      <c r="AF57" s="174"/>
      <c r="AG57" s="174"/>
      <c r="AH57" s="174"/>
      <c r="AI57" s="174"/>
      <c r="AJ57" s="174"/>
      <c r="AK57" s="174"/>
      <c r="AL57" s="174"/>
      <c r="AM57" s="174"/>
      <c r="AN57" s="174"/>
      <c r="AO57" s="174"/>
      <c r="AP57" s="174"/>
      <c r="AQ57" s="174"/>
    </row>
    <row r="58" spans="1:43" x14ac:dyDescent="0.2">
      <c r="A58" s="80" t="s">
        <v>3448</v>
      </c>
      <c r="B58" s="62" t="s">
        <v>3429</v>
      </c>
      <c r="C58" s="30" t="s">
        <v>3444</v>
      </c>
      <c r="D58" s="30" t="str">
        <f t="shared" si="2"/>
        <v>29 Jan</v>
      </c>
      <c r="E58" s="30" t="s">
        <v>3279</v>
      </c>
      <c r="F58" s="174">
        <f t="shared" si="3"/>
        <v>1247500</v>
      </c>
      <c r="G58" s="174"/>
      <c r="H58" s="174"/>
      <c r="I58" s="174"/>
      <c r="J58" s="174"/>
      <c r="K58" s="174"/>
      <c r="L58" s="174"/>
      <c r="M58" s="174"/>
      <c r="N58" s="174"/>
      <c r="O58" s="174"/>
      <c r="P58" s="174"/>
      <c r="Q58" s="174"/>
      <c r="R58" s="174"/>
      <c r="S58" s="174"/>
      <c r="T58" s="174"/>
      <c r="U58" s="174"/>
      <c r="V58" s="174"/>
      <c r="W58" s="174"/>
      <c r="X58" s="174"/>
      <c r="Y58" s="174"/>
      <c r="Z58" s="174"/>
      <c r="AA58" s="174"/>
      <c r="AB58" s="174"/>
      <c r="AC58" s="174" t="s">
        <v>3300</v>
      </c>
      <c r="AD58" s="174" t="s">
        <v>3301</v>
      </c>
      <c r="AE58" s="174">
        <v>1247500</v>
      </c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</row>
    <row r="59" spans="1:43" x14ac:dyDescent="0.2">
      <c r="A59" s="30"/>
      <c r="B59" s="62" t="s">
        <v>3430</v>
      </c>
      <c r="C59" s="30" t="s">
        <v>3445</v>
      </c>
      <c r="D59" s="30">
        <f t="shared" si="2"/>
        <v>0</v>
      </c>
      <c r="E59" s="30" t="s">
        <v>3279</v>
      </c>
      <c r="F59" s="174">
        <f t="shared" si="3"/>
        <v>65000</v>
      </c>
      <c r="G59" s="174"/>
      <c r="H59" s="174"/>
      <c r="I59" s="174"/>
      <c r="J59" s="174"/>
      <c r="K59" s="174"/>
      <c r="L59" s="174"/>
      <c r="M59" s="174"/>
      <c r="N59" s="174"/>
      <c r="O59" s="174"/>
      <c r="P59" s="174"/>
      <c r="Q59" s="174"/>
      <c r="R59" s="174"/>
      <c r="S59" s="174"/>
      <c r="T59" s="174"/>
      <c r="U59" s="174"/>
      <c r="V59" s="174"/>
      <c r="W59" s="174"/>
      <c r="X59" s="174"/>
      <c r="Y59" s="174"/>
      <c r="Z59" s="174"/>
      <c r="AA59" s="174"/>
      <c r="AB59" s="174"/>
      <c r="AC59" s="174" t="s">
        <v>3300</v>
      </c>
      <c r="AD59" s="174" t="s">
        <v>3301</v>
      </c>
      <c r="AE59" s="174">
        <v>65000</v>
      </c>
      <c r="AF59" s="174"/>
      <c r="AG59" s="174"/>
      <c r="AH59" s="174"/>
      <c r="AI59" s="174"/>
      <c r="AJ59" s="174"/>
      <c r="AK59" s="174"/>
      <c r="AL59" s="174"/>
      <c r="AM59" s="174"/>
      <c r="AN59" s="174"/>
      <c r="AO59" s="174"/>
      <c r="AP59" s="174"/>
      <c r="AQ59" s="174"/>
    </row>
    <row r="60" spans="1:43" x14ac:dyDescent="0.2">
      <c r="A60" s="80" t="s">
        <v>3449</v>
      </c>
      <c r="B60" s="62" t="s">
        <v>3431</v>
      </c>
      <c r="C60" s="30" t="s">
        <v>3244</v>
      </c>
      <c r="D60" s="30" t="str">
        <f t="shared" si="2"/>
        <v>31 jan</v>
      </c>
      <c r="E60" s="30" t="s">
        <v>3279</v>
      </c>
      <c r="F60" s="174">
        <f t="shared" si="3"/>
        <v>675000</v>
      </c>
      <c r="G60" s="174"/>
      <c r="H60" s="174"/>
      <c r="I60" s="174"/>
      <c r="J60" s="174"/>
      <c r="K60" s="174"/>
      <c r="L60" s="174"/>
      <c r="M60" s="174"/>
      <c r="N60" s="174"/>
      <c r="O60" s="174"/>
      <c r="P60" s="174"/>
      <c r="Q60" s="174"/>
      <c r="R60" s="174"/>
      <c r="S60" s="174"/>
      <c r="T60" s="174"/>
      <c r="U60" s="174"/>
      <c r="V60" s="174"/>
      <c r="W60" s="174"/>
      <c r="X60" s="174"/>
      <c r="Y60" s="174"/>
      <c r="Z60" s="174"/>
      <c r="AA60" s="174"/>
      <c r="AB60" s="174"/>
      <c r="AC60" s="174"/>
      <c r="AD60" s="174"/>
      <c r="AE60" s="174"/>
      <c r="AF60" s="174"/>
      <c r="AG60" s="174"/>
      <c r="AH60" s="174"/>
      <c r="AI60" s="174"/>
      <c r="AJ60" s="174"/>
      <c r="AK60" s="174"/>
      <c r="AL60" s="174"/>
      <c r="AM60" s="174"/>
      <c r="AN60" s="174"/>
      <c r="AO60" s="174" t="s">
        <v>3446</v>
      </c>
      <c r="AP60" s="174" t="s">
        <v>3447</v>
      </c>
      <c r="AQ60" s="174">
        <v>675000</v>
      </c>
    </row>
    <row r="61" spans="1:43" x14ac:dyDescent="0.2">
      <c r="A61" s="30"/>
      <c r="B61" s="10"/>
      <c r="C61" s="30"/>
      <c r="D61" s="30">
        <f t="shared" si="2"/>
        <v>0</v>
      </c>
      <c r="E61" s="30" t="s">
        <v>3279</v>
      </c>
      <c r="F61" s="174">
        <f t="shared" si="3"/>
        <v>0</v>
      </c>
      <c r="G61" s="174"/>
      <c r="H61" s="174"/>
      <c r="I61" s="174"/>
      <c r="J61" s="174"/>
      <c r="K61" s="174"/>
      <c r="L61" s="174"/>
      <c r="M61" s="174"/>
      <c r="N61" s="174"/>
      <c r="O61" s="174"/>
      <c r="P61" s="174"/>
      <c r="Q61" s="174"/>
      <c r="R61" s="174"/>
      <c r="S61" s="174"/>
      <c r="T61" s="174"/>
      <c r="U61" s="174"/>
      <c r="V61" s="174"/>
      <c r="W61" s="174"/>
      <c r="X61" s="174"/>
      <c r="Y61" s="174"/>
      <c r="Z61" s="174"/>
      <c r="AA61" s="174"/>
      <c r="AB61" s="174"/>
      <c r="AC61" s="174"/>
      <c r="AD61" s="174"/>
      <c r="AE61" s="174"/>
      <c r="AF61" s="174"/>
      <c r="AG61" s="174"/>
      <c r="AH61" s="174"/>
      <c r="AI61" s="174"/>
      <c r="AJ61" s="174"/>
      <c r="AK61" s="174"/>
      <c r="AL61" s="174"/>
      <c r="AM61" s="174"/>
      <c r="AN61" s="174"/>
      <c r="AO61" s="174"/>
      <c r="AP61" s="174"/>
      <c r="AQ61" s="174"/>
    </row>
    <row r="62" spans="1:43" ht="24.75" customHeight="1" x14ac:dyDescent="0.2">
      <c r="A62" s="295" t="s">
        <v>10</v>
      </c>
      <c r="B62" s="296"/>
      <c r="C62" s="296"/>
      <c r="D62" s="296"/>
      <c r="E62" s="297"/>
      <c r="F62" s="167">
        <f>SUM(F10:F61)</f>
        <v>368229688</v>
      </c>
      <c r="G62" s="167">
        <f t="shared" ref="G62:AP62" si="4">SUM(G10:G61)</f>
        <v>0</v>
      </c>
      <c r="H62" s="167">
        <f t="shared" si="4"/>
        <v>0</v>
      </c>
      <c r="I62" s="167">
        <f t="shared" si="4"/>
        <v>0</v>
      </c>
      <c r="J62" s="167">
        <f t="shared" si="4"/>
        <v>50420000</v>
      </c>
      <c r="K62" s="167">
        <f t="shared" si="4"/>
        <v>0</v>
      </c>
      <c r="L62" s="167">
        <f t="shared" si="4"/>
        <v>0</v>
      </c>
      <c r="M62" s="167">
        <f t="shared" si="4"/>
        <v>0</v>
      </c>
      <c r="N62" s="167">
        <f t="shared" si="4"/>
        <v>0</v>
      </c>
      <c r="O62" s="167">
        <f t="shared" si="4"/>
        <v>0</v>
      </c>
      <c r="P62" s="167">
        <f t="shared" si="4"/>
        <v>0</v>
      </c>
      <c r="Q62" s="167">
        <f t="shared" si="4"/>
        <v>0</v>
      </c>
      <c r="R62" s="167">
        <f t="shared" si="4"/>
        <v>0</v>
      </c>
      <c r="S62" s="167">
        <f t="shared" si="4"/>
        <v>28375777</v>
      </c>
      <c r="T62" s="167">
        <f t="shared" si="4"/>
        <v>0</v>
      </c>
      <c r="U62" s="167">
        <f t="shared" si="4"/>
        <v>0</v>
      </c>
      <c r="V62" s="167">
        <f t="shared" si="4"/>
        <v>17821486</v>
      </c>
      <c r="W62" s="167">
        <f t="shared" si="4"/>
        <v>0</v>
      </c>
      <c r="X62" s="167">
        <f t="shared" si="4"/>
        <v>0</v>
      </c>
      <c r="Y62" s="167">
        <f t="shared" si="4"/>
        <v>21130702</v>
      </c>
      <c r="Z62" s="167">
        <f t="shared" si="4"/>
        <v>0</v>
      </c>
      <c r="AA62" s="167">
        <f t="shared" si="4"/>
        <v>0</v>
      </c>
      <c r="AB62" s="167">
        <f t="shared" si="4"/>
        <v>94534294</v>
      </c>
      <c r="AC62" s="167">
        <f t="shared" si="4"/>
        <v>0</v>
      </c>
      <c r="AD62" s="167">
        <f t="shared" si="4"/>
        <v>0</v>
      </c>
      <c r="AE62" s="167">
        <f t="shared" si="4"/>
        <v>12023435</v>
      </c>
      <c r="AF62" s="167">
        <f t="shared" si="4"/>
        <v>0</v>
      </c>
      <c r="AG62" s="167">
        <f t="shared" si="4"/>
        <v>0</v>
      </c>
      <c r="AH62" s="167">
        <f t="shared" si="4"/>
        <v>0</v>
      </c>
      <c r="AI62" s="167">
        <f t="shared" si="4"/>
        <v>0</v>
      </c>
      <c r="AJ62" s="167">
        <f t="shared" si="4"/>
        <v>0</v>
      </c>
      <c r="AK62" s="167">
        <f t="shared" si="4"/>
        <v>0</v>
      </c>
      <c r="AL62" s="167">
        <f t="shared" si="4"/>
        <v>0</v>
      </c>
      <c r="AM62" s="167">
        <f t="shared" si="4"/>
        <v>0</v>
      </c>
      <c r="AN62" s="167">
        <f t="shared" si="4"/>
        <v>2131000</v>
      </c>
      <c r="AO62" s="167">
        <f t="shared" si="4"/>
        <v>0</v>
      </c>
      <c r="AP62" s="167">
        <f t="shared" si="4"/>
        <v>0</v>
      </c>
      <c r="AQ62" s="167">
        <f>SUM(AQ10:AQ61)</f>
        <v>141792994</v>
      </c>
    </row>
  </sheetData>
  <mergeCells count="32">
    <mergeCell ref="A62:E62"/>
    <mergeCell ref="E7:E9"/>
    <mergeCell ref="F7:G7"/>
    <mergeCell ref="T7:V7"/>
    <mergeCell ref="T9:V9"/>
    <mergeCell ref="H7:J7"/>
    <mergeCell ref="H9:J9"/>
    <mergeCell ref="A3:AQ3"/>
    <mergeCell ref="A4:AQ4"/>
    <mergeCell ref="A6:B6"/>
    <mergeCell ref="C6:C9"/>
    <mergeCell ref="D6:E6"/>
    <mergeCell ref="F6:G6"/>
    <mergeCell ref="M6:AQ6"/>
    <mergeCell ref="A7:A9"/>
    <mergeCell ref="B7:B9"/>
    <mergeCell ref="D7:D9"/>
    <mergeCell ref="K7:M7"/>
    <mergeCell ref="N7:P7"/>
    <mergeCell ref="K9:M9"/>
    <mergeCell ref="N9:P9"/>
    <mergeCell ref="Q7:S7"/>
    <mergeCell ref="Q9:S9"/>
    <mergeCell ref="W9:Y9"/>
    <mergeCell ref="Z8:AB8"/>
    <mergeCell ref="AC8:AE8"/>
    <mergeCell ref="W7:Y7"/>
    <mergeCell ref="AF8:AH8"/>
    <mergeCell ref="Z7:AQ7"/>
    <mergeCell ref="AO8:AQ8"/>
    <mergeCell ref="AI8:AK8"/>
    <mergeCell ref="AL8:AN8"/>
  </mergeCells>
  <pageMargins left="0.31496062992125984" right="0.31496062992125984" top="0.74803149606299213" bottom="0.74803149606299213" header="0.31496062992125984" footer="0.31496062992125984"/>
  <pageSetup paperSize="5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0"/>
  <dimension ref="A1:O1486"/>
  <sheetViews>
    <sheetView tabSelected="1" showWhiteSpace="0" view="pageLayout" topLeftCell="G1" zoomScale="90" zoomScaleNormal="90" zoomScalePageLayoutView="90" workbookViewId="0">
      <selection activeCell="F9" sqref="F9:F10"/>
    </sheetView>
  </sheetViews>
  <sheetFormatPr defaultColWidth="9.140625" defaultRowHeight="11.25" x14ac:dyDescent="0.2"/>
  <cols>
    <col min="1" max="1" width="7" style="19" customWidth="1"/>
    <col min="2" max="2" width="7.28515625" style="19" customWidth="1"/>
    <col min="3" max="3" width="38.85546875" style="1" customWidth="1"/>
    <col min="4" max="4" width="6.5703125" style="19" customWidth="1"/>
    <col min="5" max="5" width="6.85546875" style="19" customWidth="1"/>
    <col min="6" max="6" width="10" style="19" customWidth="1"/>
    <col min="7" max="7" width="29.28515625" style="1" customWidth="1"/>
    <col min="8" max="8" width="16.28515625" style="1" customWidth="1"/>
    <col min="9" max="9" width="12.7109375" style="19" customWidth="1"/>
    <col min="10" max="10" width="17" style="1" customWidth="1"/>
    <col min="11" max="11" width="16.5703125" style="1" bestFit="1" customWidth="1"/>
    <col min="12" max="12" width="12.5703125" style="1" bestFit="1" customWidth="1"/>
    <col min="13" max="13" width="12.85546875" style="1" customWidth="1"/>
    <col min="14" max="14" width="9.5703125" style="1" bestFit="1" customWidth="1"/>
    <col min="15" max="15" width="14.7109375" style="1" customWidth="1"/>
    <col min="16" max="16384" width="9.140625" style="1"/>
  </cols>
  <sheetData>
    <row r="1" spans="1:12" ht="12.75" x14ac:dyDescent="0.2">
      <c r="A1" s="199" t="s">
        <v>0</v>
      </c>
      <c r="B1" s="192"/>
      <c r="C1" s="128"/>
      <c r="D1" s="192"/>
      <c r="E1" s="192"/>
      <c r="F1" s="192"/>
      <c r="G1" s="128"/>
      <c r="H1" s="128"/>
      <c r="I1" s="192"/>
      <c r="J1" s="128"/>
      <c r="K1" s="128"/>
    </row>
    <row r="2" spans="1:12" ht="12.75" x14ac:dyDescent="0.2">
      <c r="A2" s="199" t="s">
        <v>1</v>
      </c>
      <c r="B2" s="192"/>
      <c r="C2" s="128"/>
      <c r="D2" s="192"/>
      <c r="E2" s="192"/>
      <c r="F2" s="192"/>
      <c r="G2" s="128"/>
      <c r="H2" s="128"/>
      <c r="I2" s="192"/>
      <c r="J2" s="128"/>
      <c r="K2" s="128"/>
    </row>
    <row r="3" spans="1:12" ht="12.75" x14ac:dyDescent="0.2">
      <c r="A3" s="313" t="s">
        <v>3259</v>
      </c>
      <c r="B3" s="313"/>
      <c r="C3" s="313"/>
      <c r="D3" s="313"/>
      <c r="E3" s="313"/>
      <c r="F3" s="313"/>
      <c r="G3" s="313"/>
      <c r="H3" s="313"/>
      <c r="I3" s="313"/>
      <c r="J3" s="313"/>
      <c r="K3" s="313"/>
    </row>
    <row r="4" spans="1:12" ht="12.75" x14ac:dyDescent="0.2">
      <c r="A4" s="313" t="s">
        <v>3272</v>
      </c>
      <c r="B4" s="313"/>
      <c r="C4" s="313"/>
      <c r="D4" s="313"/>
      <c r="E4" s="313"/>
      <c r="F4" s="313"/>
      <c r="G4" s="313"/>
      <c r="H4" s="313"/>
      <c r="I4" s="313"/>
      <c r="J4" s="313"/>
      <c r="K4" s="313"/>
    </row>
    <row r="5" spans="1:12" x14ac:dyDescent="0.2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</row>
    <row r="6" spans="1:12" ht="15" customHeight="1" x14ac:dyDescent="0.2">
      <c r="A6" s="287" t="s">
        <v>3260</v>
      </c>
      <c r="B6" s="288"/>
      <c r="C6" s="289" t="s">
        <v>8</v>
      </c>
      <c r="D6" s="287" t="s">
        <v>3261</v>
      </c>
      <c r="E6" s="288"/>
      <c r="F6" s="308" t="s">
        <v>76</v>
      </c>
      <c r="G6" s="309"/>
      <c r="H6" s="310"/>
      <c r="I6" s="308" t="s">
        <v>5</v>
      </c>
      <c r="J6" s="309"/>
      <c r="K6" s="310"/>
    </row>
    <row r="7" spans="1:12" ht="21.75" customHeight="1" x14ac:dyDescent="0.2">
      <c r="A7" s="289" t="s">
        <v>7</v>
      </c>
      <c r="B7" s="289" t="s">
        <v>16</v>
      </c>
      <c r="C7" s="290"/>
      <c r="D7" s="292" t="s">
        <v>7</v>
      </c>
      <c r="E7" s="292" t="s">
        <v>3262</v>
      </c>
      <c r="F7" s="292" t="s">
        <v>3252</v>
      </c>
      <c r="G7" s="292" t="s">
        <v>3251</v>
      </c>
      <c r="H7" s="292" t="s">
        <v>3452</v>
      </c>
      <c r="I7" s="292" t="s">
        <v>3252</v>
      </c>
      <c r="J7" s="292" t="s">
        <v>3251</v>
      </c>
      <c r="K7" s="292" t="s">
        <v>3452</v>
      </c>
    </row>
    <row r="8" spans="1:12" ht="9" customHeight="1" x14ac:dyDescent="0.2">
      <c r="A8" s="291"/>
      <c r="B8" s="291"/>
      <c r="C8" s="291"/>
      <c r="D8" s="294"/>
      <c r="E8" s="294"/>
      <c r="F8" s="294"/>
      <c r="G8" s="294"/>
      <c r="H8" s="294"/>
      <c r="I8" s="294"/>
      <c r="J8" s="294"/>
      <c r="K8" s="294"/>
    </row>
    <row r="9" spans="1:12" x14ac:dyDescent="0.2">
      <c r="A9" s="223" t="s">
        <v>3278</v>
      </c>
      <c r="B9" s="224" t="s">
        <v>3554</v>
      </c>
      <c r="C9" s="225" t="s">
        <v>3627</v>
      </c>
      <c r="D9" s="224" t="str">
        <f>A9</f>
        <v>02 Jan</v>
      </c>
      <c r="E9" s="226" t="s">
        <v>3279</v>
      </c>
      <c r="F9" s="227" t="s">
        <v>3621</v>
      </c>
      <c r="G9" s="228" t="s">
        <v>3315</v>
      </c>
      <c r="H9" s="228">
        <v>200000</v>
      </c>
      <c r="I9" s="229" t="s">
        <v>3257</v>
      </c>
      <c r="J9" s="230" t="s">
        <v>6</v>
      </c>
      <c r="K9" s="231">
        <f>H9</f>
        <v>200000</v>
      </c>
      <c r="L9" s="298" t="s">
        <v>3624</v>
      </c>
    </row>
    <row r="10" spans="1:12" x14ac:dyDescent="0.2">
      <c r="A10" s="235" t="s">
        <v>3565</v>
      </c>
      <c r="B10" s="235" t="s">
        <v>3555</v>
      </c>
      <c r="C10" s="234" t="s">
        <v>3626</v>
      </c>
      <c r="D10" s="229" t="str">
        <f t="shared" ref="D10" si="0">A10</f>
        <v>21 Jan</v>
      </c>
      <c r="E10" s="229" t="s">
        <v>3279</v>
      </c>
      <c r="F10" s="233" t="s">
        <v>3267</v>
      </c>
      <c r="G10" s="234" t="s">
        <v>3622</v>
      </c>
      <c r="H10" s="236">
        <v>125000</v>
      </c>
      <c r="I10" s="229" t="s">
        <v>3549</v>
      </c>
      <c r="J10" s="230" t="s">
        <v>6</v>
      </c>
      <c r="K10" s="231">
        <f t="shared" ref="K10:K61" si="1">H10</f>
        <v>125000</v>
      </c>
      <c r="L10" s="298"/>
    </row>
    <row r="11" spans="1:12" x14ac:dyDescent="0.2">
      <c r="A11" s="62"/>
      <c r="B11" s="62" t="s">
        <v>3556</v>
      </c>
      <c r="C11" s="30"/>
      <c r="D11" s="62">
        <f t="shared" ref="D11:D76" si="2">A11</f>
        <v>0</v>
      </c>
      <c r="E11" s="10"/>
      <c r="F11" s="177"/>
      <c r="G11" s="180"/>
      <c r="H11" s="180"/>
      <c r="I11" s="10"/>
      <c r="J11" s="30"/>
      <c r="K11" s="200">
        <f t="shared" si="1"/>
        <v>0</v>
      </c>
    </row>
    <row r="12" spans="1:12" x14ac:dyDescent="0.2">
      <c r="A12" s="62"/>
      <c r="B12" s="62" t="s">
        <v>3557</v>
      </c>
      <c r="C12" s="30"/>
      <c r="D12" s="62">
        <f t="shared" si="2"/>
        <v>0</v>
      </c>
      <c r="E12" s="10"/>
      <c r="F12" s="177"/>
      <c r="G12" s="180"/>
      <c r="H12" s="180"/>
      <c r="I12" s="10"/>
      <c r="J12" s="30"/>
      <c r="K12" s="200">
        <f t="shared" si="1"/>
        <v>0</v>
      </c>
    </row>
    <row r="13" spans="1:12" x14ac:dyDescent="0.2">
      <c r="A13" s="62"/>
      <c r="B13" s="62" t="s">
        <v>3558</v>
      </c>
      <c r="C13" s="30"/>
      <c r="D13" s="62">
        <f t="shared" si="2"/>
        <v>0</v>
      </c>
      <c r="E13" s="10"/>
      <c r="F13" s="177"/>
      <c r="G13" s="180"/>
      <c r="H13" s="180"/>
      <c r="I13" s="10"/>
      <c r="J13" s="30"/>
      <c r="K13" s="200">
        <f t="shared" si="1"/>
        <v>0</v>
      </c>
    </row>
    <row r="14" spans="1:12" x14ac:dyDescent="0.2">
      <c r="A14" s="62"/>
      <c r="B14" s="62" t="s">
        <v>3559</v>
      </c>
      <c r="C14" s="30"/>
      <c r="D14" s="62">
        <f t="shared" si="2"/>
        <v>0</v>
      </c>
      <c r="E14" s="10"/>
      <c r="F14" s="177"/>
      <c r="G14" s="180"/>
      <c r="H14" s="180"/>
      <c r="I14" s="10"/>
      <c r="J14" s="30"/>
      <c r="K14" s="200">
        <f t="shared" si="1"/>
        <v>0</v>
      </c>
    </row>
    <row r="15" spans="1:12" x14ac:dyDescent="0.2">
      <c r="A15" s="62"/>
      <c r="B15" s="62" t="s">
        <v>3560</v>
      </c>
      <c r="C15" s="30"/>
      <c r="D15" s="62">
        <f t="shared" si="2"/>
        <v>0</v>
      </c>
      <c r="E15" s="10"/>
      <c r="F15" s="177"/>
      <c r="G15" s="180"/>
      <c r="H15" s="180"/>
      <c r="I15" s="10"/>
      <c r="J15" s="30"/>
      <c r="K15" s="200">
        <f t="shared" si="1"/>
        <v>0</v>
      </c>
    </row>
    <row r="16" spans="1:12" x14ac:dyDescent="0.2">
      <c r="A16" s="62"/>
      <c r="B16" s="62"/>
      <c r="C16" s="30"/>
      <c r="D16" s="62">
        <f t="shared" si="2"/>
        <v>0</v>
      </c>
      <c r="E16" s="10"/>
      <c r="F16" s="177"/>
      <c r="G16" s="180"/>
      <c r="H16" s="180"/>
      <c r="I16" s="10"/>
      <c r="J16" s="30"/>
      <c r="K16" s="200">
        <f t="shared" si="1"/>
        <v>0</v>
      </c>
    </row>
    <row r="17" spans="1:12" x14ac:dyDescent="0.2">
      <c r="A17" s="62"/>
      <c r="B17" s="62"/>
      <c r="C17" s="30"/>
      <c r="D17" s="62">
        <f t="shared" si="2"/>
        <v>0</v>
      </c>
      <c r="E17" s="10"/>
      <c r="F17" s="177"/>
      <c r="G17" s="180"/>
      <c r="H17" s="180"/>
      <c r="I17" s="10"/>
      <c r="J17" s="30"/>
      <c r="K17" s="200">
        <f t="shared" si="1"/>
        <v>0</v>
      </c>
    </row>
    <row r="18" spans="1:12" x14ac:dyDescent="0.2">
      <c r="A18" s="62"/>
      <c r="B18" s="62" t="s">
        <v>3561</v>
      </c>
      <c r="C18" s="30"/>
      <c r="D18" s="62">
        <f t="shared" si="2"/>
        <v>0</v>
      </c>
      <c r="E18" s="10"/>
      <c r="F18" s="177"/>
      <c r="G18" s="180"/>
      <c r="H18" s="180"/>
      <c r="I18" s="10"/>
      <c r="J18" s="30"/>
      <c r="K18" s="200">
        <f t="shared" si="1"/>
        <v>0</v>
      </c>
    </row>
    <row r="19" spans="1:12" x14ac:dyDescent="0.2">
      <c r="A19" s="62"/>
      <c r="B19" s="62" t="s">
        <v>3562</v>
      </c>
      <c r="C19" s="30"/>
      <c r="D19" s="62">
        <f t="shared" si="2"/>
        <v>0</v>
      </c>
      <c r="E19" s="10"/>
      <c r="F19" s="177"/>
      <c r="G19" s="180"/>
      <c r="H19" s="180"/>
      <c r="I19" s="10"/>
      <c r="J19" s="30"/>
      <c r="K19" s="200">
        <f t="shared" si="1"/>
        <v>0</v>
      </c>
    </row>
    <row r="20" spans="1:12" x14ac:dyDescent="0.2">
      <c r="A20" s="62"/>
      <c r="B20" s="62" t="s">
        <v>3566</v>
      </c>
      <c r="C20" s="30"/>
      <c r="D20" s="62">
        <f t="shared" si="2"/>
        <v>0</v>
      </c>
      <c r="E20" s="10"/>
      <c r="F20" s="177"/>
      <c r="G20" s="180"/>
      <c r="H20" s="180"/>
      <c r="I20" s="10"/>
      <c r="J20" s="30"/>
      <c r="K20" s="200">
        <f t="shared" si="1"/>
        <v>0</v>
      </c>
    </row>
    <row r="21" spans="1:12" x14ac:dyDescent="0.2">
      <c r="A21" s="62"/>
      <c r="B21" s="62" t="s">
        <v>3567</v>
      </c>
      <c r="C21" s="30"/>
      <c r="D21" s="62">
        <f t="shared" si="2"/>
        <v>0</v>
      </c>
      <c r="E21" s="10"/>
      <c r="F21" s="177"/>
      <c r="G21" s="180"/>
      <c r="H21" s="180"/>
      <c r="I21" s="10"/>
      <c r="J21" s="30"/>
      <c r="K21" s="200">
        <f t="shared" si="1"/>
        <v>0</v>
      </c>
    </row>
    <row r="22" spans="1:12" x14ac:dyDescent="0.2">
      <c r="A22" s="62"/>
      <c r="B22" s="62" t="s">
        <v>3568</v>
      </c>
      <c r="C22" s="30"/>
      <c r="D22" s="62">
        <f t="shared" si="2"/>
        <v>0</v>
      </c>
      <c r="E22" s="10"/>
      <c r="F22" s="177"/>
      <c r="G22" s="180"/>
      <c r="H22" s="180"/>
      <c r="I22" s="10"/>
      <c r="J22" s="30"/>
      <c r="K22" s="200">
        <f t="shared" si="1"/>
        <v>0</v>
      </c>
    </row>
    <row r="23" spans="1:12" x14ac:dyDescent="0.2">
      <c r="A23" s="62"/>
      <c r="B23" s="62" t="s">
        <v>3569</v>
      </c>
      <c r="C23" s="30"/>
      <c r="D23" s="62">
        <f t="shared" si="2"/>
        <v>0</v>
      </c>
      <c r="E23" s="10"/>
      <c r="F23" s="177"/>
      <c r="G23" s="180"/>
      <c r="H23" s="180"/>
      <c r="I23" s="10"/>
      <c r="J23" s="30"/>
      <c r="K23" s="200">
        <f t="shared" si="1"/>
        <v>0</v>
      </c>
    </row>
    <row r="24" spans="1:12" x14ac:dyDescent="0.2">
      <c r="A24" s="62"/>
      <c r="B24" s="62" t="s">
        <v>3563</v>
      </c>
      <c r="C24" s="30"/>
      <c r="D24" s="62">
        <f t="shared" si="2"/>
        <v>0</v>
      </c>
      <c r="E24" s="10"/>
      <c r="F24" s="177"/>
      <c r="G24" s="180"/>
      <c r="H24" s="180"/>
      <c r="I24" s="10"/>
      <c r="J24" s="30"/>
      <c r="K24" s="200">
        <f t="shared" si="1"/>
        <v>0</v>
      </c>
    </row>
    <row r="25" spans="1:12" x14ac:dyDescent="0.2">
      <c r="A25" s="62"/>
      <c r="B25" s="62" t="s">
        <v>3570</v>
      </c>
      <c r="C25" s="30"/>
      <c r="D25" s="62">
        <f t="shared" si="2"/>
        <v>0</v>
      </c>
      <c r="E25" s="10"/>
      <c r="F25" s="177"/>
      <c r="G25" s="180"/>
      <c r="H25" s="180"/>
      <c r="I25" s="10"/>
      <c r="J25" s="30"/>
      <c r="K25" s="200">
        <f t="shared" si="1"/>
        <v>0</v>
      </c>
    </row>
    <row r="26" spans="1:12" x14ac:dyDescent="0.2">
      <c r="A26" s="62"/>
      <c r="B26" s="62" t="s">
        <v>3571</v>
      </c>
      <c r="C26" s="30"/>
      <c r="D26" s="62">
        <f t="shared" si="2"/>
        <v>0</v>
      </c>
      <c r="E26" s="10"/>
      <c r="F26" s="177"/>
      <c r="G26" s="180"/>
      <c r="H26" s="180"/>
      <c r="I26" s="10"/>
      <c r="J26" s="30"/>
      <c r="K26" s="200">
        <f t="shared" si="1"/>
        <v>0</v>
      </c>
    </row>
    <row r="27" spans="1:12" x14ac:dyDescent="0.2">
      <c r="A27" s="62"/>
      <c r="B27" s="62" t="s">
        <v>3572</v>
      </c>
      <c r="C27" s="30"/>
      <c r="D27" s="62">
        <f t="shared" si="2"/>
        <v>0</v>
      </c>
      <c r="E27" s="10"/>
      <c r="F27" s="177"/>
      <c r="G27" s="180"/>
      <c r="H27" s="180"/>
      <c r="I27" s="10"/>
      <c r="J27" s="30"/>
      <c r="K27" s="200">
        <f t="shared" si="1"/>
        <v>0</v>
      </c>
    </row>
    <row r="28" spans="1:12" x14ac:dyDescent="0.2">
      <c r="A28" s="62"/>
      <c r="B28" s="62" t="s">
        <v>3573</v>
      </c>
      <c r="C28" s="30"/>
      <c r="D28" s="62">
        <f t="shared" si="2"/>
        <v>0</v>
      </c>
      <c r="E28" s="10"/>
      <c r="F28" s="177"/>
      <c r="G28" s="180"/>
      <c r="H28" s="180"/>
      <c r="I28" s="10"/>
      <c r="J28" s="30"/>
      <c r="K28" s="200">
        <f t="shared" si="1"/>
        <v>0</v>
      </c>
    </row>
    <row r="29" spans="1:12" x14ac:dyDescent="0.2">
      <c r="A29" s="62"/>
      <c r="B29" s="62" t="s">
        <v>3574</v>
      </c>
      <c r="C29" s="30"/>
      <c r="D29" s="62">
        <f t="shared" si="2"/>
        <v>0</v>
      </c>
      <c r="E29" s="10"/>
      <c r="F29" s="177"/>
      <c r="G29" s="180"/>
      <c r="H29" s="180"/>
      <c r="I29" s="10"/>
      <c r="J29" s="30"/>
      <c r="K29" s="200">
        <f t="shared" si="1"/>
        <v>0</v>
      </c>
    </row>
    <row r="30" spans="1:12" x14ac:dyDescent="0.2">
      <c r="A30" s="62"/>
      <c r="B30" s="62" t="s">
        <v>3575</v>
      </c>
      <c r="C30" s="30"/>
      <c r="D30" s="62">
        <f t="shared" si="2"/>
        <v>0</v>
      </c>
      <c r="E30" s="10"/>
      <c r="F30" s="177"/>
      <c r="G30" s="180"/>
      <c r="H30" s="180"/>
      <c r="I30" s="10"/>
      <c r="J30" s="30"/>
      <c r="K30" s="200">
        <f t="shared" si="1"/>
        <v>0</v>
      </c>
    </row>
    <row r="31" spans="1:12" x14ac:dyDescent="0.2">
      <c r="A31" s="62"/>
      <c r="B31" s="62" t="s">
        <v>3576</v>
      </c>
      <c r="C31" s="30"/>
      <c r="D31" s="56"/>
      <c r="E31" s="10"/>
      <c r="F31" s="177"/>
      <c r="G31" s="180"/>
      <c r="H31" s="180"/>
      <c r="I31" s="10"/>
      <c r="J31" s="30"/>
      <c r="K31" s="201">
        <f t="shared" ref="K31" si="3">H31</f>
        <v>0</v>
      </c>
      <c r="L31" s="182"/>
    </row>
    <row r="32" spans="1:12" x14ac:dyDescent="0.2">
      <c r="A32" s="62"/>
      <c r="B32" s="62" t="s">
        <v>3577</v>
      </c>
      <c r="C32" s="30"/>
      <c r="D32" s="62">
        <f t="shared" si="2"/>
        <v>0</v>
      </c>
      <c r="E32" s="10"/>
      <c r="F32" s="177"/>
      <c r="G32" s="180"/>
      <c r="H32" s="180"/>
      <c r="I32" s="10"/>
      <c r="J32" s="30"/>
      <c r="K32" s="200">
        <f t="shared" si="1"/>
        <v>0</v>
      </c>
    </row>
    <row r="33" spans="1:12" x14ac:dyDescent="0.2">
      <c r="A33" s="62"/>
      <c r="B33" s="62" t="s">
        <v>3578</v>
      </c>
      <c r="C33" s="30"/>
      <c r="D33" s="62">
        <f t="shared" si="2"/>
        <v>0</v>
      </c>
      <c r="E33" s="10"/>
      <c r="F33" s="177"/>
      <c r="G33" s="180"/>
      <c r="H33" s="180"/>
      <c r="I33" s="10"/>
      <c r="J33" s="30"/>
      <c r="K33" s="200">
        <f t="shared" si="1"/>
        <v>0</v>
      </c>
    </row>
    <row r="34" spans="1:12" x14ac:dyDescent="0.2">
      <c r="A34" s="62"/>
      <c r="B34" s="62" t="s">
        <v>3579</v>
      </c>
      <c r="C34" s="30"/>
      <c r="D34" s="62">
        <f t="shared" si="2"/>
        <v>0</v>
      </c>
      <c r="E34" s="10"/>
      <c r="F34" s="177"/>
      <c r="G34" s="180"/>
      <c r="H34" s="180"/>
      <c r="I34" s="10"/>
      <c r="J34" s="30"/>
      <c r="K34" s="200">
        <f t="shared" si="1"/>
        <v>0</v>
      </c>
    </row>
    <row r="35" spans="1:12" x14ac:dyDescent="0.2">
      <c r="A35" s="62"/>
      <c r="B35" s="62" t="s">
        <v>3580</v>
      </c>
      <c r="C35" s="30"/>
      <c r="D35" s="62">
        <f t="shared" si="2"/>
        <v>0</v>
      </c>
      <c r="E35" s="10"/>
      <c r="F35" s="177"/>
      <c r="G35" s="180"/>
      <c r="H35" s="180"/>
      <c r="I35" s="10"/>
      <c r="J35" s="30"/>
      <c r="K35" s="200">
        <f t="shared" si="1"/>
        <v>0</v>
      </c>
    </row>
    <row r="36" spans="1:12" x14ac:dyDescent="0.2">
      <c r="A36" s="62"/>
      <c r="B36" s="62" t="s">
        <v>3581</v>
      </c>
      <c r="C36" s="30"/>
      <c r="D36" s="62">
        <f t="shared" si="2"/>
        <v>0</v>
      </c>
      <c r="E36" s="10"/>
      <c r="F36" s="177"/>
      <c r="G36" s="180"/>
      <c r="H36" s="180"/>
      <c r="I36" s="10"/>
      <c r="J36" s="30"/>
      <c r="K36" s="200">
        <f t="shared" si="1"/>
        <v>0</v>
      </c>
      <c r="L36" s="182"/>
    </row>
    <row r="37" spans="1:12" x14ac:dyDescent="0.2">
      <c r="A37" s="62"/>
      <c r="B37" s="62" t="s">
        <v>3582</v>
      </c>
      <c r="C37" s="30"/>
      <c r="D37" s="62">
        <f t="shared" si="2"/>
        <v>0</v>
      </c>
      <c r="E37" s="10"/>
      <c r="F37" s="177"/>
      <c r="G37" s="180"/>
      <c r="H37" s="180"/>
      <c r="I37" s="10"/>
      <c r="J37" s="30"/>
      <c r="K37" s="200">
        <f t="shared" si="1"/>
        <v>0</v>
      </c>
    </row>
    <row r="38" spans="1:12" x14ac:dyDescent="0.2">
      <c r="A38" s="62"/>
      <c r="B38" s="62" t="s">
        <v>3583</v>
      </c>
      <c r="C38" s="30"/>
      <c r="D38" s="62">
        <f t="shared" ref="D38:D39" si="4">A38</f>
        <v>0</v>
      </c>
      <c r="E38" s="10"/>
      <c r="F38" s="177"/>
      <c r="G38" s="180"/>
      <c r="H38" s="180"/>
      <c r="I38" s="10"/>
      <c r="J38" s="30"/>
      <c r="K38" s="200">
        <f t="shared" ref="K38:K39" si="5">H38</f>
        <v>0</v>
      </c>
    </row>
    <row r="39" spans="1:12" x14ac:dyDescent="0.2">
      <c r="A39" s="62"/>
      <c r="B39" s="62" t="s">
        <v>3584</v>
      </c>
      <c r="C39" s="30"/>
      <c r="D39" s="62">
        <f t="shared" si="4"/>
        <v>0</v>
      </c>
      <c r="E39" s="10"/>
      <c r="F39" s="177"/>
      <c r="G39" s="180"/>
      <c r="H39" s="180"/>
      <c r="I39" s="10"/>
      <c r="J39" s="30"/>
      <c r="K39" s="200">
        <f t="shared" si="5"/>
        <v>0</v>
      </c>
      <c r="L39" s="182"/>
    </row>
    <row r="40" spans="1:12" x14ac:dyDescent="0.2">
      <c r="A40" s="62"/>
      <c r="B40" s="62" t="s">
        <v>3585</v>
      </c>
      <c r="C40" s="30"/>
      <c r="D40" s="56">
        <f t="shared" si="2"/>
        <v>0</v>
      </c>
      <c r="E40" s="10"/>
      <c r="F40" s="177"/>
      <c r="G40" s="180"/>
      <c r="H40" s="180"/>
      <c r="I40" s="10"/>
      <c r="J40" s="30"/>
      <c r="K40" s="201">
        <f t="shared" si="1"/>
        <v>0</v>
      </c>
    </row>
    <row r="41" spans="1:12" x14ac:dyDescent="0.2">
      <c r="A41" s="62"/>
      <c r="B41" s="62" t="s">
        <v>3586</v>
      </c>
      <c r="C41" s="30"/>
      <c r="D41" s="62">
        <f t="shared" si="2"/>
        <v>0</v>
      </c>
      <c r="E41" s="10"/>
      <c r="F41" s="177"/>
      <c r="G41" s="180"/>
      <c r="H41" s="180"/>
      <c r="I41" s="10"/>
      <c r="J41" s="30"/>
      <c r="K41" s="200">
        <f t="shared" si="1"/>
        <v>0</v>
      </c>
    </row>
    <row r="42" spans="1:12" x14ac:dyDescent="0.2">
      <c r="A42" s="62"/>
      <c r="B42" s="62" t="s">
        <v>3587</v>
      </c>
      <c r="C42" s="30"/>
      <c r="D42" s="62">
        <f t="shared" si="2"/>
        <v>0</v>
      </c>
      <c r="E42" s="10"/>
      <c r="F42" s="177"/>
      <c r="G42" s="180"/>
      <c r="H42" s="180"/>
      <c r="I42" s="10"/>
      <c r="J42" s="30"/>
      <c r="K42" s="200">
        <f t="shared" si="1"/>
        <v>0</v>
      </c>
      <c r="L42" s="182"/>
    </row>
    <row r="43" spans="1:12" x14ac:dyDescent="0.2">
      <c r="A43" s="62"/>
      <c r="B43" s="62" t="s">
        <v>3588</v>
      </c>
      <c r="C43" s="30"/>
      <c r="D43" s="62">
        <f t="shared" si="2"/>
        <v>0</v>
      </c>
      <c r="E43" s="10"/>
      <c r="F43" s="177"/>
      <c r="G43" s="180"/>
      <c r="H43" s="180"/>
      <c r="I43" s="10"/>
      <c r="J43" s="30"/>
      <c r="K43" s="200">
        <f t="shared" si="1"/>
        <v>0</v>
      </c>
      <c r="L43" s="182"/>
    </row>
    <row r="44" spans="1:12" x14ac:dyDescent="0.2">
      <c r="A44" s="62"/>
      <c r="B44" s="62" t="s">
        <v>3589</v>
      </c>
      <c r="C44" s="30"/>
      <c r="D44" s="62">
        <f t="shared" si="2"/>
        <v>0</v>
      </c>
      <c r="E44" s="10"/>
      <c r="F44" s="177"/>
      <c r="G44" s="180"/>
      <c r="H44" s="180"/>
      <c r="I44" s="10"/>
      <c r="J44" s="30"/>
      <c r="K44" s="200">
        <f t="shared" si="1"/>
        <v>0</v>
      </c>
    </row>
    <row r="45" spans="1:12" x14ac:dyDescent="0.2">
      <c r="A45" s="62"/>
      <c r="B45" s="62" t="s">
        <v>3590</v>
      </c>
      <c r="C45" s="30"/>
      <c r="D45" s="62">
        <f t="shared" si="2"/>
        <v>0</v>
      </c>
      <c r="E45" s="10"/>
      <c r="F45" s="177"/>
      <c r="G45" s="180"/>
      <c r="H45" s="180"/>
      <c r="I45" s="10"/>
      <c r="J45" s="30"/>
      <c r="K45" s="200">
        <f t="shared" si="1"/>
        <v>0</v>
      </c>
    </row>
    <row r="46" spans="1:12" x14ac:dyDescent="0.2">
      <c r="A46" s="62"/>
      <c r="B46" s="62" t="s">
        <v>3591</v>
      </c>
      <c r="C46" s="30"/>
      <c r="D46" s="62">
        <f t="shared" si="2"/>
        <v>0</v>
      </c>
      <c r="E46" s="10"/>
      <c r="F46" s="177"/>
      <c r="G46" s="180"/>
      <c r="H46" s="180"/>
      <c r="I46" s="10"/>
      <c r="J46" s="30"/>
      <c r="K46" s="200">
        <f t="shared" si="1"/>
        <v>0</v>
      </c>
    </row>
    <row r="47" spans="1:12" x14ac:dyDescent="0.2">
      <c r="A47" s="62"/>
      <c r="B47" s="62" t="s">
        <v>3592</v>
      </c>
      <c r="C47" s="30"/>
      <c r="D47" s="62">
        <f t="shared" si="2"/>
        <v>0</v>
      </c>
      <c r="E47" s="10"/>
      <c r="F47" s="177"/>
      <c r="G47" s="180"/>
      <c r="H47" s="180"/>
      <c r="I47" s="10"/>
      <c r="J47" s="30"/>
      <c r="K47" s="200">
        <f t="shared" si="1"/>
        <v>0</v>
      </c>
    </row>
    <row r="48" spans="1:12" x14ac:dyDescent="0.2">
      <c r="A48" s="62"/>
      <c r="B48" s="62" t="s">
        <v>3593</v>
      </c>
      <c r="C48" s="30"/>
      <c r="D48" s="62">
        <f t="shared" si="2"/>
        <v>0</v>
      </c>
      <c r="E48" s="10"/>
      <c r="F48" s="177"/>
      <c r="G48" s="180"/>
      <c r="H48" s="180"/>
      <c r="I48" s="10"/>
      <c r="J48" s="30"/>
      <c r="K48" s="200">
        <f t="shared" si="1"/>
        <v>0</v>
      </c>
    </row>
    <row r="49" spans="1:11" x14ac:dyDescent="0.2">
      <c r="A49" s="62"/>
      <c r="B49" s="62" t="s">
        <v>3594</v>
      </c>
      <c r="C49" s="30"/>
      <c r="D49" s="62">
        <f t="shared" si="2"/>
        <v>0</v>
      </c>
      <c r="E49" s="10"/>
      <c r="F49" s="177"/>
      <c r="G49" s="180"/>
      <c r="H49" s="180"/>
      <c r="I49" s="10"/>
      <c r="J49" s="30"/>
      <c r="K49" s="200">
        <f t="shared" si="1"/>
        <v>0</v>
      </c>
    </row>
    <row r="50" spans="1:11" x14ac:dyDescent="0.2">
      <c r="A50" s="62"/>
      <c r="B50" s="62" t="s">
        <v>3595</v>
      </c>
      <c r="C50" s="30"/>
      <c r="D50" s="62">
        <f t="shared" si="2"/>
        <v>0</v>
      </c>
      <c r="E50" s="10"/>
      <c r="F50" s="177"/>
      <c r="G50" s="180"/>
      <c r="H50" s="180"/>
      <c r="I50" s="10"/>
      <c r="J50" s="30"/>
      <c r="K50" s="200">
        <f t="shared" si="1"/>
        <v>0</v>
      </c>
    </row>
    <row r="51" spans="1:11" x14ac:dyDescent="0.2">
      <c r="A51" s="62"/>
      <c r="B51" s="62" t="s">
        <v>3596</v>
      </c>
      <c r="C51" s="30"/>
      <c r="D51" s="62">
        <f t="shared" si="2"/>
        <v>0</v>
      </c>
      <c r="E51" s="10"/>
      <c r="F51" s="177"/>
      <c r="G51" s="180"/>
      <c r="H51" s="180"/>
      <c r="I51" s="10"/>
      <c r="J51" s="30"/>
      <c r="K51" s="200">
        <f t="shared" si="1"/>
        <v>0</v>
      </c>
    </row>
    <row r="52" spans="1:11" x14ac:dyDescent="0.2">
      <c r="A52" s="62"/>
      <c r="B52" s="62" t="s">
        <v>3597</v>
      </c>
      <c r="C52" s="30"/>
      <c r="D52" s="62">
        <f t="shared" si="2"/>
        <v>0</v>
      </c>
      <c r="E52" s="10"/>
      <c r="F52" s="177"/>
      <c r="G52" s="180"/>
      <c r="H52" s="180"/>
      <c r="I52" s="10"/>
      <c r="J52" s="30"/>
      <c r="K52" s="200">
        <f t="shared" si="1"/>
        <v>0</v>
      </c>
    </row>
    <row r="53" spans="1:11" x14ac:dyDescent="0.2">
      <c r="A53" s="62"/>
      <c r="B53" s="62" t="s">
        <v>3598</v>
      </c>
      <c r="C53" s="30"/>
      <c r="D53" s="62">
        <f t="shared" si="2"/>
        <v>0</v>
      </c>
      <c r="E53" s="10"/>
      <c r="F53" s="177"/>
      <c r="G53" s="180"/>
      <c r="H53" s="180"/>
      <c r="I53" s="10"/>
      <c r="J53" s="30"/>
      <c r="K53" s="200">
        <f t="shared" si="1"/>
        <v>0</v>
      </c>
    </row>
    <row r="54" spans="1:11" x14ac:dyDescent="0.2">
      <c r="A54" s="62"/>
      <c r="B54" s="62" t="s">
        <v>3599</v>
      </c>
      <c r="C54" s="30"/>
      <c r="D54" s="62">
        <f t="shared" si="2"/>
        <v>0</v>
      </c>
      <c r="E54" s="10"/>
      <c r="F54" s="177"/>
      <c r="G54" s="180"/>
      <c r="H54" s="180"/>
      <c r="I54" s="10"/>
      <c r="J54" s="30"/>
      <c r="K54" s="200">
        <f t="shared" si="1"/>
        <v>0</v>
      </c>
    </row>
    <row r="55" spans="1:11" x14ac:dyDescent="0.2">
      <c r="A55" s="62"/>
      <c r="B55" s="62"/>
      <c r="C55" s="30"/>
      <c r="D55" s="62">
        <f t="shared" si="2"/>
        <v>0</v>
      </c>
      <c r="E55" s="10"/>
      <c r="F55" s="177"/>
      <c r="G55" s="180"/>
      <c r="H55" s="180"/>
      <c r="I55" s="10"/>
      <c r="J55" s="30"/>
      <c r="K55" s="200">
        <f t="shared" si="1"/>
        <v>0</v>
      </c>
    </row>
    <row r="56" spans="1:11" x14ac:dyDescent="0.2">
      <c r="A56" s="62"/>
      <c r="B56" s="62"/>
      <c r="C56" s="30"/>
      <c r="D56" s="62">
        <f t="shared" si="2"/>
        <v>0</v>
      </c>
      <c r="E56" s="10"/>
      <c r="F56" s="177"/>
      <c r="G56" s="180"/>
      <c r="H56" s="180"/>
      <c r="I56" s="10"/>
      <c r="J56" s="30"/>
      <c r="K56" s="200">
        <f t="shared" si="1"/>
        <v>0</v>
      </c>
    </row>
    <row r="57" spans="1:11" x14ac:dyDescent="0.2">
      <c r="A57" s="62"/>
      <c r="B57" s="62" t="s">
        <v>3600</v>
      </c>
      <c r="C57" s="30"/>
      <c r="D57" s="62">
        <f t="shared" si="2"/>
        <v>0</v>
      </c>
      <c r="E57" s="10"/>
      <c r="F57" s="177"/>
      <c r="G57" s="180"/>
      <c r="H57" s="180"/>
      <c r="I57" s="10"/>
      <c r="J57" s="30"/>
      <c r="K57" s="200">
        <f t="shared" si="1"/>
        <v>0</v>
      </c>
    </row>
    <row r="58" spans="1:11" x14ac:dyDescent="0.2">
      <c r="A58" s="62"/>
      <c r="B58" s="62" t="s">
        <v>3601</v>
      </c>
      <c r="C58" s="30"/>
      <c r="D58" s="62">
        <f t="shared" si="2"/>
        <v>0</v>
      </c>
      <c r="E58" s="10"/>
      <c r="F58" s="177"/>
      <c r="G58" s="180"/>
      <c r="H58" s="180"/>
      <c r="I58" s="10"/>
      <c r="J58" s="30"/>
      <c r="K58" s="200">
        <f t="shared" si="1"/>
        <v>0</v>
      </c>
    </row>
    <row r="59" spans="1:11" x14ac:dyDescent="0.2">
      <c r="A59" s="62"/>
      <c r="B59" s="62" t="s">
        <v>3602</v>
      </c>
      <c r="C59" s="30"/>
      <c r="D59" s="62">
        <f t="shared" si="2"/>
        <v>0</v>
      </c>
      <c r="E59" s="10"/>
      <c r="F59" s="177"/>
      <c r="G59" s="180"/>
      <c r="H59" s="180"/>
      <c r="I59" s="10"/>
      <c r="J59" s="30"/>
      <c r="K59" s="200">
        <f t="shared" si="1"/>
        <v>0</v>
      </c>
    </row>
    <row r="60" spans="1:11" x14ac:dyDescent="0.2">
      <c r="A60" s="62"/>
      <c r="B60" s="62"/>
      <c r="C60" s="30"/>
      <c r="D60" s="62">
        <f t="shared" si="2"/>
        <v>0</v>
      </c>
      <c r="E60" s="10"/>
      <c r="F60" s="177"/>
      <c r="G60" s="180"/>
      <c r="H60" s="180"/>
      <c r="I60" s="10"/>
      <c r="J60" s="30"/>
      <c r="K60" s="200">
        <f t="shared" si="1"/>
        <v>0</v>
      </c>
    </row>
    <row r="61" spans="1:11" x14ac:dyDescent="0.2">
      <c r="A61" s="62"/>
      <c r="B61" s="62"/>
      <c r="C61" s="30"/>
      <c r="D61" s="62">
        <f t="shared" si="2"/>
        <v>0</v>
      </c>
      <c r="E61" s="10"/>
      <c r="F61" s="177"/>
      <c r="G61" s="180"/>
      <c r="H61" s="180"/>
      <c r="I61" s="10"/>
      <c r="J61" s="30"/>
      <c r="K61" s="200">
        <f t="shared" si="1"/>
        <v>0</v>
      </c>
    </row>
    <row r="62" spans="1:11" x14ac:dyDescent="0.2">
      <c r="A62" s="62"/>
      <c r="B62" s="62" t="s">
        <v>3603</v>
      </c>
      <c r="C62" s="30"/>
      <c r="D62" s="62">
        <f t="shared" si="2"/>
        <v>0</v>
      </c>
      <c r="E62" s="10"/>
      <c r="F62" s="177"/>
      <c r="G62" s="180"/>
      <c r="H62" s="180"/>
      <c r="I62" s="10"/>
      <c r="J62" s="30"/>
      <c r="K62" s="200">
        <f t="shared" ref="K62:K77" si="6">H62</f>
        <v>0</v>
      </c>
    </row>
    <row r="63" spans="1:11" x14ac:dyDescent="0.2">
      <c r="A63" s="62"/>
      <c r="B63" s="62" t="s">
        <v>3604</v>
      </c>
      <c r="C63" s="30"/>
      <c r="D63" s="62">
        <f t="shared" si="2"/>
        <v>0</v>
      </c>
      <c r="E63" s="10"/>
      <c r="F63" s="177"/>
      <c r="G63" s="180"/>
      <c r="H63" s="180"/>
      <c r="I63" s="10"/>
      <c r="J63" s="30"/>
      <c r="K63" s="200">
        <f t="shared" ref="K63:K64" si="7">H63</f>
        <v>0</v>
      </c>
    </row>
    <row r="64" spans="1:11" x14ac:dyDescent="0.2">
      <c r="A64" s="62"/>
      <c r="B64" s="62" t="s">
        <v>3605</v>
      </c>
      <c r="C64" s="30"/>
      <c r="D64" s="62">
        <f t="shared" si="2"/>
        <v>0</v>
      </c>
      <c r="E64" s="10"/>
      <c r="F64" s="177"/>
      <c r="G64" s="180"/>
      <c r="H64" s="180"/>
      <c r="I64" s="10"/>
      <c r="J64" s="30"/>
      <c r="K64" s="200">
        <f t="shared" si="7"/>
        <v>0</v>
      </c>
    </row>
    <row r="65" spans="1:12" x14ac:dyDescent="0.2">
      <c r="A65" s="10"/>
      <c r="B65" s="62"/>
      <c r="C65" s="30"/>
      <c r="D65" s="62">
        <f t="shared" si="2"/>
        <v>0</v>
      </c>
      <c r="E65" s="10"/>
      <c r="F65" s="177"/>
      <c r="G65" s="180"/>
      <c r="H65" s="180"/>
      <c r="I65" s="10"/>
      <c r="J65" s="30"/>
      <c r="K65" s="200">
        <f t="shared" si="6"/>
        <v>0</v>
      </c>
      <c r="L65" s="182"/>
    </row>
    <row r="66" spans="1:12" x14ac:dyDescent="0.2">
      <c r="A66" s="62"/>
      <c r="B66" s="62"/>
      <c r="C66" s="30"/>
      <c r="D66" s="62">
        <f t="shared" si="2"/>
        <v>0</v>
      </c>
      <c r="E66" s="10"/>
      <c r="F66" s="177"/>
      <c r="G66" s="180"/>
      <c r="H66" s="180"/>
      <c r="I66" s="10"/>
      <c r="J66" s="30"/>
      <c r="K66" s="200">
        <f t="shared" si="6"/>
        <v>0</v>
      </c>
    </row>
    <row r="67" spans="1:12" x14ac:dyDescent="0.2">
      <c r="A67" s="62"/>
      <c r="B67" s="62" t="s">
        <v>3606</v>
      </c>
      <c r="C67" s="30"/>
      <c r="D67" s="62">
        <f t="shared" si="2"/>
        <v>0</v>
      </c>
      <c r="E67" s="10"/>
      <c r="F67" s="177"/>
      <c r="G67" s="180"/>
      <c r="H67" s="180"/>
      <c r="I67" s="10"/>
      <c r="J67" s="30"/>
      <c r="K67" s="200">
        <f t="shared" si="6"/>
        <v>0</v>
      </c>
    </row>
    <row r="68" spans="1:12" x14ac:dyDescent="0.2">
      <c r="A68" s="10"/>
      <c r="B68" s="62" t="s">
        <v>3607</v>
      </c>
      <c r="C68" s="30"/>
      <c r="D68" s="62">
        <f t="shared" si="2"/>
        <v>0</v>
      </c>
      <c r="E68" s="10"/>
      <c r="F68" s="177"/>
      <c r="G68" s="180"/>
      <c r="H68" s="180"/>
      <c r="I68" s="10"/>
      <c r="J68" s="30"/>
      <c r="K68" s="200">
        <f t="shared" si="6"/>
        <v>0</v>
      </c>
    </row>
    <row r="69" spans="1:12" x14ac:dyDescent="0.2">
      <c r="A69" s="10"/>
      <c r="B69" s="62" t="s">
        <v>3608</v>
      </c>
      <c r="C69" s="30"/>
      <c r="D69" s="62">
        <f t="shared" si="2"/>
        <v>0</v>
      </c>
      <c r="E69" s="10"/>
      <c r="F69" s="177"/>
      <c r="G69" s="180"/>
      <c r="H69" s="180"/>
      <c r="I69" s="10"/>
      <c r="J69" s="30"/>
      <c r="K69" s="200">
        <f t="shared" si="6"/>
        <v>0</v>
      </c>
    </row>
    <row r="70" spans="1:12" x14ac:dyDescent="0.2">
      <c r="A70" s="62"/>
      <c r="B70" s="62" t="s">
        <v>3609</v>
      </c>
      <c r="C70" s="30"/>
      <c r="D70" s="62">
        <f t="shared" si="2"/>
        <v>0</v>
      </c>
      <c r="E70" s="10"/>
      <c r="F70" s="177"/>
      <c r="G70" s="180"/>
      <c r="H70" s="180"/>
      <c r="I70" s="10"/>
      <c r="J70" s="30"/>
      <c r="K70" s="200">
        <f t="shared" si="6"/>
        <v>0</v>
      </c>
    </row>
    <row r="71" spans="1:12" x14ac:dyDescent="0.2">
      <c r="A71" s="10"/>
      <c r="B71" s="62" t="s">
        <v>3610</v>
      </c>
      <c r="C71" s="30"/>
      <c r="D71" s="62">
        <f t="shared" si="2"/>
        <v>0</v>
      </c>
      <c r="E71" s="10"/>
      <c r="F71" s="177"/>
      <c r="G71" s="180"/>
      <c r="H71" s="180"/>
      <c r="I71" s="10"/>
      <c r="J71" s="30"/>
      <c r="K71" s="200">
        <f t="shared" si="6"/>
        <v>0</v>
      </c>
    </row>
    <row r="72" spans="1:12" x14ac:dyDescent="0.2">
      <c r="A72" s="62"/>
      <c r="B72" s="62" t="s">
        <v>3611</v>
      </c>
      <c r="C72" s="30"/>
      <c r="D72" s="62">
        <f t="shared" si="2"/>
        <v>0</v>
      </c>
      <c r="E72" s="10"/>
      <c r="F72" s="177"/>
      <c r="G72" s="180"/>
      <c r="H72" s="180"/>
      <c r="I72" s="10"/>
      <c r="J72" s="30"/>
      <c r="K72" s="200">
        <f t="shared" si="6"/>
        <v>0</v>
      </c>
    </row>
    <row r="73" spans="1:12" x14ac:dyDescent="0.2">
      <c r="A73" s="10"/>
      <c r="B73" s="62" t="s">
        <v>3612</v>
      </c>
      <c r="C73" s="30"/>
      <c r="D73" s="62">
        <f t="shared" si="2"/>
        <v>0</v>
      </c>
      <c r="E73" s="10"/>
      <c r="F73" s="177"/>
      <c r="G73" s="180"/>
      <c r="H73" s="180"/>
      <c r="I73" s="10"/>
      <c r="J73" s="30"/>
      <c r="K73" s="200">
        <f t="shared" si="6"/>
        <v>0</v>
      </c>
    </row>
    <row r="74" spans="1:12" x14ac:dyDescent="0.2">
      <c r="A74" s="58"/>
      <c r="B74" s="62" t="s">
        <v>3613</v>
      </c>
      <c r="C74" s="30"/>
      <c r="D74" s="56">
        <f t="shared" ref="D74:D75" si="8">A74</f>
        <v>0</v>
      </c>
      <c r="E74" s="10"/>
      <c r="F74" s="177"/>
      <c r="G74" s="180"/>
      <c r="H74" s="180"/>
      <c r="I74" s="10"/>
      <c r="J74" s="30"/>
      <c r="K74" s="201">
        <f t="shared" ref="K74:K75" si="9">H74</f>
        <v>0</v>
      </c>
    </row>
    <row r="75" spans="1:12" x14ac:dyDescent="0.2">
      <c r="A75" s="56"/>
      <c r="B75" s="62" t="s">
        <v>3614</v>
      </c>
      <c r="C75" s="30"/>
      <c r="D75" s="56">
        <f t="shared" si="8"/>
        <v>0</v>
      </c>
      <c r="E75" s="10"/>
      <c r="F75" s="177"/>
      <c r="G75" s="180"/>
      <c r="H75" s="180"/>
      <c r="I75" s="10"/>
      <c r="J75" s="30"/>
      <c r="K75" s="201">
        <f t="shared" si="9"/>
        <v>0</v>
      </c>
    </row>
    <row r="76" spans="1:12" x14ac:dyDescent="0.2">
      <c r="A76" s="10"/>
      <c r="B76" s="62" t="s">
        <v>3615</v>
      </c>
      <c r="C76" s="30"/>
      <c r="D76" s="62">
        <f t="shared" si="2"/>
        <v>0</v>
      </c>
      <c r="E76" s="10"/>
      <c r="F76" s="177"/>
      <c r="G76" s="180"/>
      <c r="H76" s="180"/>
      <c r="I76" s="10"/>
      <c r="J76" s="30"/>
      <c r="K76" s="200">
        <f t="shared" si="6"/>
        <v>0</v>
      </c>
    </row>
    <row r="77" spans="1:12" x14ac:dyDescent="0.2">
      <c r="A77" s="10"/>
      <c r="B77" s="62" t="s">
        <v>3616</v>
      </c>
      <c r="C77" s="30"/>
      <c r="D77" s="62">
        <f t="shared" ref="D77:D81" si="10">A77</f>
        <v>0</v>
      </c>
      <c r="E77" s="10"/>
      <c r="F77" s="177"/>
      <c r="G77" s="180"/>
      <c r="H77" s="180"/>
      <c r="I77" s="10"/>
      <c r="J77" s="30"/>
      <c r="K77" s="200">
        <f t="shared" si="6"/>
        <v>0</v>
      </c>
    </row>
    <row r="78" spans="1:12" x14ac:dyDescent="0.2">
      <c r="A78" s="10"/>
      <c r="B78" s="62" t="s">
        <v>3617</v>
      </c>
      <c r="C78" s="30"/>
      <c r="D78" s="62">
        <f t="shared" si="10"/>
        <v>0</v>
      </c>
      <c r="E78" s="10"/>
      <c r="F78" s="177"/>
      <c r="G78" s="180"/>
      <c r="H78" s="180"/>
      <c r="I78" s="10"/>
      <c r="J78" s="30"/>
      <c r="K78" s="200">
        <f t="shared" ref="K78:K81" si="11">H78</f>
        <v>0</v>
      </c>
    </row>
    <row r="79" spans="1:12" x14ac:dyDescent="0.2">
      <c r="A79" s="62"/>
      <c r="B79" s="62" t="s">
        <v>3618</v>
      </c>
      <c r="C79" s="30"/>
      <c r="D79" s="62">
        <f t="shared" si="10"/>
        <v>0</v>
      </c>
      <c r="E79" s="10"/>
      <c r="F79" s="177"/>
      <c r="G79" s="180"/>
      <c r="H79" s="180"/>
      <c r="I79" s="10"/>
      <c r="J79" s="30"/>
      <c r="K79" s="200">
        <f t="shared" si="11"/>
        <v>0</v>
      </c>
    </row>
    <row r="80" spans="1:12" x14ac:dyDescent="0.2">
      <c r="A80" s="10"/>
      <c r="B80" s="62" t="s">
        <v>3619</v>
      </c>
      <c r="C80" s="30"/>
      <c r="D80" s="62">
        <f t="shared" si="10"/>
        <v>0</v>
      </c>
      <c r="E80" s="10"/>
      <c r="F80" s="177"/>
      <c r="G80" s="180"/>
      <c r="H80" s="180"/>
      <c r="I80" s="10"/>
      <c r="J80" s="30"/>
      <c r="K80" s="200">
        <f t="shared" si="11"/>
        <v>0</v>
      </c>
    </row>
    <row r="81" spans="1:11" x14ac:dyDescent="0.2">
      <c r="A81" s="10"/>
      <c r="B81" s="62" t="s">
        <v>3620</v>
      </c>
      <c r="C81" s="30"/>
      <c r="D81" s="62">
        <f t="shared" si="10"/>
        <v>0</v>
      </c>
      <c r="E81" s="10"/>
      <c r="F81" s="177"/>
      <c r="G81" s="180"/>
      <c r="H81" s="180"/>
      <c r="I81" s="10"/>
      <c r="J81" s="30"/>
      <c r="K81" s="200">
        <f t="shared" si="11"/>
        <v>0</v>
      </c>
    </row>
    <row r="82" spans="1:11" ht="24.75" customHeight="1" thickBot="1" x14ac:dyDescent="0.25">
      <c r="A82" s="304" t="s">
        <v>10</v>
      </c>
      <c r="B82" s="305"/>
      <c r="C82" s="305"/>
      <c r="D82" s="305"/>
      <c r="E82" s="305"/>
      <c r="F82" s="305"/>
      <c r="G82" s="306"/>
      <c r="H82" s="202">
        <f>SUM(H9:H81)</f>
        <v>325000</v>
      </c>
      <c r="I82" s="317" t="s">
        <v>10</v>
      </c>
      <c r="J82" s="318"/>
      <c r="K82" s="202">
        <f>SUM(K9:K81)</f>
        <v>325000</v>
      </c>
    </row>
    <row r="83" spans="1:11" ht="11.25" customHeight="1" x14ac:dyDescent="0.2">
      <c r="A83" s="181"/>
      <c r="B83" s="181"/>
      <c r="C83" s="181"/>
      <c r="D83" s="181"/>
      <c r="E83" s="181"/>
      <c r="F83" s="181"/>
      <c r="G83" s="181"/>
      <c r="H83" s="203"/>
      <c r="I83" s="203"/>
      <c r="J83" s="203"/>
      <c r="K83" s="203"/>
    </row>
    <row r="84" spans="1:11" x14ac:dyDescent="0.2">
      <c r="G84" s="1" t="s">
        <v>3459</v>
      </c>
      <c r="H84" s="182">
        <v>325000</v>
      </c>
    </row>
    <row r="85" spans="1:11" ht="12" x14ac:dyDescent="0.2">
      <c r="A85" s="299"/>
      <c r="B85" s="299"/>
      <c r="C85" s="299"/>
      <c r="D85" s="299"/>
      <c r="E85" s="191"/>
      <c r="F85" s="191"/>
      <c r="G85" s="183"/>
      <c r="H85" s="204">
        <f>H84-H82</f>
        <v>0</v>
      </c>
      <c r="I85" s="299"/>
      <c r="J85" s="299"/>
      <c r="K85" s="299"/>
    </row>
    <row r="86" spans="1:11" ht="12" x14ac:dyDescent="0.2">
      <c r="A86" s="191"/>
      <c r="B86" s="191"/>
      <c r="C86" s="191"/>
      <c r="D86" s="191"/>
      <c r="E86" s="191"/>
      <c r="F86" s="191"/>
      <c r="G86" s="183"/>
      <c r="H86" s="204"/>
      <c r="I86" s="191"/>
      <c r="J86" s="191"/>
      <c r="K86" s="191"/>
    </row>
    <row r="87" spans="1:11" ht="12" x14ac:dyDescent="0.2">
      <c r="A87" s="191"/>
      <c r="B87" s="191"/>
      <c r="C87" s="191"/>
      <c r="D87" s="191"/>
      <c r="E87" s="191"/>
      <c r="F87" s="191"/>
      <c r="G87" s="183"/>
      <c r="H87" s="204"/>
      <c r="I87" s="191"/>
      <c r="J87" s="191"/>
      <c r="K87" s="191"/>
    </row>
    <row r="88" spans="1:11" ht="12" x14ac:dyDescent="0.2">
      <c r="A88" s="191"/>
      <c r="B88" s="191"/>
      <c r="C88" s="191"/>
      <c r="D88" s="191"/>
      <c r="E88" s="191"/>
      <c r="F88" s="191"/>
      <c r="G88" s="183"/>
      <c r="H88" s="204"/>
      <c r="I88" s="191"/>
      <c r="J88" s="191"/>
      <c r="K88" s="191"/>
    </row>
    <row r="89" spans="1:11" ht="12" x14ac:dyDescent="0.2">
      <c r="A89" s="191"/>
      <c r="B89" s="191"/>
      <c r="C89" s="191"/>
      <c r="D89" s="191"/>
      <c r="E89" s="191"/>
      <c r="F89" s="191"/>
      <c r="G89" s="183"/>
      <c r="H89" s="204"/>
      <c r="I89" s="191"/>
      <c r="J89" s="191"/>
      <c r="K89" s="191"/>
    </row>
    <row r="90" spans="1:11" ht="12" x14ac:dyDescent="0.2">
      <c r="A90" s="191"/>
      <c r="B90" s="191"/>
      <c r="C90" s="191"/>
      <c r="D90" s="191"/>
      <c r="E90" s="191"/>
      <c r="F90" s="191"/>
      <c r="G90" s="183"/>
      <c r="H90" s="204"/>
      <c r="I90" s="191"/>
      <c r="J90" s="191"/>
      <c r="K90" s="191"/>
    </row>
    <row r="91" spans="1:11" ht="12" x14ac:dyDescent="0.2">
      <c r="A91" s="191"/>
      <c r="B91" s="191"/>
      <c r="C91" s="191"/>
      <c r="D91" s="191"/>
      <c r="E91" s="191"/>
      <c r="F91" s="191"/>
      <c r="G91" s="183"/>
      <c r="H91" s="204"/>
      <c r="I91" s="191"/>
      <c r="J91" s="191"/>
      <c r="K91" s="191"/>
    </row>
    <row r="92" spans="1:11" ht="12" x14ac:dyDescent="0.2">
      <c r="A92" s="191"/>
      <c r="B92" s="191"/>
      <c r="C92" s="191"/>
      <c r="D92" s="191"/>
      <c r="E92" s="191"/>
      <c r="F92" s="191"/>
      <c r="G92" s="183"/>
      <c r="H92" s="204"/>
      <c r="I92" s="191"/>
      <c r="J92" s="191"/>
      <c r="K92" s="191"/>
    </row>
    <row r="93" spans="1:11" ht="12" x14ac:dyDescent="0.2">
      <c r="A93" s="191"/>
      <c r="B93" s="191"/>
      <c r="C93" s="191"/>
      <c r="D93" s="191"/>
      <c r="E93" s="191"/>
      <c r="F93" s="191"/>
      <c r="G93" s="183"/>
      <c r="H93" s="204"/>
      <c r="I93" s="191"/>
      <c r="J93" s="191"/>
      <c r="K93" s="191"/>
    </row>
    <row r="94" spans="1:11" ht="12" x14ac:dyDescent="0.2">
      <c r="A94" s="191"/>
      <c r="B94" s="191"/>
      <c r="C94" s="191"/>
      <c r="D94" s="191"/>
      <c r="E94" s="191"/>
      <c r="F94" s="191"/>
      <c r="G94" s="183"/>
      <c r="H94" s="204"/>
      <c r="I94" s="191"/>
      <c r="J94" s="191"/>
      <c r="K94" s="191"/>
    </row>
    <row r="95" spans="1:11" ht="12" x14ac:dyDescent="0.2">
      <c r="A95" s="191"/>
      <c r="B95" s="191"/>
      <c r="C95" s="191"/>
      <c r="D95" s="191"/>
      <c r="E95" s="191"/>
      <c r="F95" s="191"/>
      <c r="G95" s="183"/>
      <c r="H95" s="204"/>
      <c r="I95" s="191"/>
      <c r="J95" s="191"/>
      <c r="K95" s="191"/>
    </row>
    <row r="96" spans="1:11" ht="12" x14ac:dyDescent="0.2">
      <c r="A96" s="191"/>
      <c r="B96" s="191"/>
      <c r="C96" s="191"/>
      <c r="D96" s="191"/>
      <c r="E96" s="191"/>
      <c r="F96" s="191"/>
      <c r="G96" s="183"/>
      <c r="H96" s="204"/>
      <c r="I96" s="191"/>
      <c r="J96" s="191"/>
      <c r="K96" s="191"/>
    </row>
    <row r="97" spans="1:12" ht="12" x14ac:dyDescent="0.2">
      <c r="A97" s="191"/>
      <c r="B97" s="191"/>
      <c r="C97" s="191"/>
      <c r="D97" s="191"/>
      <c r="E97" s="191"/>
      <c r="F97" s="191"/>
      <c r="G97" s="183"/>
      <c r="H97" s="204"/>
      <c r="I97" s="191"/>
      <c r="J97" s="191"/>
      <c r="K97" s="191"/>
    </row>
    <row r="98" spans="1:12" ht="12" x14ac:dyDescent="0.2">
      <c r="A98" s="191"/>
      <c r="B98" s="191"/>
      <c r="C98" s="191"/>
      <c r="D98" s="191"/>
      <c r="E98" s="191"/>
      <c r="F98" s="191"/>
      <c r="G98" s="183"/>
      <c r="H98" s="204"/>
      <c r="I98" s="191"/>
      <c r="J98" s="191"/>
      <c r="K98" s="191"/>
    </row>
    <row r="99" spans="1:12" ht="12.75" x14ac:dyDescent="0.2">
      <c r="A99" s="199" t="s">
        <v>0</v>
      </c>
      <c r="B99" s="192"/>
      <c r="C99" s="128"/>
      <c r="D99" s="192"/>
      <c r="E99" s="192"/>
      <c r="F99" s="192"/>
      <c r="G99" s="128"/>
      <c r="H99" s="128"/>
      <c r="I99" s="192"/>
      <c r="J99" s="128"/>
      <c r="K99" s="128"/>
    </row>
    <row r="100" spans="1:12" ht="12.75" x14ac:dyDescent="0.2">
      <c r="A100" s="199" t="s">
        <v>1</v>
      </c>
      <c r="B100" s="192"/>
      <c r="C100" s="128"/>
      <c r="D100" s="192"/>
      <c r="E100" s="192"/>
      <c r="F100" s="192"/>
      <c r="G100" s="128"/>
      <c r="H100" s="128"/>
      <c r="I100" s="192"/>
      <c r="J100" s="128"/>
      <c r="K100" s="128"/>
    </row>
    <row r="101" spans="1:12" ht="12.75" x14ac:dyDescent="0.2">
      <c r="A101" s="313" t="s">
        <v>3259</v>
      </c>
      <c r="B101" s="313"/>
      <c r="C101" s="313"/>
      <c r="D101" s="313"/>
      <c r="E101" s="313"/>
      <c r="F101" s="313"/>
      <c r="G101" s="313"/>
      <c r="H101" s="313"/>
      <c r="I101" s="313"/>
      <c r="J101" s="313"/>
      <c r="K101" s="313"/>
    </row>
    <row r="102" spans="1:12" ht="12.75" x14ac:dyDescent="0.2">
      <c r="A102" s="313" t="s">
        <v>3453</v>
      </c>
      <c r="B102" s="313"/>
      <c r="C102" s="313"/>
      <c r="D102" s="313"/>
      <c r="E102" s="313"/>
      <c r="F102" s="313"/>
      <c r="G102" s="313"/>
      <c r="H102" s="313"/>
      <c r="I102" s="313"/>
      <c r="J102" s="313"/>
      <c r="K102" s="313"/>
    </row>
    <row r="103" spans="1:12" x14ac:dyDescent="0.2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</row>
    <row r="104" spans="1:12" x14ac:dyDescent="0.2">
      <c r="A104" s="287" t="s">
        <v>3260</v>
      </c>
      <c r="B104" s="288"/>
      <c r="C104" s="289" t="s">
        <v>8</v>
      </c>
      <c r="D104" s="287" t="s">
        <v>3261</v>
      </c>
      <c r="E104" s="288"/>
      <c r="F104" s="308" t="s">
        <v>76</v>
      </c>
      <c r="G104" s="309"/>
      <c r="H104" s="310"/>
      <c r="I104" s="308" t="s">
        <v>5</v>
      </c>
      <c r="J104" s="309"/>
      <c r="K104" s="310"/>
    </row>
    <row r="105" spans="1:12" x14ac:dyDescent="0.2">
      <c r="A105" s="289" t="s">
        <v>7</v>
      </c>
      <c r="B105" s="289" t="s">
        <v>16</v>
      </c>
      <c r="C105" s="290"/>
      <c r="D105" s="292" t="s">
        <v>7</v>
      </c>
      <c r="E105" s="292" t="s">
        <v>3262</v>
      </c>
      <c r="F105" s="292" t="s">
        <v>3252</v>
      </c>
      <c r="G105" s="292" t="s">
        <v>3251</v>
      </c>
      <c r="H105" s="292" t="s">
        <v>3452</v>
      </c>
      <c r="I105" s="292" t="s">
        <v>3252</v>
      </c>
      <c r="J105" s="292" t="s">
        <v>3251</v>
      </c>
      <c r="K105" s="292" t="s">
        <v>3452</v>
      </c>
    </row>
    <row r="106" spans="1:12" x14ac:dyDescent="0.2">
      <c r="A106" s="291"/>
      <c r="B106" s="291"/>
      <c r="C106" s="291"/>
      <c r="D106" s="294"/>
      <c r="E106" s="294"/>
      <c r="F106" s="294"/>
      <c r="G106" s="294"/>
      <c r="H106" s="294"/>
      <c r="I106" s="294"/>
      <c r="J106" s="294"/>
      <c r="K106" s="294"/>
    </row>
    <row r="107" spans="1:12" x14ac:dyDescent="0.2">
      <c r="A107" s="176"/>
      <c r="B107" s="176"/>
      <c r="C107" s="168"/>
      <c r="D107" s="10"/>
      <c r="E107" s="6"/>
      <c r="F107" s="178"/>
      <c r="G107" s="179"/>
      <c r="H107" s="179"/>
      <c r="I107" s="10"/>
      <c r="J107" s="30"/>
      <c r="K107" s="200">
        <f>H107</f>
        <v>0</v>
      </c>
    </row>
    <row r="108" spans="1:12" x14ac:dyDescent="0.2">
      <c r="A108" s="62"/>
      <c r="B108" s="62"/>
      <c r="C108" s="30"/>
      <c r="D108" s="10"/>
      <c r="E108" s="10"/>
      <c r="F108" s="177"/>
      <c r="G108" s="180"/>
      <c r="H108" s="180"/>
      <c r="I108" s="10"/>
      <c r="J108" s="30"/>
      <c r="K108" s="200">
        <f t="shared" ref="K108:K174" si="12">H108</f>
        <v>0</v>
      </c>
    </row>
    <row r="109" spans="1:12" x14ac:dyDescent="0.2">
      <c r="A109" s="62"/>
      <c r="B109" s="62"/>
      <c r="C109" s="30"/>
      <c r="D109" s="10"/>
      <c r="E109" s="10"/>
      <c r="F109" s="177"/>
      <c r="G109" s="180"/>
      <c r="H109" s="180"/>
      <c r="I109" s="10"/>
      <c r="J109" s="30"/>
      <c r="K109" s="200">
        <f t="shared" si="12"/>
        <v>0</v>
      </c>
      <c r="L109" s="188"/>
    </row>
    <row r="110" spans="1:12" x14ac:dyDescent="0.2">
      <c r="A110" s="62"/>
      <c r="B110" s="62"/>
      <c r="C110" s="30"/>
      <c r="D110" s="10"/>
      <c r="E110" s="10"/>
      <c r="F110" s="177"/>
      <c r="G110" s="180"/>
      <c r="H110" s="180"/>
      <c r="I110" s="10"/>
      <c r="J110" s="30"/>
      <c r="K110" s="200">
        <f t="shared" si="12"/>
        <v>0</v>
      </c>
    </row>
    <row r="111" spans="1:12" x14ac:dyDescent="0.2">
      <c r="A111" s="62"/>
      <c r="B111" s="62"/>
      <c r="C111" s="30"/>
      <c r="D111" s="10"/>
      <c r="E111" s="10"/>
      <c r="F111" s="177"/>
      <c r="G111" s="180"/>
      <c r="H111" s="180"/>
      <c r="I111" s="10"/>
      <c r="J111" s="30"/>
      <c r="K111" s="200">
        <f t="shared" si="12"/>
        <v>0</v>
      </c>
    </row>
    <row r="112" spans="1:12" x14ac:dyDescent="0.2">
      <c r="A112" s="62"/>
      <c r="B112" s="62"/>
      <c r="C112" s="30"/>
      <c r="D112" s="10"/>
      <c r="E112" s="10"/>
      <c r="F112" s="177"/>
      <c r="G112" s="180"/>
      <c r="H112" s="180"/>
      <c r="I112" s="10"/>
      <c r="J112" s="30"/>
      <c r="K112" s="200">
        <f t="shared" si="12"/>
        <v>0</v>
      </c>
      <c r="L112" s="182"/>
    </row>
    <row r="113" spans="1:12" x14ac:dyDescent="0.2">
      <c r="A113" s="62"/>
      <c r="B113" s="62"/>
      <c r="C113" s="30"/>
      <c r="D113" s="10"/>
      <c r="E113" s="10"/>
      <c r="F113" s="177"/>
      <c r="G113" s="180"/>
      <c r="H113" s="180"/>
      <c r="I113" s="10"/>
      <c r="J113" s="30"/>
      <c r="K113" s="200">
        <f t="shared" si="12"/>
        <v>0</v>
      </c>
    </row>
    <row r="114" spans="1:12" x14ac:dyDescent="0.2">
      <c r="A114" s="62"/>
      <c r="B114" s="62"/>
      <c r="C114" s="30"/>
      <c r="D114" s="10"/>
      <c r="E114" s="10"/>
      <c r="F114" s="177"/>
      <c r="G114" s="180"/>
      <c r="H114" s="180"/>
      <c r="I114" s="10"/>
      <c r="J114" s="30"/>
      <c r="K114" s="200">
        <f t="shared" si="12"/>
        <v>0</v>
      </c>
    </row>
    <row r="115" spans="1:12" x14ac:dyDescent="0.2">
      <c r="A115" s="62"/>
      <c r="B115" s="62"/>
      <c r="C115" s="30"/>
      <c r="D115" s="10"/>
      <c r="E115" s="10"/>
      <c r="F115" s="177"/>
      <c r="G115" s="180"/>
      <c r="H115" s="180"/>
      <c r="I115" s="10"/>
      <c r="J115" s="30"/>
      <c r="K115" s="200">
        <f t="shared" si="12"/>
        <v>0</v>
      </c>
      <c r="L115" s="182"/>
    </row>
    <row r="116" spans="1:12" x14ac:dyDescent="0.2">
      <c r="A116" s="62"/>
      <c r="B116" s="62"/>
      <c r="C116" s="30"/>
      <c r="D116" s="10"/>
      <c r="E116" s="10"/>
      <c r="F116" s="177"/>
      <c r="G116" s="180"/>
      <c r="H116" s="180"/>
      <c r="I116" s="10"/>
      <c r="J116" s="30"/>
      <c r="K116" s="200">
        <f t="shared" si="12"/>
        <v>0</v>
      </c>
    </row>
    <row r="117" spans="1:12" x14ac:dyDescent="0.2">
      <c r="A117" s="62"/>
      <c r="B117" s="62"/>
      <c r="C117" s="30"/>
      <c r="D117" s="10"/>
      <c r="E117" s="10"/>
      <c r="F117" s="177"/>
      <c r="G117" s="180"/>
      <c r="H117" s="180"/>
      <c r="I117" s="10"/>
      <c r="J117" s="30"/>
      <c r="K117" s="200">
        <f t="shared" si="12"/>
        <v>0</v>
      </c>
    </row>
    <row r="118" spans="1:12" x14ac:dyDescent="0.2">
      <c r="A118" s="62"/>
      <c r="B118" s="62"/>
      <c r="C118" s="30"/>
      <c r="D118" s="10"/>
      <c r="E118" s="10"/>
      <c r="F118" s="177"/>
      <c r="G118" s="180"/>
      <c r="H118" s="180"/>
      <c r="I118" s="10"/>
      <c r="J118" s="30"/>
      <c r="K118" s="200">
        <f t="shared" si="12"/>
        <v>0</v>
      </c>
    </row>
    <row r="119" spans="1:12" x14ac:dyDescent="0.2">
      <c r="A119" s="62"/>
      <c r="B119" s="62"/>
      <c r="C119" s="30"/>
      <c r="D119" s="10"/>
      <c r="E119" s="10"/>
      <c r="F119" s="177"/>
      <c r="G119" s="180"/>
      <c r="H119" s="180"/>
      <c r="I119" s="10"/>
      <c r="J119" s="30"/>
      <c r="K119" s="200">
        <f t="shared" si="12"/>
        <v>0</v>
      </c>
    </row>
    <row r="120" spans="1:12" x14ac:dyDescent="0.2">
      <c r="A120" s="62"/>
      <c r="B120" s="62"/>
      <c r="C120" s="30"/>
      <c r="D120" s="10"/>
      <c r="E120" s="10"/>
      <c r="F120" s="177"/>
      <c r="G120" s="180"/>
      <c r="H120" s="180"/>
      <c r="I120" s="10"/>
      <c r="J120" s="30"/>
      <c r="K120" s="200">
        <f t="shared" si="12"/>
        <v>0</v>
      </c>
    </row>
    <row r="121" spans="1:12" x14ac:dyDescent="0.2">
      <c r="A121" s="62"/>
      <c r="B121" s="62"/>
      <c r="C121" s="30"/>
      <c r="D121" s="10"/>
      <c r="E121" s="10"/>
      <c r="F121" s="177"/>
      <c r="G121" s="180"/>
      <c r="H121" s="180"/>
      <c r="I121" s="10"/>
      <c r="J121" s="30"/>
      <c r="K121" s="200">
        <f t="shared" si="12"/>
        <v>0</v>
      </c>
    </row>
    <row r="122" spans="1:12" x14ac:dyDescent="0.2">
      <c r="A122" s="62"/>
      <c r="B122" s="62"/>
      <c r="C122" s="30"/>
      <c r="D122" s="10"/>
      <c r="E122" s="10"/>
      <c r="F122" s="177"/>
      <c r="G122" s="180"/>
      <c r="H122" s="180"/>
      <c r="I122" s="10"/>
      <c r="J122" s="30"/>
      <c r="K122" s="200">
        <f t="shared" si="12"/>
        <v>0</v>
      </c>
    </row>
    <row r="123" spans="1:12" x14ac:dyDescent="0.2">
      <c r="A123" s="62"/>
      <c r="B123" s="62"/>
      <c r="C123" s="30"/>
      <c r="D123" s="10"/>
      <c r="E123" s="10"/>
      <c r="F123" s="177"/>
      <c r="G123" s="180"/>
      <c r="H123" s="180"/>
      <c r="I123" s="10"/>
      <c r="J123" s="30"/>
      <c r="K123" s="200">
        <f t="shared" si="12"/>
        <v>0</v>
      </c>
    </row>
    <row r="124" spans="1:12" x14ac:dyDescent="0.2">
      <c r="A124" s="62"/>
      <c r="B124" s="62"/>
      <c r="C124" s="30"/>
      <c r="D124" s="10"/>
      <c r="E124" s="10"/>
      <c r="F124" s="177"/>
      <c r="G124" s="180"/>
      <c r="H124" s="180"/>
      <c r="I124" s="10"/>
      <c r="J124" s="30"/>
      <c r="K124" s="200">
        <f t="shared" si="12"/>
        <v>0</v>
      </c>
    </row>
    <row r="125" spans="1:12" x14ac:dyDescent="0.2">
      <c r="A125" s="62"/>
      <c r="B125" s="62"/>
      <c r="C125" s="30"/>
      <c r="D125" s="10"/>
      <c r="E125" s="10"/>
      <c r="F125" s="177"/>
      <c r="G125" s="180"/>
      <c r="H125" s="180"/>
      <c r="I125" s="10"/>
      <c r="J125" s="30"/>
      <c r="K125" s="200">
        <f t="shared" si="12"/>
        <v>0</v>
      </c>
    </row>
    <row r="126" spans="1:12" x14ac:dyDescent="0.2">
      <c r="A126" s="62"/>
      <c r="B126" s="62"/>
      <c r="C126" s="30"/>
      <c r="D126" s="10"/>
      <c r="E126" s="10"/>
      <c r="F126" s="177"/>
      <c r="G126" s="180"/>
      <c r="H126" s="180"/>
      <c r="I126" s="10"/>
      <c r="J126" s="30"/>
      <c r="K126" s="200">
        <f t="shared" si="12"/>
        <v>0</v>
      </c>
    </row>
    <row r="127" spans="1:12" x14ac:dyDescent="0.2">
      <c r="A127" s="62"/>
      <c r="B127" s="62"/>
      <c r="C127" s="30"/>
      <c r="D127" s="10"/>
      <c r="E127" s="10"/>
      <c r="F127" s="177"/>
      <c r="G127" s="180"/>
      <c r="H127" s="180"/>
      <c r="I127" s="10"/>
      <c r="J127" s="30"/>
      <c r="K127" s="200">
        <f t="shared" si="12"/>
        <v>0</v>
      </c>
    </row>
    <row r="128" spans="1:12" x14ac:dyDescent="0.2">
      <c r="A128" s="62"/>
      <c r="B128" s="62"/>
      <c r="C128" s="30"/>
      <c r="D128" s="10"/>
      <c r="E128" s="10"/>
      <c r="F128" s="177"/>
      <c r="G128" s="180"/>
      <c r="H128" s="180"/>
      <c r="I128" s="10"/>
      <c r="J128" s="30"/>
      <c r="K128" s="200">
        <f t="shared" si="12"/>
        <v>0</v>
      </c>
    </row>
    <row r="129" spans="1:11" x14ac:dyDescent="0.2">
      <c r="A129" s="62"/>
      <c r="B129" s="62"/>
      <c r="C129" s="30"/>
      <c r="D129" s="10"/>
      <c r="E129" s="10"/>
      <c r="F129" s="177"/>
      <c r="G129" s="180"/>
      <c r="H129" s="180"/>
      <c r="I129" s="10"/>
      <c r="J129" s="30"/>
      <c r="K129" s="200">
        <f t="shared" si="12"/>
        <v>0</v>
      </c>
    </row>
    <row r="130" spans="1:11" x14ac:dyDescent="0.2">
      <c r="A130" s="62"/>
      <c r="B130" s="62"/>
      <c r="C130" s="30"/>
      <c r="D130" s="10"/>
      <c r="E130" s="10"/>
      <c r="F130" s="177"/>
      <c r="G130" s="180"/>
      <c r="H130" s="180"/>
      <c r="I130" s="10"/>
      <c r="J130" s="30"/>
      <c r="K130" s="200">
        <f t="shared" si="12"/>
        <v>0</v>
      </c>
    </row>
    <row r="131" spans="1:11" x14ac:dyDescent="0.2">
      <c r="A131" s="62"/>
      <c r="B131" s="62"/>
      <c r="C131" s="30"/>
      <c r="D131" s="10"/>
      <c r="E131" s="10"/>
      <c r="F131" s="177"/>
      <c r="G131" s="180"/>
      <c r="H131" s="180"/>
      <c r="I131" s="10"/>
      <c r="J131" s="30"/>
      <c r="K131" s="200">
        <f t="shared" si="12"/>
        <v>0</v>
      </c>
    </row>
    <row r="132" spans="1:11" x14ac:dyDescent="0.2">
      <c r="A132" s="62"/>
      <c r="B132" s="62"/>
      <c r="C132" s="30"/>
      <c r="D132" s="10"/>
      <c r="E132" s="10"/>
      <c r="F132" s="177"/>
      <c r="G132" s="180"/>
      <c r="H132" s="180"/>
      <c r="I132" s="10"/>
      <c r="J132" s="30"/>
      <c r="K132" s="200">
        <f t="shared" si="12"/>
        <v>0</v>
      </c>
    </row>
    <row r="133" spans="1:11" x14ac:dyDescent="0.2">
      <c r="A133" s="62"/>
      <c r="B133" s="62"/>
      <c r="C133" s="30"/>
      <c r="D133" s="10"/>
      <c r="E133" s="10"/>
      <c r="F133" s="177"/>
      <c r="G133" s="180"/>
      <c r="H133" s="180"/>
      <c r="I133" s="10"/>
      <c r="J133" s="30"/>
      <c r="K133" s="200">
        <f t="shared" si="12"/>
        <v>0</v>
      </c>
    </row>
    <row r="134" spans="1:11" x14ac:dyDescent="0.2">
      <c r="A134" s="62"/>
      <c r="B134" s="62"/>
      <c r="C134" s="30"/>
      <c r="D134" s="10"/>
      <c r="E134" s="10"/>
      <c r="F134" s="177"/>
      <c r="G134" s="180"/>
      <c r="H134" s="180"/>
      <c r="I134" s="10"/>
      <c r="J134" s="30"/>
      <c r="K134" s="200">
        <f t="shared" si="12"/>
        <v>0</v>
      </c>
    </row>
    <row r="135" spans="1:11" x14ac:dyDescent="0.2">
      <c r="A135" s="62"/>
      <c r="B135" s="62"/>
      <c r="C135" s="30"/>
      <c r="D135" s="10"/>
      <c r="E135" s="10"/>
      <c r="F135" s="177"/>
      <c r="G135" s="180"/>
      <c r="H135" s="180"/>
      <c r="I135" s="10"/>
      <c r="J135" s="30"/>
      <c r="K135" s="200">
        <f t="shared" si="12"/>
        <v>0</v>
      </c>
    </row>
    <row r="136" spans="1:11" x14ac:dyDescent="0.2">
      <c r="A136" s="62"/>
      <c r="B136" s="62"/>
      <c r="C136" s="30"/>
      <c r="D136" s="10"/>
      <c r="E136" s="10"/>
      <c r="F136" s="177"/>
      <c r="G136" s="180"/>
      <c r="H136" s="180"/>
      <c r="I136" s="10"/>
      <c r="J136" s="30"/>
      <c r="K136" s="200">
        <f t="shared" si="12"/>
        <v>0</v>
      </c>
    </row>
    <row r="137" spans="1:11" x14ac:dyDescent="0.2">
      <c r="A137" s="62"/>
      <c r="B137" s="62"/>
      <c r="C137" s="30"/>
      <c r="D137" s="10"/>
      <c r="E137" s="10"/>
      <c r="F137" s="177"/>
      <c r="G137" s="180"/>
      <c r="H137" s="180"/>
      <c r="I137" s="10"/>
      <c r="J137" s="30"/>
      <c r="K137" s="200">
        <f t="shared" si="12"/>
        <v>0</v>
      </c>
    </row>
    <row r="138" spans="1:11" x14ac:dyDescent="0.2">
      <c r="A138" s="62"/>
      <c r="B138" s="62"/>
      <c r="C138" s="30"/>
      <c r="D138" s="10"/>
      <c r="E138" s="10"/>
      <c r="F138" s="177"/>
      <c r="G138" s="180"/>
      <c r="H138" s="180"/>
      <c r="I138" s="10"/>
      <c r="J138" s="30"/>
      <c r="K138" s="200">
        <f t="shared" si="12"/>
        <v>0</v>
      </c>
    </row>
    <row r="139" spans="1:11" x14ac:dyDescent="0.2">
      <c r="A139" s="62"/>
      <c r="B139" s="62"/>
      <c r="C139" s="30"/>
      <c r="D139" s="10"/>
      <c r="E139" s="10"/>
      <c r="F139" s="177"/>
      <c r="G139" s="180"/>
      <c r="H139" s="180"/>
      <c r="I139" s="10"/>
      <c r="J139" s="30"/>
      <c r="K139" s="200">
        <f t="shared" si="12"/>
        <v>0</v>
      </c>
    </row>
    <row r="140" spans="1:11" x14ac:dyDescent="0.2">
      <c r="A140" s="62"/>
      <c r="B140" s="62"/>
      <c r="C140" s="30"/>
      <c r="D140" s="10"/>
      <c r="E140" s="10"/>
      <c r="F140" s="177"/>
      <c r="G140" s="180"/>
      <c r="H140" s="180"/>
      <c r="I140" s="10"/>
      <c r="J140" s="30"/>
      <c r="K140" s="200">
        <f t="shared" si="12"/>
        <v>0</v>
      </c>
    </row>
    <row r="141" spans="1:11" x14ac:dyDescent="0.2">
      <c r="A141" s="62"/>
      <c r="B141" s="62"/>
      <c r="C141" s="30"/>
      <c r="D141" s="10"/>
      <c r="E141" s="10"/>
      <c r="F141" s="177"/>
      <c r="G141" s="180"/>
      <c r="H141" s="180"/>
      <c r="I141" s="10"/>
      <c r="J141" s="30"/>
      <c r="K141" s="200">
        <f t="shared" si="12"/>
        <v>0</v>
      </c>
    </row>
    <row r="142" spans="1:11" x14ac:dyDescent="0.2">
      <c r="A142" s="62"/>
      <c r="B142" s="62"/>
      <c r="C142" s="30"/>
      <c r="D142" s="10"/>
      <c r="E142" s="10"/>
      <c r="F142" s="177"/>
      <c r="G142" s="180"/>
      <c r="H142" s="180"/>
      <c r="I142" s="10"/>
      <c r="J142" s="30"/>
      <c r="K142" s="200">
        <f t="shared" si="12"/>
        <v>0</v>
      </c>
    </row>
    <row r="143" spans="1:11" x14ac:dyDescent="0.2">
      <c r="A143" s="62"/>
      <c r="B143" s="62"/>
      <c r="C143" s="30"/>
      <c r="D143" s="10"/>
      <c r="E143" s="10"/>
      <c r="F143" s="177"/>
      <c r="G143" s="180"/>
      <c r="H143" s="180"/>
      <c r="I143" s="10"/>
      <c r="J143" s="30"/>
      <c r="K143" s="200">
        <f t="shared" si="12"/>
        <v>0</v>
      </c>
    </row>
    <row r="144" spans="1:11" x14ac:dyDescent="0.2">
      <c r="A144" s="62"/>
      <c r="B144" s="62"/>
      <c r="C144" s="30"/>
      <c r="D144" s="10"/>
      <c r="E144" s="10"/>
      <c r="F144" s="177"/>
      <c r="G144" s="180"/>
      <c r="H144" s="180"/>
      <c r="I144" s="10"/>
      <c r="J144" s="30"/>
      <c r="K144" s="200">
        <f t="shared" si="12"/>
        <v>0</v>
      </c>
    </row>
    <row r="145" spans="1:12" x14ac:dyDescent="0.2">
      <c r="A145" s="62"/>
      <c r="B145" s="62"/>
      <c r="C145" s="30"/>
      <c r="D145" s="10"/>
      <c r="E145" s="10"/>
      <c r="F145" s="177"/>
      <c r="G145" s="180"/>
      <c r="H145" s="180"/>
      <c r="I145" s="10"/>
      <c r="J145" s="30"/>
      <c r="K145" s="200">
        <f t="shared" si="12"/>
        <v>0</v>
      </c>
    </row>
    <row r="146" spans="1:12" x14ac:dyDescent="0.2">
      <c r="A146" s="62"/>
      <c r="B146" s="62"/>
      <c r="C146" s="30"/>
      <c r="D146" s="10"/>
      <c r="E146" s="10"/>
      <c r="F146" s="177"/>
      <c r="G146" s="180"/>
      <c r="H146" s="180"/>
      <c r="I146" s="10"/>
      <c r="J146" s="30"/>
      <c r="K146" s="200">
        <f t="shared" si="12"/>
        <v>0</v>
      </c>
    </row>
    <row r="147" spans="1:12" x14ac:dyDescent="0.2">
      <c r="A147" s="62"/>
      <c r="B147" s="62"/>
      <c r="C147" s="30"/>
      <c r="D147" s="10"/>
      <c r="E147" s="10"/>
      <c r="F147" s="177"/>
      <c r="G147" s="180"/>
      <c r="H147" s="180"/>
      <c r="I147" s="10"/>
      <c r="J147" s="30"/>
      <c r="K147" s="200">
        <f t="shared" si="12"/>
        <v>0</v>
      </c>
    </row>
    <row r="148" spans="1:12" x14ac:dyDescent="0.2">
      <c r="A148" s="62"/>
      <c r="B148" s="62"/>
      <c r="C148" s="30"/>
      <c r="D148" s="10"/>
      <c r="E148" s="10"/>
      <c r="F148" s="177"/>
      <c r="G148" s="180"/>
      <c r="H148" s="180"/>
      <c r="I148" s="10"/>
      <c r="J148" s="30"/>
      <c r="K148" s="200">
        <f t="shared" si="12"/>
        <v>0</v>
      </c>
      <c r="L148" s="63"/>
    </row>
    <row r="149" spans="1:12" x14ac:dyDescent="0.2">
      <c r="A149" s="62"/>
      <c r="B149" s="62"/>
      <c r="C149" s="30"/>
      <c r="D149" s="10"/>
      <c r="E149" s="10"/>
      <c r="F149" s="177"/>
      <c r="G149" s="180"/>
      <c r="H149" s="180"/>
      <c r="I149" s="10"/>
      <c r="J149" s="30"/>
      <c r="K149" s="200">
        <f t="shared" si="12"/>
        <v>0</v>
      </c>
    </row>
    <row r="150" spans="1:12" x14ac:dyDescent="0.2">
      <c r="A150" s="62"/>
      <c r="B150" s="62"/>
      <c r="C150" s="30"/>
      <c r="D150" s="10"/>
      <c r="E150" s="10"/>
      <c r="F150" s="177"/>
      <c r="G150" s="180"/>
      <c r="H150" s="180"/>
      <c r="I150" s="10"/>
      <c r="J150" s="30"/>
      <c r="K150" s="200">
        <f t="shared" si="12"/>
        <v>0</v>
      </c>
      <c r="L150" s="180"/>
    </row>
    <row r="151" spans="1:12" x14ac:dyDescent="0.2">
      <c r="A151" s="62"/>
      <c r="B151" s="62"/>
      <c r="C151" s="30"/>
      <c r="D151" s="10"/>
      <c r="E151" s="10"/>
      <c r="F151" s="177"/>
      <c r="G151" s="180"/>
      <c r="H151" s="180"/>
      <c r="I151" s="10"/>
      <c r="J151" s="30"/>
      <c r="K151" s="200">
        <f t="shared" ref="K151" si="13">H151</f>
        <v>0</v>
      </c>
      <c r="L151" s="182"/>
    </row>
    <row r="152" spans="1:12" x14ac:dyDescent="0.2">
      <c r="A152" s="62"/>
      <c r="B152" s="62"/>
      <c r="C152" s="30"/>
      <c r="D152" s="10"/>
      <c r="E152" s="10"/>
      <c r="F152" s="177"/>
      <c r="G152" s="180"/>
      <c r="H152" s="180"/>
      <c r="I152" s="10"/>
      <c r="J152" s="30"/>
      <c r="K152" s="200">
        <f t="shared" si="12"/>
        <v>0</v>
      </c>
    </row>
    <row r="153" spans="1:12" x14ac:dyDescent="0.2">
      <c r="A153" s="62"/>
      <c r="B153" s="62"/>
      <c r="C153" s="30"/>
      <c r="D153" s="10"/>
      <c r="E153" s="10"/>
      <c r="F153" s="177"/>
      <c r="G153" s="180"/>
      <c r="H153" s="180"/>
      <c r="I153" s="10"/>
      <c r="J153" s="30"/>
      <c r="K153" s="200">
        <f t="shared" si="12"/>
        <v>0</v>
      </c>
    </row>
    <row r="154" spans="1:12" x14ac:dyDescent="0.2">
      <c r="A154" s="62"/>
      <c r="B154" s="62"/>
      <c r="C154" s="30"/>
      <c r="D154" s="10"/>
      <c r="E154" s="10"/>
      <c r="F154" s="177"/>
      <c r="G154" s="180"/>
      <c r="H154" s="180"/>
      <c r="I154" s="10"/>
      <c r="J154" s="30"/>
      <c r="K154" s="200">
        <f t="shared" si="12"/>
        <v>0</v>
      </c>
    </row>
    <row r="155" spans="1:12" x14ac:dyDescent="0.2">
      <c r="A155" s="62"/>
      <c r="B155" s="62"/>
      <c r="C155" s="30"/>
      <c r="D155" s="10"/>
      <c r="E155" s="10"/>
      <c r="F155" s="177"/>
      <c r="G155" s="180"/>
      <c r="H155" s="180"/>
      <c r="I155" s="10"/>
      <c r="J155" s="30"/>
      <c r="K155" s="200">
        <f t="shared" si="12"/>
        <v>0</v>
      </c>
    </row>
    <row r="156" spans="1:12" x14ac:dyDescent="0.2">
      <c r="A156" s="62"/>
      <c r="B156" s="62"/>
      <c r="C156" s="30"/>
      <c r="D156" s="10"/>
      <c r="E156" s="10"/>
      <c r="F156" s="177"/>
      <c r="G156" s="180"/>
      <c r="H156" s="180"/>
      <c r="I156" s="10"/>
      <c r="J156" s="30"/>
      <c r="K156" s="200">
        <f t="shared" si="12"/>
        <v>0</v>
      </c>
    </row>
    <row r="157" spans="1:12" x14ac:dyDescent="0.2">
      <c r="A157" s="62"/>
      <c r="B157" s="62"/>
      <c r="C157" s="30"/>
      <c r="D157" s="10"/>
      <c r="E157" s="10"/>
      <c r="F157" s="177"/>
      <c r="G157" s="180"/>
      <c r="H157" s="180"/>
      <c r="I157" s="10"/>
      <c r="J157" s="30"/>
      <c r="K157" s="200">
        <f t="shared" si="12"/>
        <v>0</v>
      </c>
    </row>
    <row r="158" spans="1:12" x14ac:dyDescent="0.2">
      <c r="A158" s="62"/>
      <c r="B158" s="62"/>
      <c r="C158" s="30"/>
      <c r="D158" s="10"/>
      <c r="E158" s="10"/>
      <c r="F158" s="177"/>
      <c r="G158" s="180"/>
      <c r="H158" s="180"/>
      <c r="I158" s="10"/>
      <c r="J158" s="30"/>
      <c r="K158" s="200">
        <f t="shared" si="12"/>
        <v>0</v>
      </c>
    </row>
    <row r="159" spans="1:12" x14ac:dyDescent="0.2">
      <c r="A159" s="62"/>
      <c r="B159" s="62"/>
      <c r="C159" s="30"/>
      <c r="D159" s="10"/>
      <c r="E159" s="10"/>
      <c r="F159" s="177"/>
      <c r="G159" s="180"/>
      <c r="H159" s="180"/>
      <c r="I159" s="10"/>
      <c r="J159" s="30"/>
      <c r="K159" s="200">
        <f t="shared" si="12"/>
        <v>0</v>
      </c>
    </row>
    <row r="160" spans="1:12" x14ac:dyDescent="0.2">
      <c r="A160" s="62"/>
      <c r="B160" s="62"/>
      <c r="C160" s="30"/>
      <c r="D160" s="10"/>
      <c r="E160" s="10"/>
      <c r="F160" s="177"/>
      <c r="G160" s="180"/>
      <c r="H160" s="180"/>
      <c r="I160" s="10"/>
      <c r="J160" s="30"/>
      <c r="K160" s="200">
        <f t="shared" si="12"/>
        <v>0</v>
      </c>
    </row>
    <row r="161" spans="1:11" x14ac:dyDescent="0.2">
      <c r="A161" s="62"/>
      <c r="B161" s="62"/>
      <c r="C161" s="30"/>
      <c r="D161" s="10"/>
      <c r="E161" s="10"/>
      <c r="F161" s="177"/>
      <c r="G161" s="180"/>
      <c r="H161" s="180"/>
      <c r="I161" s="10"/>
      <c r="J161" s="30"/>
      <c r="K161" s="200">
        <f t="shared" si="12"/>
        <v>0</v>
      </c>
    </row>
    <row r="162" spans="1:11" x14ac:dyDescent="0.2">
      <c r="A162" s="62"/>
      <c r="B162" s="62"/>
      <c r="C162" s="30"/>
      <c r="D162" s="10"/>
      <c r="E162" s="10"/>
      <c r="F162" s="177"/>
      <c r="G162" s="180"/>
      <c r="H162" s="180"/>
      <c r="I162" s="10"/>
      <c r="J162" s="30"/>
      <c r="K162" s="200">
        <f t="shared" si="12"/>
        <v>0</v>
      </c>
    </row>
    <row r="163" spans="1:11" x14ac:dyDescent="0.2">
      <c r="A163" s="62"/>
      <c r="B163" s="62"/>
      <c r="C163" s="30"/>
      <c r="D163" s="10"/>
      <c r="E163" s="10"/>
      <c r="F163" s="177"/>
      <c r="G163" s="180"/>
      <c r="H163" s="180"/>
      <c r="I163" s="10"/>
      <c r="J163" s="30"/>
      <c r="K163" s="200">
        <f t="shared" si="12"/>
        <v>0</v>
      </c>
    </row>
    <row r="164" spans="1:11" x14ac:dyDescent="0.2">
      <c r="A164" s="62"/>
      <c r="B164" s="62"/>
      <c r="C164" s="30"/>
      <c r="D164" s="10"/>
      <c r="E164" s="10"/>
      <c r="F164" s="177"/>
      <c r="G164" s="180"/>
      <c r="H164" s="180"/>
      <c r="I164" s="10"/>
      <c r="J164" s="30"/>
      <c r="K164" s="200">
        <f t="shared" si="12"/>
        <v>0</v>
      </c>
    </row>
    <row r="165" spans="1:11" x14ac:dyDescent="0.2">
      <c r="A165" s="62"/>
      <c r="B165" s="62"/>
      <c r="C165" s="30"/>
      <c r="D165" s="10"/>
      <c r="E165" s="10"/>
      <c r="F165" s="177"/>
      <c r="G165" s="180"/>
      <c r="H165" s="180"/>
      <c r="I165" s="10"/>
      <c r="J165" s="30"/>
      <c r="K165" s="200">
        <f>H165</f>
        <v>0</v>
      </c>
    </row>
    <row r="166" spans="1:11" x14ac:dyDescent="0.2">
      <c r="A166" s="62"/>
      <c r="B166" s="62"/>
      <c r="C166" s="30"/>
      <c r="D166" s="10"/>
      <c r="E166" s="10"/>
      <c r="F166" s="177"/>
      <c r="G166" s="180"/>
      <c r="H166" s="180"/>
      <c r="I166" s="10"/>
      <c r="J166" s="30"/>
      <c r="K166" s="200">
        <f t="shared" si="12"/>
        <v>0</v>
      </c>
    </row>
    <row r="167" spans="1:11" x14ac:dyDescent="0.2">
      <c r="A167" s="62"/>
      <c r="B167" s="62"/>
      <c r="C167" s="30"/>
      <c r="D167" s="10"/>
      <c r="E167" s="10"/>
      <c r="F167" s="177"/>
      <c r="G167" s="180"/>
      <c r="H167" s="180"/>
      <c r="I167" s="10"/>
      <c r="J167" s="30"/>
      <c r="K167" s="200">
        <f>H167</f>
        <v>0</v>
      </c>
    </row>
    <row r="168" spans="1:11" x14ac:dyDescent="0.2">
      <c r="A168" s="62"/>
      <c r="B168" s="62"/>
      <c r="C168" s="30"/>
      <c r="D168" s="10"/>
      <c r="E168" s="10"/>
      <c r="F168" s="177"/>
      <c r="G168" s="180"/>
      <c r="H168" s="180"/>
      <c r="I168" s="10"/>
      <c r="J168" s="30"/>
      <c r="K168" s="200">
        <f t="shared" si="12"/>
        <v>0</v>
      </c>
    </row>
    <row r="169" spans="1:11" x14ac:dyDescent="0.2">
      <c r="A169" s="62"/>
      <c r="B169" s="62"/>
      <c r="C169" s="30"/>
      <c r="D169" s="10"/>
      <c r="E169" s="10"/>
      <c r="F169" s="177"/>
      <c r="G169" s="180"/>
      <c r="H169" s="180"/>
      <c r="I169" s="10"/>
      <c r="J169" s="30"/>
      <c r="K169" s="200">
        <f t="shared" si="12"/>
        <v>0</v>
      </c>
    </row>
    <row r="170" spans="1:11" x14ac:dyDescent="0.2">
      <c r="A170" s="62"/>
      <c r="B170" s="62"/>
      <c r="C170" s="30"/>
      <c r="D170" s="10"/>
      <c r="E170" s="10"/>
      <c r="F170" s="177"/>
      <c r="G170" s="180"/>
      <c r="H170" s="180"/>
      <c r="I170" s="10"/>
      <c r="J170" s="30"/>
      <c r="K170" s="200">
        <f t="shared" si="12"/>
        <v>0</v>
      </c>
    </row>
    <row r="171" spans="1:11" x14ac:dyDescent="0.2">
      <c r="A171" s="62"/>
      <c r="B171" s="62"/>
      <c r="C171" s="30"/>
      <c r="D171" s="10"/>
      <c r="E171" s="10"/>
      <c r="F171" s="177"/>
      <c r="G171" s="180"/>
      <c r="H171" s="180"/>
      <c r="I171" s="10"/>
      <c r="J171" s="30"/>
      <c r="K171" s="200">
        <f t="shared" si="12"/>
        <v>0</v>
      </c>
    </row>
    <row r="172" spans="1:11" x14ac:dyDescent="0.2">
      <c r="A172" s="62"/>
      <c r="B172" s="62"/>
      <c r="C172" s="30"/>
      <c r="D172" s="10"/>
      <c r="E172" s="10"/>
      <c r="F172" s="177"/>
      <c r="G172" s="180"/>
      <c r="H172" s="180"/>
      <c r="I172" s="10"/>
      <c r="J172" s="30"/>
      <c r="K172" s="200">
        <f t="shared" si="12"/>
        <v>0</v>
      </c>
    </row>
    <row r="173" spans="1:11" x14ac:dyDescent="0.2">
      <c r="A173" s="62"/>
      <c r="B173" s="62"/>
      <c r="C173" s="30"/>
      <c r="D173" s="10"/>
      <c r="E173" s="10"/>
      <c r="F173" s="177"/>
      <c r="G173" s="180"/>
      <c r="H173" s="180"/>
      <c r="I173" s="10"/>
      <c r="J173" s="30"/>
      <c r="K173" s="200">
        <f t="shared" si="12"/>
        <v>0</v>
      </c>
    </row>
    <row r="174" spans="1:11" x14ac:dyDescent="0.2">
      <c r="A174" s="62"/>
      <c r="B174" s="62"/>
      <c r="C174" s="30"/>
      <c r="D174" s="10"/>
      <c r="E174" s="10"/>
      <c r="F174" s="177"/>
      <c r="G174" s="180"/>
      <c r="H174" s="180"/>
      <c r="I174" s="10"/>
      <c r="J174" s="30"/>
      <c r="K174" s="200">
        <f t="shared" si="12"/>
        <v>0</v>
      </c>
    </row>
    <row r="175" spans="1:11" x14ac:dyDescent="0.2">
      <c r="A175" s="62"/>
      <c r="B175" s="62"/>
      <c r="C175" s="30"/>
      <c r="D175" s="10"/>
      <c r="E175" s="10"/>
      <c r="F175" s="177"/>
      <c r="G175" s="180"/>
      <c r="H175" s="180"/>
      <c r="I175" s="10"/>
      <c r="J175" s="30"/>
      <c r="K175" s="200">
        <f t="shared" ref="K175:K209" si="14">H175</f>
        <v>0</v>
      </c>
    </row>
    <row r="176" spans="1:11" x14ac:dyDescent="0.2">
      <c r="A176" s="62"/>
      <c r="B176" s="62"/>
      <c r="C176" s="30"/>
      <c r="D176" s="10"/>
      <c r="E176" s="10"/>
      <c r="F176" s="177"/>
      <c r="G176" s="180"/>
      <c r="H176" s="180"/>
      <c r="I176" s="10"/>
      <c r="J176" s="30"/>
      <c r="K176" s="200">
        <f t="shared" si="14"/>
        <v>0</v>
      </c>
    </row>
    <row r="177" spans="1:11" x14ac:dyDescent="0.2">
      <c r="A177" s="62"/>
      <c r="B177" s="62"/>
      <c r="C177" s="30"/>
      <c r="D177" s="10"/>
      <c r="E177" s="10"/>
      <c r="F177" s="177"/>
      <c r="G177" s="180"/>
      <c r="H177" s="180"/>
      <c r="I177" s="10"/>
      <c r="J177" s="30"/>
      <c r="K177" s="200">
        <f t="shared" si="14"/>
        <v>0</v>
      </c>
    </row>
    <row r="178" spans="1:11" x14ac:dyDescent="0.2">
      <c r="A178" s="62"/>
      <c r="B178" s="62"/>
      <c r="C178" s="30"/>
      <c r="D178" s="10"/>
      <c r="E178" s="10"/>
      <c r="F178" s="177"/>
      <c r="G178" s="180"/>
      <c r="H178" s="180"/>
      <c r="I178" s="10"/>
      <c r="J178" s="30"/>
      <c r="K178" s="200">
        <f t="shared" si="14"/>
        <v>0</v>
      </c>
    </row>
    <row r="179" spans="1:11" x14ac:dyDescent="0.2">
      <c r="A179" s="62"/>
      <c r="B179" s="62"/>
      <c r="C179" s="30"/>
      <c r="D179" s="10"/>
      <c r="E179" s="10"/>
      <c r="F179" s="177"/>
      <c r="G179" s="180"/>
      <c r="H179" s="180"/>
      <c r="I179" s="10"/>
      <c r="J179" s="30"/>
      <c r="K179" s="200">
        <f t="shared" si="14"/>
        <v>0</v>
      </c>
    </row>
    <row r="180" spans="1:11" x14ac:dyDescent="0.2">
      <c r="A180" s="62"/>
      <c r="B180" s="62"/>
      <c r="C180" s="30"/>
      <c r="D180" s="10"/>
      <c r="E180" s="10"/>
      <c r="F180" s="177"/>
      <c r="G180" s="180"/>
      <c r="H180" s="180"/>
      <c r="I180" s="10"/>
      <c r="J180" s="30"/>
      <c r="K180" s="200">
        <f t="shared" si="14"/>
        <v>0</v>
      </c>
    </row>
    <row r="181" spans="1:11" x14ac:dyDescent="0.2">
      <c r="A181" s="62"/>
      <c r="B181" s="62"/>
      <c r="C181" s="30"/>
      <c r="D181" s="10"/>
      <c r="E181" s="10"/>
      <c r="F181" s="177"/>
      <c r="G181" s="180"/>
      <c r="H181" s="180"/>
      <c r="I181" s="10"/>
      <c r="J181" s="30"/>
      <c r="K181" s="200">
        <f t="shared" si="14"/>
        <v>0</v>
      </c>
    </row>
    <row r="182" spans="1:11" x14ac:dyDescent="0.2">
      <c r="A182" s="62"/>
      <c r="B182" s="62"/>
      <c r="C182" s="30"/>
      <c r="D182" s="10"/>
      <c r="E182" s="10"/>
      <c r="F182" s="177"/>
      <c r="G182" s="180"/>
      <c r="H182" s="180"/>
      <c r="I182" s="10"/>
      <c r="J182" s="30"/>
      <c r="K182" s="200">
        <f t="shared" si="14"/>
        <v>0</v>
      </c>
    </row>
    <row r="183" spans="1:11" x14ac:dyDescent="0.2">
      <c r="A183" s="62"/>
      <c r="B183" s="62"/>
      <c r="C183" s="30"/>
      <c r="D183" s="10"/>
      <c r="E183" s="10"/>
      <c r="F183" s="177"/>
      <c r="G183" s="180"/>
      <c r="H183" s="180"/>
      <c r="I183" s="10"/>
      <c r="J183" s="30"/>
      <c r="K183" s="200">
        <f t="shared" si="14"/>
        <v>0</v>
      </c>
    </row>
    <row r="184" spans="1:11" x14ac:dyDescent="0.2">
      <c r="A184" s="62"/>
      <c r="B184" s="62"/>
      <c r="C184" s="30"/>
      <c r="D184" s="10"/>
      <c r="E184" s="10"/>
      <c r="F184" s="177"/>
      <c r="G184" s="180"/>
      <c r="H184" s="180"/>
      <c r="I184" s="10"/>
      <c r="J184" s="30"/>
      <c r="K184" s="200">
        <f t="shared" si="14"/>
        <v>0</v>
      </c>
    </row>
    <row r="185" spans="1:11" x14ac:dyDescent="0.2">
      <c r="A185" s="62"/>
      <c r="B185" s="62"/>
      <c r="C185" s="30"/>
      <c r="D185" s="10"/>
      <c r="E185" s="10"/>
      <c r="F185" s="177"/>
      <c r="G185" s="180"/>
      <c r="H185" s="180"/>
      <c r="I185" s="10"/>
      <c r="J185" s="30"/>
      <c r="K185" s="200">
        <f t="shared" si="14"/>
        <v>0</v>
      </c>
    </row>
    <row r="186" spans="1:11" x14ac:dyDescent="0.2">
      <c r="A186" s="62"/>
      <c r="B186" s="62"/>
      <c r="C186" s="30"/>
      <c r="D186" s="10"/>
      <c r="E186" s="10"/>
      <c r="F186" s="177"/>
      <c r="G186" s="180"/>
      <c r="H186" s="180"/>
      <c r="I186" s="10"/>
      <c r="J186" s="30"/>
      <c r="K186" s="200">
        <f t="shared" si="14"/>
        <v>0</v>
      </c>
    </row>
    <row r="187" spans="1:11" x14ac:dyDescent="0.2">
      <c r="A187" s="62"/>
      <c r="B187" s="62"/>
      <c r="C187" s="30"/>
      <c r="D187" s="10"/>
      <c r="E187" s="10"/>
      <c r="F187" s="177"/>
      <c r="G187" s="180"/>
      <c r="H187" s="180"/>
      <c r="I187" s="10"/>
      <c r="J187" s="30"/>
      <c r="K187" s="200">
        <f t="shared" si="14"/>
        <v>0</v>
      </c>
    </row>
    <row r="188" spans="1:11" x14ac:dyDescent="0.2">
      <c r="A188" s="62"/>
      <c r="B188" s="62"/>
      <c r="C188" s="30"/>
      <c r="D188" s="10"/>
      <c r="E188" s="10"/>
      <c r="F188" s="177"/>
      <c r="G188" s="180"/>
      <c r="H188" s="180"/>
      <c r="I188" s="10"/>
      <c r="J188" s="30"/>
      <c r="K188" s="200">
        <f t="shared" si="14"/>
        <v>0</v>
      </c>
    </row>
    <row r="189" spans="1:11" x14ac:dyDescent="0.2">
      <c r="A189" s="62"/>
      <c r="B189" s="62"/>
      <c r="C189" s="30"/>
      <c r="D189" s="10"/>
      <c r="E189" s="10"/>
      <c r="F189" s="177"/>
      <c r="G189" s="180"/>
      <c r="H189" s="180"/>
      <c r="I189" s="10"/>
      <c r="J189" s="30"/>
      <c r="K189" s="200">
        <f t="shared" si="14"/>
        <v>0</v>
      </c>
    </row>
    <row r="190" spans="1:11" x14ac:dyDescent="0.2">
      <c r="A190" s="62"/>
      <c r="B190" s="62"/>
      <c r="C190" s="30"/>
      <c r="D190" s="10"/>
      <c r="E190" s="10"/>
      <c r="F190" s="177"/>
      <c r="G190" s="180"/>
      <c r="H190" s="180"/>
      <c r="I190" s="10"/>
      <c r="J190" s="30"/>
      <c r="K190" s="200">
        <f t="shared" si="14"/>
        <v>0</v>
      </c>
    </row>
    <row r="191" spans="1:11" x14ac:dyDescent="0.2">
      <c r="A191" s="62"/>
      <c r="B191" s="62"/>
      <c r="C191" s="30"/>
      <c r="D191" s="10"/>
      <c r="E191" s="10"/>
      <c r="F191" s="177"/>
      <c r="G191" s="180"/>
      <c r="H191" s="180"/>
      <c r="I191" s="10"/>
      <c r="J191" s="30"/>
      <c r="K191" s="200">
        <f t="shared" si="14"/>
        <v>0</v>
      </c>
    </row>
    <row r="192" spans="1:11" x14ac:dyDescent="0.2">
      <c r="A192" s="62"/>
      <c r="B192" s="62"/>
      <c r="C192" s="30"/>
      <c r="D192" s="10"/>
      <c r="E192" s="10"/>
      <c r="F192" s="177"/>
      <c r="G192" s="180"/>
      <c r="H192" s="180"/>
      <c r="I192" s="10"/>
      <c r="J192" s="30"/>
      <c r="K192" s="200">
        <f t="shared" si="14"/>
        <v>0</v>
      </c>
    </row>
    <row r="193" spans="1:11" x14ac:dyDescent="0.2">
      <c r="A193" s="62"/>
      <c r="B193" s="62"/>
      <c r="C193" s="30"/>
      <c r="D193" s="10"/>
      <c r="E193" s="10"/>
      <c r="F193" s="177"/>
      <c r="G193" s="180"/>
      <c r="H193" s="180"/>
      <c r="I193" s="10"/>
      <c r="J193" s="30"/>
      <c r="K193" s="200">
        <f t="shared" si="14"/>
        <v>0</v>
      </c>
    </row>
    <row r="194" spans="1:11" x14ac:dyDescent="0.2">
      <c r="A194" s="62"/>
      <c r="B194" s="62"/>
      <c r="C194" s="30"/>
      <c r="D194" s="10"/>
      <c r="E194" s="10"/>
      <c r="F194" s="177"/>
      <c r="G194" s="180"/>
      <c r="H194" s="180"/>
      <c r="I194" s="10"/>
      <c r="J194" s="30"/>
      <c r="K194" s="200">
        <f t="shared" si="14"/>
        <v>0</v>
      </c>
    </row>
    <row r="195" spans="1:11" x14ac:dyDescent="0.2">
      <c r="A195" s="62"/>
      <c r="B195" s="62"/>
      <c r="C195" s="30"/>
      <c r="D195" s="10"/>
      <c r="E195" s="10"/>
      <c r="F195" s="177"/>
      <c r="G195" s="180"/>
      <c r="H195" s="180"/>
      <c r="I195" s="10"/>
      <c r="J195" s="30"/>
      <c r="K195" s="200">
        <f t="shared" si="14"/>
        <v>0</v>
      </c>
    </row>
    <row r="196" spans="1:11" x14ac:dyDescent="0.2">
      <c r="A196" s="62"/>
      <c r="B196" s="62"/>
      <c r="C196" s="30"/>
      <c r="D196" s="10"/>
      <c r="E196" s="10"/>
      <c r="F196" s="177"/>
      <c r="G196" s="180"/>
      <c r="H196" s="180"/>
      <c r="I196" s="10"/>
      <c r="J196" s="30"/>
      <c r="K196" s="200">
        <f t="shared" si="14"/>
        <v>0</v>
      </c>
    </row>
    <row r="197" spans="1:11" x14ac:dyDescent="0.2">
      <c r="A197" s="62"/>
      <c r="B197" s="62"/>
      <c r="C197" s="30"/>
      <c r="D197" s="10"/>
      <c r="E197" s="10"/>
      <c r="F197" s="177"/>
      <c r="G197" s="180"/>
      <c r="H197" s="180"/>
      <c r="I197" s="10"/>
      <c r="J197" s="30"/>
      <c r="K197" s="200">
        <f t="shared" si="14"/>
        <v>0</v>
      </c>
    </row>
    <row r="198" spans="1:11" x14ac:dyDescent="0.2">
      <c r="A198" s="62"/>
      <c r="B198" s="62"/>
      <c r="C198" s="30"/>
      <c r="D198" s="10"/>
      <c r="E198" s="10"/>
      <c r="F198" s="177"/>
      <c r="G198" s="180"/>
      <c r="H198" s="180"/>
      <c r="I198" s="10"/>
      <c r="J198" s="30"/>
      <c r="K198" s="200">
        <f t="shared" si="14"/>
        <v>0</v>
      </c>
    </row>
    <row r="199" spans="1:11" x14ac:dyDescent="0.2">
      <c r="A199" s="62"/>
      <c r="B199" s="62"/>
      <c r="C199" s="30"/>
      <c r="D199" s="10"/>
      <c r="E199" s="10"/>
      <c r="F199" s="177"/>
      <c r="G199" s="180"/>
      <c r="H199" s="180"/>
      <c r="I199" s="10"/>
      <c r="J199" s="30"/>
      <c r="K199" s="200">
        <f t="shared" si="14"/>
        <v>0</v>
      </c>
    </row>
    <row r="200" spans="1:11" x14ac:dyDescent="0.2">
      <c r="A200" s="62"/>
      <c r="B200" s="62"/>
      <c r="C200" s="30"/>
      <c r="D200" s="10"/>
      <c r="E200" s="10"/>
      <c r="F200" s="177"/>
      <c r="G200" s="180"/>
      <c r="H200" s="180"/>
      <c r="I200" s="10"/>
      <c r="J200" s="30"/>
      <c r="K200" s="200">
        <f t="shared" si="14"/>
        <v>0</v>
      </c>
    </row>
    <row r="201" spans="1:11" x14ac:dyDescent="0.2">
      <c r="A201" s="62"/>
      <c r="B201" s="62"/>
      <c r="C201" s="30"/>
      <c r="D201" s="10"/>
      <c r="E201" s="10"/>
      <c r="F201" s="177"/>
      <c r="G201" s="180"/>
      <c r="H201" s="180"/>
      <c r="I201" s="10"/>
      <c r="J201" s="30"/>
      <c r="K201" s="200">
        <f t="shared" si="14"/>
        <v>0</v>
      </c>
    </row>
    <row r="202" spans="1:11" x14ac:dyDescent="0.2">
      <c r="A202" s="62"/>
      <c r="B202" s="62"/>
      <c r="C202" s="30"/>
      <c r="D202" s="10"/>
      <c r="E202" s="10"/>
      <c r="F202" s="177"/>
      <c r="G202" s="180"/>
      <c r="H202" s="180"/>
      <c r="I202" s="10"/>
      <c r="J202" s="30"/>
      <c r="K202" s="200">
        <f t="shared" si="14"/>
        <v>0</v>
      </c>
    </row>
    <row r="203" spans="1:11" x14ac:dyDescent="0.2">
      <c r="A203" s="62"/>
      <c r="B203" s="62"/>
      <c r="C203" s="30"/>
      <c r="D203" s="10"/>
      <c r="E203" s="10"/>
      <c r="F203" s="177"/>
      <c r="G203" s="180"/>
      <c r="H203" s="180"/>
      <c r="I203" s="10"/>
      <c r="J203" s="30"/>
      <c r="K203" s="200">
        <f t="shared" si="14"/>
        <v>0</v>
      </c>
    </row>
    <row r="204" spans="1:11" x14ac:dyDescent="0.2">
      <c r="A204" s="62"/>
      <c r="B204" s="62"/>
      <c r="C204" s="30"/>
      <c r="D204" s="10"/>
      <c r="E204" s="10"/>
      <c r="F204" s="177"/>
      <c r="G204" s="180"/>
      <c r="H204" s="180"/>
      <c r="I204" s="10"/>
      <c r="J204" s="30"/>
      <c r="K204" s="200">
        <f t="shared" si="14"/>
        <v>0</v>
      </c>
    </row>
    <row r="205" spans="1:11" x14ac:dyDescent="0.2">
      <c r="A205" s="62"/>
      <c r="B205" s="62"/>
      <c r="C205" s="30"/>
      <c r="D205" s="10"/>
      <c r="E205" s="10"/>
      <c r="F205" s="177"/>
      <c r="G205" s="180"/>
      <c r="H205" s="180"/>
      <c r="I205" s="10"/>
      <c r="J205" s="30"/>
      <c r="K205" s="200">
        <f t="shared" si="14"/>
        <v>0</v>
      </c>
    </row>
    <row r="206" spans="1:11" x14ac:dyDescent="0.2">
      <c r="A206" s="62"/>
      <c r="B206" s="62"/>
      <c r="C206" s="30"/>
      <c r="D206" s="10"/>
      <c r="E206" s="10"/>
      <c r="F206" s="177"/>
      <c r="G206" s="180"/>
      <c r="H206" s="180"/>
      <c r="I206" s="10"/>
      <c r="J206" s="30"/>
      <c r="K206" s="200">
        <f t="shared" si="14"/>
        <v>0</v>
      </c>
    </row>
    <row r="207" spans="1:11" x14ac:dyDescent="0.2">
      <c r="A207" s="62"/>
      <c r="B207" s="62"/>
      <c r="C207" s="30"/>
      <c r="D207" s="10"/>
      <c r="E207" s="10"/>
      <c r="F207" s="177"/>
      <c r="G207" s="180"/>
      <c r="H207" s="180"/>
      <c r="I207" s="10"/>
      <c r="J207" s="30"/>
      <c r="K207" s="200">
        <f t="shared" si="14"/>
        <v>0</v>
      </c>
    </row>
    <row r="208" spans="1:11" x14ac:dyDescent="0.2">
      <c r="A208" s="62"/>
      <c r="B208" s="62"/>
      <c r="C208" s="30"/>
      <c r="D208" s="10"/>
      <c r="E208" s="10"/>
      <c r="F208" s="177"/>
      <c r="G208" s="180"/>
      <c r="H208" s="180"/>
      <c r="I208" s="10"/>
      <c r="J208" s="30"/>
      <c r="K208" s="200">
        <f t="shared" si="14"/>
        <v>0</v>
      </c>
    </row>
    <row r="209" spans="1:11" x14ac:dyDescent="0.2">
      <c r="A209" s="62"/>
      <c r="B209" s="62"/>
      <c r="C209" s="30"/>
      <c r="D209" s="10"/>
      <c r="E209" s="10"/>
      <c r="F209" s="177"/>
      <c r="G209" s="180"/>
      <c r="H209" s="180"/>
      <c r="I209" s="10"/>
      <c r="J209" s="30"/>
      <c r="K209" s="200">
        <f t="shared" si="14"/>
        <v>0</v>
      </c>
    </row>
    <row r="210" spans="1:11" ht="12" x14ac:dyDescent="0.2">
      <c r="A210" s="316" t="s">
        <v>3454</v>
      </c>
      <c r="B210" s="316"/>
      <c r="C210" s="316"/>
      <c r="D210" s="316"/>
      <c r="E210" s="316"/>
      <c r="F210" s="316"/>
      <c r="G210" s="316"/>
      <c r="H210" s="205">
        <f>SUM(H107:H209)</f>
        <v>0</v>
      </c>
      <c r="I210" s="303" t="s">
        <v>3454</v>
      </c>
      <c r="J210" s="303"/>
      <c r="K210" s="205">
        <f>SUM(K107:K209)</f>
        <v>0</v>
      </c>
    </row>
    <row r="211" spans="1:11" ht="12" x14ac:dyDescent="0.2">
      <c r="A211" s="300" t="s">
        <v>3455</v>
      </c>
      <c r="B211" s="301"/>
      <c r="C211" s="301"/>
      <c r="D211" s="301"/>
      <c r="E211" s="301"/>
      <c r="F211" s="301"/>
      <c r="G211" s="302"/>
      <c r="H211" s="205">
        <f>H82</f>
        <v>325000</v>
      </c>
      <c r="I211" s="303" t="s">
        <v>3455</v>
      </c>
      <c r="J211" s="303"/>
      <c r="K211" s="205">
        <f>K82</f>
        <v>325000</v>
      </c>
    </row>
    <row r="212" spans="1:11" ht="12.75" thickBot="1" x14ac:dyDescent="0.25">
      <c r="A212" s="304" t="s">
        <v>3456</v>
      </c>
      <c r="B212" s="305"/>
      <c r="C212" s="305"/>
      <c r="D212" s="305"/>
      <c r="E212" s="305"/>
      <c r="F212" s="305"/>
      <c r="G212" s="306"/>
      <c r="H212" s="206">
        <f>SUM(H210:H211)</f>
        <v>325000</v>
      </c>
      <c r="I212" s="307" t="s">
        <v>3456</v>
      </c>
      <c r="J212" s="307"/>
      <c r="K212" s="206">
        <f>SUM(K210:K211)</f>
        <v>325000</v>
      </c>
    </row>
    <row r="213" spans="1:11" x14ac:dyDescent="0.2">
      <c r="A213" s="181"/>
      <c r="B213" s="181"/>
      <c r="C213" s="181"/>
      <c r="D213" s="181"/>
      <c r="E213" s="181"/>
      <c r="F213" s="181"/>
      <c r="G213" s="181"/>
      <c r="H213" s="203"/>
      <c r="I213" s="203"/>
      <c r="J213" s="203"/>
      <c r="K213" s="203"/>
    </row>
    <row r="215" spans="1:11" ht="12" x14ac:dyDescent="0.2">
      <c r="A215" s="299"/>
      <c r="B215" s="299"/>
      <c r="C215" s="299"/>
      <c r="D215" s="299"/>
      <c r="E215" s="191"/>
      <c r="F215" s="191"/>
      <c r="G215" s="183"/>
      <c r="H215" s="183"/>
      <c r="I215" s="299" t="s">
        <v>3450</v>
      </c>
      <c r="J215" s="299"/>
      <c r="K215" s="299"/>
    </row>
    <row r="216" spans="1:11" ht="12" x14ac:dyDescent="0.2">
      <c r="A216" s="299"/>
      <c r="B216" s="299"/>
      <c r="C216" s="299"/>
      <c r="D216" s="299"/>
      <c r="E216" s="191"/>
      <c r="F216" s="191"/>
      <c r="G216" s="183"/>
      <c r="H216" s="196"/>
      <c r="I216" s="299" t="s">
        <v>3564</v>
      </c>
      <c r="J216" s="299"/>
      <c r="K216" s="299"/>
    </row>
    <row r="217" spans="1:11" ht="12" x14ac:dyDescent="0.2">
      <c r="A217" s="299"/>
      <c r="B217" s="299"/>
      <c r="C217" s="299"/>
      <c r="D217" s="299"/>
      <c r="E217" s="191"/>
      <c r="F217" s="191"/>
      <c r="G217" s="183"/>
      <c r="H217" s="183"/>
      <c r="I217" s="299"/>
      <c r="J217" s="299"/>
      <c r="K217" s="299"/>
    </row>
    <row r="218" spans="1:11" ht="12" x14ac:dyDescent="0.2">
      <c r="A218" s="299"/>
      <c r="B218" s="299"/>
      <c r="C218" s="299"/>
      <c r="D218" s="299"/>
      <c r="E218" s="191"/>
      <c r="F218" s="191"/>
      <c r="G218" s="183" t="s">
        <v>3459</v>
      </c>
      <c r="H218" s="63"/>
      <c r="I218" s="299"/>
      <c r="J218" s="299"/>
      <c r="K218" s="299"/>
    </row>
    <row r="219" spans="1:11" ht="12" x14ac:dyDescent="0.2">
      <c r="A219" s="299"/>
      <c r="B219" s="299"/>
      <c r="C219" s="299"/>
      <c r="D219" s="299"/>
      <c r="E219" s="191"/>
      <c r="F219" s="191"/>
      <c r="G219" s="183"/>
      <c r="H219" s="204">
        <f>H218-H210</f>
        <v>0</v>
      </c>
      <c r="I219" s="299" t="s">
        <v>3451</v>
      </c>
      <c r="J219" s="299"/>
      <c r="K219" s="299"/>
    </row>
    <row r="220" spans="1:11" x14ac:dyDescent="0.2">
      <c r="G220" s="207"/>
      <c r="I220" s="312"/>
      <c r="J220" s="312"/>
      <c r="K220" s="312"/>
    </row>
    <row r="221" spans="1:11" x14ac:dyDescent="0.2">
      <c r="G221" s="207"/>
    </row>
    <row r="222" spans="1:11" x14ac:dyDescent="0.2">
      <c r="G222" s="207"/>
      <c r="H222" s="197"/>
    </row>
    <row r="223" spans="1:11" ht="12.75" x14ac:dyDescent="0.2">
      <c r="A223" s="1"/>
      <c r="B223" s="192"/>
      <c r="C223" s="128"/>
      <c r="D223" s="192"/>
      <c r="E223" s="192"/>
      <c r="F223" s="192"/>
      <c r="G223" s="128"/>
      <c r="H223" s="128"/>
      <c r="I223" s="192"/>
      <c r="J223" s="128"/>
      <c r="K223" s="128"/>
    </row>
    <row r="224" spans="1:11" ht="12.75" x14ac:dyDescent="0.2">
      <c r="A224" s="199"/>
      <c r="B224" s="192"/>
      <c r="C224" s="128"/>
      <c r="D224" s="192"/>
      <c r="E224" s="192"/>
      <c r="F224" s="192"/>
      <c r="G224" s="128"/>
      <c r="H224" s="128"/>
      <c r="I224" s="192"/>
      <c r="J224" s="128"/>
      <c r="K224" s="128"/>
    </row>
    <row r="225" spans="1:11" ht="12.75" x14ac:dyDescent="0.2">
      <c r="A225" s="199"/>
      <c r="B225" s="192"/>
      <c r="C225" s="128"/>
      <c r="D225" s="192"/>
      <c r="E225" s="192"/>
      <c r="F225" s="192"/>
      <c r="G225" s="128"/>
      <c r="H225" s="128"/>
      <c r="I225" s="192"/>
      <c r="J225" s="128"/>
      <c r="K225" s="128"/>
    </row>
    <row r="226" spans="1:11" ht="12.75" x14ac:dyDescent="0.2">
      <c r="A226" s="199"/>
      <c r="B226" s="192"/>
      <c r="C226" s="128"/>
      <c r="D226" s="192"/>
      <c r="E226" s="192"/>
      <c r="F226" s="192"/>
      <c r="G226" s="128"/>
      <c r="H226" s="128"/>
      <c r="I226" s="192"/>
      <c r="J226" s="128"/>
      <c r="K226" s="128"/>
    </row>
    <row r="227" spans="1:11" ht="12.75" x14ac:dyDescent="0.2">
      <c r="A227" s="199"/>
      <c r="B227" s="192"/>
      <c r="C227" s="128"/>
      <c r="D227" s="192"/>
      <c r="E227" s="192"/>
      <c r="F227" s="192"/>
      <c r="G227" s="128"/>
      <c r="H227" s="128"/>
      <c r="I227" s="192"/>
      <c r="J227" s="128"/>
      <c r="K227" s="128"/>
    </row>
    <row r="228" spans="1:11" ht="12.75" x14ac:dyDescent="0.2">
      <c r="A228" s="199"/>
      <c r="B228" s="192"/>
      <c r="C228" s="128"/>
      <c r="D228" s="192"/>
      <c r="E228" s="192"/>
      <c r="F228" s="192"/>
      <c r="G228" s="128"/>
      <c r="H228" s="128"/>
      <c r="I228" s="192"/>
      <c r="J228" s="128"/>
      <c r="K228" s="128"/>
    </row>
    <row r="229" spans="1:11" ht="12.75" x14ac:dyDescent="0.2">
      <c r="A229" s="199"/>
      <c r="B229" s="192"/>
      <c r="C229" s="128"/>
      <c r="D229" s="192"/>
      <c r="E229" s="192"/>
      <c r="F229" s="192"/>
      <c r="G229" s="128"/>
      <c r="H229" s="128"/>
      <c r="I229" s="192"/>
      <c r="J229" s="128"/>
      <c r="K229" s="128"/>
    </row>
    <row r="230" spans="1:11" ht="12.75" x14ac:dyDescent="0.2">
      <c r="A230" s="199"/>
      <c r="B230" s="192"/>
      <c r="C230" s="128"/>
      <c r="D230" s="192"/>
      <c r="E230" s="192"/>
      <c r="F230" s="192"/>
      <c r="G230" s="128"/>
      <c r="H230" s="128"/>
      <c r="I230" s="192"/>
      <c r="J230" s="128"/>
      <c r="K230" s="128"/>
    </row>
    <row r="231" spans="1:11" ht="12.75" x14ac:dyDescent="0.2">
      <c r="A231" s="199"/>
      <c r="B231" s="192"/>
      <c r="C231" s="128"/>
      <c r="D231" s="192"/>
      <c r="E231" s="192"/>
      <c r="F231" s="192"/>
      <c r="G231" s="128"/>
      <c r="H231" s="128"/>
      <c r="I231" s="192"/>
      <c r="J231" s="128"/>
      <c r="K231" s="128"/>
    </row>
    <row r="232" spans="1:11" ht="12.75" x14ac:dyDescent="0.2">
      <c r="A232" s="199"/>
      <c r="B232" s="192"/>
      <c r="C232" s="128"/>
      <c r="D232" s="192"/>
      <c r="E232" s="192"/>
      <c r="F232" s="192"/>
      <c r="G232" s="128"/>
      <c r="H232" s="128"/>
      <c r="I232" s="192"/>
      <c r="J232" s="128"/>
      <c r="K232" s="128"/>
    </row>
    <row r="233" spans="1:11" ht="12.75" x14ac:dyDescent="0.2">
      <c r="A233" s="199"/>
      <c r="B233" s="192"/>
      <c r="C233" s="128"/>
      <c r="D233" s="192"/>
      <c r="E233" s="192"/>
      <c r="F233" s="192"/>
      <c r="G233" s="128"/>
      <c r="H233" s="128"/>
      <c r="I233" s="192"/>
      <c r="J233" s="128"/>
      <c r="K233" s="128"/>
    </row>
    <row r="234" spans="1:11" ht="12.75" x14ac:dyDescent="0.2">
      <c r="A234" s="199"/>
      <c r="B234" s="192"/>
      <c r="C234" s="128"/>
      <c r="D234" s="192"/>
      <c r="E234" s="192"/>
      <c r="F234" s="192"/>
      <c r="G234" s="128"/>
      <c r="H234" s="128"/>
      <c r="I234" s="192"/>
      <c r="J234" s="128"/>
      <c r="K234" s="128"/>
    </row>
    <row r="235" spans="1:11" ht="12.75" x14ac:dyDescent="0.2">
      <c r="A235" s="199"/>
      <c r="B235" s="192"/>
      <c r="C235" s="128"/>
      <c r="D235" s="192"/>
      <c r="E235" s="192"/>
      <c r="F235" s="192"/>
      <c r="G235" s="128"/>
      <c r="H235" s="128"/>
      <c r="I235" s="192"/>
      <c r="J235" s="128"/>
      <c r="K235" s="128"/>
    </row>
    <row r="236" spans="1:11" ht="12.75" x14ac:dyDescent="0.2">
      <c r="A236" s="199"/>
      <c r="B236" s="192"/>
      <c r="C236" s="128"/>
      <c r="D236" s="192"/>
      <c r="E236" s="192"/>
      <c r="F236" s="192"/>
      <c r="G236" s="128"/>
      <c r="H236" s="128"/>
      <c r="I236" s="192"/>
      <c r="J236" s="128"/>
      <c r="K236" s="128"/>
    </row>
    <row r="237" spans="1:11" ht="12.75" x14ac:dyDescent="0.2">
      <c r="A237" s="199"/>
      <c r="B237" s="192"/>
      <c r="C237" s="128"/>
      <c r="D237" s="192"/>
      <c r="E237" s="192"/>
      <c r="F237" s="192"/>
      <c r="G237" s="128"/>
      <c r="H237" s="128"/>
      <c r="I237" s="192"/>
      <c r="J237" s="128"/>
      <c r="K237" s="128"/>
    </row>
    <row r="238" spans="1:11" ht="12.75" x14ac:dyDescent="0.2">
      <c r="A238" s="199"/>
      <c r="B238" s="192"/>
      <c r="C238" s="128"/>
      <c r="D238" s="192"/>
      <c r="E238" s="192"/>
      <c r="F238" s="192"/>
      <c r="G238" s="128"/>
      <c r="H238" s="128"/>
      <c r="I238" s="192"/>
      <c r="J238" s="128"/>
      <c r="K238" s="128"/>
    </row>
    <row r="239" spans="1:11" ht="12.75" x14ac:dyDescent="0.2">
      <c r="A239" s="199"/>
      <c r="B239" s="192"/>
      <c r="C239" s="128"/>
      <c r="D239" s="192"/>
      <c r="E239" s="192"/>
      <c r="F239" s="192"/>
      <c r="G239" s="128"/>
      <c r="H239" s="128"/>
      <c r="I239" s="192"/>
      <c r="J239" s="128"/>
      <c r="K239" s="128"/>
    </row>
    <row r="240" spans="1:11" ht="12.75" x14ac:dyDescent="0.2">
      <c r="A240" s="199"/>
      <c r="B240" s="192"/>
      <c r="C240" s="128"/>
      <c r="D240" s="192"/>
      <c r="E240" s="192"/>
      <c r="F240" s="192"/>
      <c r="G240" s="128"/>
      <c r="H240" s="128"/>
      <c r="I240" s="192"/>
      <c r="J240" s="128"/>
      <c r="K240" s="128"/>
    </row>
    <row r="241" spans="1:11" ht="12.75" x14ac:dyDescent="0.2">
      <c r="A241" s="199"/>
      <c r="B241" s="192"/>
      <c r="C241" s="128"/>
      <c r="D241" s="192"/>
      <c r="E241" s="192"/>
      <c r="F241" s="192"/>
      <c r="G241" s="128"/>
      <c r="H241" s="128"/>
      <c r="I241" s="192"/>
      <c r="J241" s="128"/>
      <c r="K241" s="128"/>
    </row>
    <row r="242" spans="1:11" ht="12.75" x14ac:dyDescent="0.2">
      <c r="A242" s="199"/>
      <c r="B242" s="192"/>
      <c r="C242" s="128"/>
      <c r="D242" s="192"/>
      <c r="E242" s="192"/>
      <c r="F242" s="192"/>
      <c r="G242" s="128"/>
      <c r="H242" s="128"/>
      <c r="I242" s="192"/>
      <c r="J242" s="128"/>
      <c r="K242" s="128"/>
    </row>
    <row r="243" spans="1:11" ht="12.75" x14ac:dyDescent="0.2">
      <c r="A243" s="199"/>
      <c r="B243" s="192"/>
      <c r="C243" s="128"/>
      <c r="D243" s="192"/>
      <c r="E243" s="192"/>
      <c r="F243" s="192"/>
      <c r="G243" s="128"/>
      <c r="H243" s="128"/>
      <c r="I243" s="192"/>
      <c r="J243" s="128"/>
      <c r="K243" s="128"/>
    </row>
    <row r="244" spans="1:11" ht="12.75" x14ac:dyDescent="0.2">
      <c r="A244" s="199"/>
      <c r="B244" s="192"/>
      <c r="C244" s="128"/>
      <c r="D244" s="192"/>
      <c r="E244" s="192"/>
      <c r="F244" s="192"/>
      <c r="G244" s="128"/>
      <c r="H244" s="128"/>
      <c r="I244" s="192"/>
      <c r="J244" s="128"/>
      <c r="K244" s="128"/>
    </row>
    <row r="245" spans="1:11" ht="12.75" x14ac:dyDescent="0.2">
      <c r="A245" s="199"/>
      <c r="B245" s="192"/>
      <c r="C245" s="128"/>
      <c r="D245" s="192"/>
      <c r="E245" s="192"/>
      <c r="F245" s="192"/>
      <c r="G245" s="128"/>
      <c r="H245" s="128"/>
      <c r="I245" s="192"/>
      <c r="J245" s="128"/>
      <c r="K245" s="128"/>
    </row>
    <row r="246" spans="1:11" ht="12.75" x14ac:dyDescent="0.2">
      <c r="A246" s="199"/>
      <c r="B246" s="192"/>
      <c r="C246" s="128"/>
      <c r="D246" s="192"/>
      <c r="E246" s="192"/>
      <c r="F246" s="192"/>
      <c r="G246" s="128"/>
      <c r="H246" s="128"/>
      <c r="I246" s="192"/>
      <c r="J246" s="128"/>
      <c r="K246" s="128"/>
    </row>
    <row r="247" spans="1:11" ht="12.75" x14ac:dyDescent="0.2">
      <c r="A247" s="199" t="s">
        <v>0</v>
      </c>
      <c r="B247" s="192"/>
      <c r="C247" s="128"/>
      <c r="D247" s="192"/>
      <c r="E247" s="192"/>
      <c r="F247" s="192"/>
      <c r="G247" s="128"/>
      <c r="H247" s="128"/>
      <c r="I247" s="192"/>
      <c r="J247" s="128"/>
      <c r="K247" s="128"/>
    </row>
    <row r="248" spans="1:11" ht="12.75" x14ac:dyDescent="0.2">
      <c r="A248" s="199" t="s">
        <v>1</v>
      </c>
      <c r="B248" s="192"/>
      <c r="C248" s="128"/>
      <c r="D248" s="192"/>
      <c r="E248" s="192"/>
      <c r="F248" s="192"/>
      <c r="G248" s="128"/>
      <c r="H248" s="128"/>
      <c r="I248" s="192"/>
      <c r="J248" s="128"/>
      <c r="K248" s="128"/>
    </row>
    <row r="249" spans="1:11" ht="12.75" x14ac:dyDescent="0.2">
      <c r="A249" s="313" t="s">
        <v>3259</v>
      </c>
      <c r="B249" s="313"/>
      <c r="C249" s="313"/>
      <c r="D249" s="313"/>
      <c r="E249" s="313"/>
      <c r="F249" s="313"/>
      <c r="G249" s="313"/>
      <c r="H249" s="313"/>
      <c r="I249" s="313"/>
      <c r="J249" s="313"/>
      <c r="K249" s="313"/>
    </row>
    <row r="250" spans="1:11" ht="12.75" x14ac:dyDescent="0.2">
      <c r="A250" s="313" t="s">
        <v>3457</v>
      </c>
      <c r="B250" s="313"/>
      <c r="C250" s="313"/>
      <c r="D250" s="313"/>
      <c r="E250" s="313"/>
      <c r="F250" s="313"/>
      <c r="G250" s="313"/>
      <c r="H250" s="313"/>
      <c r="I250" s="313"/>
      <c r="J250" s="313"/>
      <c r="K250" s="313"/>
    </row>
    <row r="251" spans="1:11" x14ac:dyDescent="0.2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</row>
    <row r="252" spans="1:11" x14ac:dyDescent="0.2">
      <c r="A252" s="287" t="s">
        <v>3260</v>
      </c>
      <c r="B252" s="288"/>
      <c r="C252" s="289" t="s">
        <v>8</v>
      </c>
      <c r="D252" s="287" t="s">
        <v>3261</v>
      </c>
      <c r="E252" s="288"/>
      <c r="F252" s="308" t="s">
        <v>76</v>
      </c>
      <c r="G252" s="309"/>
      <c r="H252" s="310"/>
      <c r="I252" s="308" t="s">
        <v>5</v>
      </c>
      <c r="J252" s="309"/>
      <c r="K252" s="310"/>
    </row>
    <row r="253" spans="1:11" x14ac:dyDescent="0.2">
      <c r="A253" s="289" t="s">
        <v>7</v>
      </c>
      <c r="B253" s="289" t="s">
        <v>16</v>
      </c>
      <c r="C253" s="290"/>
      <c r="D253" s="292" t="s">
        <v>7</v>
      </c>
      <c r="E253" s="292" t="s">
        <v>3262</v>
      </c>
      <c r="F253" s="292" t="s">
        <v>3252</v>
      </c>
      <c r="G253" s="292" t="s">
        <v>3251</v>
      </c>
      <c r="H253" s="292" t="s">
        <v>3452</v>
      </c>
      <c r="I253" s="292" t="s">
        <v>3252</v>
      </c>
      <c r="J253" s="292" t="s">
        <v>3251</v>
      </c>
      <c r="K253" s="292" t="s">
        <v>3452</v>
      </c>
    </row>
    <row r="254" spans="1:11" x14ac:dyDescent="0.2">
      <c r="A254" s="291"/>
      <c r="B254" s="291"/>
      <c r="C254" s="291"/>
      <c r="D254" s="294"/>
      <c r="E254" s="294"/>
      <c r="F254" s="294"/>
      <c r="G254" s="294"/>
      <c r="H254" s="294"/>
      <c r="I254" s="294"/>
      <c r="J254" s="294"/>
      <c r="K254" s="294"/>
    </row>
    <row r="255" spans="1:11" x14ac:dyDescent="0.2">
      <c r="A255" s="176"/>
      <c r="B255" s="176"/>
      <c r="C255" s="55"/>
      <c r="D255" s="10"/>
      <c r="E255" s="6"/>
      <c r="F255" s="178"/>
      <c r="G255" s="179"/>
      <c r="H255" s="179"/>
      <c r="I255" s="10"/>
      <c r="J255" s="30"/>
      <c r="K255" s="200">
        <f>H255</f>
        <v>0</v>
      </c>
    </row>
    <row r="256" spans="1:11" x14ac:dyDescent="0.2">
      <c r="A256" s="62"/>
      <c r="B256" s="62"/>
      <c r="C256" s="30"/>
      <c r="D256" s="10"/>
      <c r="E256" s="10"/>
      <c r="F256" s="177"/>
      <c r="G256" s="180"/>
      <c r="H256" s="180"/>
      <c r="I256" s="10"/>
      <c r="J256" s="30"/>
      <c r="K256" s="200">
        <f t="shared" ref="K256:K319" si="15">H256</f>
        <v>0</v>
      </c>
    </row>
    <row r="257" spans="1:11" x14ac:dyDescent="0.2">
      <c r="A257" s="62"/>
      <c r="B257" s="62"/>
      <c r="C257" s="30"/>
      <c r="D257" s="10"/>
      <c r="E257" s="10"/>
      <c r="F257" s="177"/>
      <c r="G257" s="180"/>
      <c r="H257" s="180"/>
      <c r="I257" s="10"/>
      <c r="J257" s="30"/>
      <c r="K257" s="200">
        <f t="shared" si="15"/>
        <v>0</v>
      </c>
    </row>
    <row r="258" spans="1:11" x14ac:dyDescent="0.2">
      <c r="A258" s="62"/>
      <c r="B258" s="62"/>
      <c r="C258" s="30"/>
      <c r="D258" s="10"/>
      <c r="E258" s="10"/>
      <c r="F258" s="177"/>
      <c r="G258" s="180"/>
      <c r="H258" s="180"/>
      <c r="I258" s="10"/>
      <c r="J258" s="30"/>
      <c r="K258" s="200">
        <f t="shared" si="15"/>
        <v>0</v>
      </c>
    </row>
    <row r="259" spans="1:11" x14ac:dyDescent="0.2">
      <c r="A259" s="62"/>
      <c r="B259" s="62"/>
      <c r="C259" s="30"/>
      <c r="D259" s="10"/>
      <c r="E259" s="10"/>
      <c r="F259" s="177"/>
      <c r="G259" s="180"/>
      <c r="H259" s="180"/>
      <c r="I259" s="10"/>
      <c r="J259" s="30"/>
      <c r="K259" s="200">
        <f t="shared" si="15"/>
        <v>0</v>
      </c>
    </row>
    <row r="260" spans="1:11" x14ac:dyDescent="0.2">
      <c r="A260" s="62"/>
      <c r="B260" s="62"/>
      <c r="C260" s="30"/>
      <c r="D260" s="10"/>
      <c r="E260" s="10"/>
      <c r="F260" s="177"/>
      <c r="G260" s="180"/>
      <c r="H260" s="180"/>
      <c r="I260" s="10"/>
      <c r="J260" s="30"/>
      <c r="K260" s="200">
        <f t="shared" si="15"/>
        <v>0</v>
      </c>
    </row>
    <row r="261" spans="1:11" x14ac:dyDescent="0.2">
      <c r="A261" s="62"/>
      <c r="B261" s="62"/>
      <c r="C261" s="30"/>
      <c r="D261" s="10"/>
      <c r="E261" s="10"/>
      <c r="F261" s="177"/>
      <c r="G261" s="180"/>
      <c r="H261" s="180"/>
      <c r="I261" s="10"/>
      <c r="J261" s="30"/>
      <c r="K261" s="200">
        <f t="shared" si="15"/>
        <v>0</v>
      </c>
    </row>
    <row r="262" spans="1:11" x14ac:dyDescent="0.2">
      <c r="A262" s="62"/>
      <c r="B262" s="62"/>
      <c r="C262" s="30"/>
      <c r="D262" s="10"/>
      <c r="E262" s="10"/>
      <c r="F262" s="177"/>
      <c r="G262" s="180"/>
      <c r="H262" s="180"/>
      <c r="I262" s="10"/>
      <c r="J262" s="30"/>
      <c r="K262" s="200">
        <f t="shared" si="15"/>
        <v>0</v>
      </c>
    </row>
    <row r="263" spans="1:11" x14ac:dyDescent="0.2">
      <c r="A263" s="62"/>
      <c r="B263" s="62"/>
      <c r="C263" s="30"/>
      <c r="D263" s="10"/>
      <c r="E263" s="10"/>
      <c r="F263" s="177"/>
      <c r="G263" s="180"/>
      <c r="H263" s="180"/>
      <c r="I263" s="10"/>
      <c r="J263" s="30"/>
      <c r="K263" s="200">
        <f t="shared" si="15"/>
        <v>0</v>
      </c>
    </row>
    <row r="264" spans="1:11" x14ac:dyDescent="0.2">
      <c r="A264" s="62"/>
      <c r="B264" s="62"/>
      <c r="C264" s="30"/>
      <c r="D264" s="10"/>
      <c r="E264" s="10"/>
      <c r="F264" s="177"/>
      <c r="G264" s="180"/>
      <c r="H264" s="180"/>
      <c r="I264" s="10"/>
      <c r="J264" s="30"/>
      <c r="K264" s="200">
        <f t="shared" si="15"/>
        <v>0</v>
      </c>
    </row>
    <row r="265" spans="1:11" x14ac:dyDescent="0.2">
      <c r="A265" s="62"/>
      <c r="B265" s="62"/>
      <c r="C265" s="30"/>
      <c r="D265" s="10"/>
      <c r="E265" s="10"/>
      <c r="F265" s="177"/>
      <c r="G265" s="180"/>
      <c r="H265" s="180"/>
      <c r="I265" s="10"/>
      <c r="J265" s="30"/>
      <c r="K265" s="200">
        <f t="shared" si="15"/>
        <v>0</v>
      </c>
    </row>
    <row r="266" spans="1:11" x14ac:dyDescent="0.2">
      <c r="A266" s="62"/>
      <c r="B266" s="62"/>
      <c r="C266" s="30"/>
      <c r="D266" s="10"/>
      <c r="E266" s="10"/>
      <c r="F266" s="177"/>
      <c r="G266" s="180"/>
      <c r="H266" s="180"/>
      <c r="I266" s="10"/>
      <c r="J266" s="30"/>
      <c r="K266" s="200">
        <f t="shared" si="15"/>
        <v>0</v>
      </c>
    </row>
    <row r="267" spans="1:11" x14ac:dyDescent="0.2">
      <c r="A267" s="62"/>
      <c r="B267" s="62"/>
      <c r="C267" s="30"/>
      <c r="D267" s="10"/>
      <c r="E267" s="10"/>
      <c r="F267" s="177"/>
      <c r="G267" s="180"/>
      <c r="H267" s="180"/>
      <c r="I267" s="10"/>
      <c r="J267" s="30"/>
      <c r="K267" s="200">
        <f t="shared" si="15"/>
        <v>0</v>
      </c>
    </row>
    <row r="268" spans="1:11" x14ac:dyDescent="0.2">
      <c r="A268" s="62"/>
      <c r="B268" s="62"/>
      <c r="C268" s="30"/>
      <c r="D268" s="10"/>
      <c r="E268" s="10"/>
      <c r="F268" s="177"/>
      <c r="G268" s="180"/>
      <c r="H268" s="180"/>
      <c r="I268" s="10"/>
      <c r="J268" s="30"/>
      <c r="K268" s="200">
        <f t="shared" si="15"/>
        <v>0</v>
      </c>
    </row>
    <row r="269" spans="1:11" x14ac:dyDescent="0.2">
      <c r="A269" s="62"/>
      <c r="B269" s="62"/>
      <c r="C269" s="30"/>
      <c r="D269" s="10"/>
      <c r="E269" s="10"/>
      <c r="F269" s="177"/>
      <c r="G269" s="180"/>
      <c r="H269" s="180"/>
      <c r="I269" s="10"/>
      <c r="J269" s="30"/>
      <c r="K269" s="200">
        <f t="shared" si="15"/>
        <v>0</v>
      </c>
    </row>
    <row r="270" spans="1:11" x14ac:dyDescent="0.2">
      <c r="A270" s="62"/>
      <c r="B270" s="62"/>
      <c r="C270" s="30"/>
      <c r="D270" s="10"/>
      <c r="E270" s="10"/>
      <c r="F270" s="177"/>
      <c r="G270" s="180"/>
      <c r="H270" s="180"/>
      <c r="I270" s="10"/>
      <c r="J270" s="30"/>
      <c r="K270" s="200">
        <f t="shared" si="15"/>
        <v>0</v>
      </c>
    </row>
    <row r="271" spans="1:11" x14ac:dyDescent="0.2">
      <c r="A271" s="62"/>
      <c r="B271" s="62"/>
      <c r="C271" s="30"/>
      <c r="D271" s="10"/>
      <c r="E271" s="10"/>
      <c r="F271" s="177"/>
      <c r="G271" s="180"/>
      <c r="H271" s="180"/>
      <c r="I271" s="10"/>
      <c r="J271" s="30"/>
      <c r="K271" s="200">
        <f t="shared" si="15"/>
        <v>0</v>
      </c>
    </row>
    <row r="272" spans="1:11" x14ac:dyDescent="0.2">
      <c r="A272" s="62"/>
      <c r="B272" s="62"/>
      <c r="C272" s="30"/>
      <c r="D272" s="10"/>
      <c r="E272" s="10"/>
      <c r="F272" s="177"/>
      <c r="G272" s="180"/>
      <c r="H272" s="180"/>
      <c r="I272" s="10"/>
      <c r="J272" s="30"/>
      <c r="K272" s="200">
        <f t="shared" si="15"/>
        <v>0</v>
      </c>
    </row>
    <row r="273" spans="1:11" x14ac:dyDescent="0.2">
      <c r="A273" s="62"/>
      <c r="B273" s="62"/>
      <c r="C273" s="30"/>
      <c r="D273" s="10"/>
      <c r="E273" s="10"/>
      <c r="F273" s="177"/>
      <c r="G273" s="180"/>
      <c r="H273" s="180"/>
      <c r="I273" s="10"/>
      <c r="J273" s="30"/>
      <c r="K273" s="200">
        <f t="shared" si="15"/>
        <v>0</v>
      </c>
    </row>
    <row r="274" spans="1:11" x14ac:dyDescent="0.2">
      <c r="A274" s="62"/>
      <c r="B274" s="62"/>
      <c r="C274" s="30"/>
      <c r="D274" s="10"/>
      <c r="E274" s="10"/>
      <c r="F274" s="177"/>
      <c r="G274" s="180"/>
      <c r="H274" s="180"/>
      <c r="I274" s="10"/>
      <c r="J274" s="30"/>
      <c r="K274" s="200">
        <f t="shared" si="15"/>
        <v>0</v>
      </c>
    </row>
    <row r="275" spans="1:11" x14ac:dyDescent="0.2">
      <c r="A275" s="62"/>
      <c r="B275" s="62"/>
      <c r="C275" s="30"/>
      <c r="D275" s="10"/>
      <c r="E275" s="10"/>
      <c r="F275" s="177"/>
      <c r="G275" s="180"/>
      <c r="H275" s="180"/>
      <c r="I275" s="10"/>
      <c r="J275" s="30"/>
      <c r="K275" s="200">
        <f t="shared" si="15"/>
        <v>0</v>
      </c>
    </row>
    <row r="276" spans="1:11" x14ac:dyDescent="0.2">
      <c r="A276" s="62"/>
      <c r="B276" s="62"/>
      <c r="C276" s="30"/>
      <c r="D276" s="10"/>
      <c r="E276" s="10"/>
      <c r="F276" s="177"/>
      <c r="G276" s="180"/>
      <c r="H276" s="180"/>
      <c r="I276" s="10"/>
      <c r="J276" s="30"/>
      <c r="K276" s="200">
        <f t="shared" si="15"/>
        <v>0</v>
      </c>
    </row>
    <row r="277" spans="1:11" x14ac:dyDescent="0.2">
      <c r="A277" s="62"/>
      <c r="B277" s="62"/>
      <c r="C277" s="30"/>
      <c r="D277" s="10"/>
      <c r="E277" s="10"/>
      <c r="F277" s="177"/>
      <c r="G277" s="180"/>
      <c r="H277" s="180"/>
      <c r="I277" s="10"/>
      <c r="J277" s="30"/>
      <c r="K277" s="200">
        <f t="shared" si="15"/>
        <v>0</v>
      </c>
    </row>
    <row r="278" spans="1:11" x14ac:dyDescent="0.2">
      <c r="A278" s="62"/>
      <c r="B278" s="62"/>
      <c r="C278" s="30"/>
      <c r="D278" s="10"/>
      <c r="E278" s="10"/>
      <c r="F278" s="177"/>
      <c r="G278" s="180"/>
      <c r="H278" s="180"/>
      <c r="I278" s="10"/>
      <c r="J278" s="30"/>
      <c r="K278" s="200">
        <f t="shared" si="15"/>
        <v>0</v>
      </c>
    </row>
    <row r="279" spans="1:11" x14ac:dyDescent="0.2">
      <c r="A279" s="62"/>
      <c r="B279" s="62"/>
      <c r="C279" s="30"/>
      <c r="D279" s="10"/>
      <c r="E279" s="10"/>
      <c r="F279" s="177"/>
      <c r="G279" s="180"/>
      <c r="H279" s="180"/>
      <c r="I279" s="10"/>
      <c r="J279" s="30"/>
      <c r="K279" s="200">
        <f t="shared" si="15"/>
        <v>0</v>
      </c>
    </row>
    <row r="280" spans="1:11" x14ac:dyDescent="0.2">
      <c r="A280" s="62"/>
      <c r="B280" s="62"/>
      <c r="C280" s="30"/>
      <c r="D280" s="10"/>
      <c r="E280" s="10"/>
      <c r="F280" s="177"/>
      <c r="G280" s="180"/>
      <c r="H280" s="180"/>
      <c r="I280" s="10"/>
      <c r="J280" s="30"/>
      <c r="K280" s="200">
        <f t="shared" si="15"/>
        <v>0</v>
      </c>
    </row>
    <row r="281" spans="1:11" x14ac:dyDescent="0.2">
      <c r="A281" s="62"/>
      <c r="B281" s="62"/>
      <c r="C281" s="30"/>
      <c r="D281" s="10"/>
      <c r="E281" s="10"/>
      <c r="F281" s="177"/>
      <c r="G281" s="180"/>
      <c r="H281" s="180"/>
      <c r="I281" s="10"/>
      <c r="J281" s="30"/>
      <c r="K281" s="200">
        <f t="shared" si="15"/>
        <v>0</v>
      </c>
    </row>
    <row r="282" spans="1:11" x14ac:dyDescent="0.2">
      <c r="A282" s="62"/>
      <c r="B282" s="62"/>
      <c r="C282" s="30"/>
      <c r="D282" s="10"/>
      <c r="E282" s="10"/>
      <c r="F282" s="177"/>
      <c r="G282" s="180"/>
      <c r="H282" s="180"/>
      <c r="I282" s="10"/>
      <c r="J282" s="30"/>
      <c r="K282" s="200">
        <f t="shared" si="15"/>
        <v>0</v>
      </c>
    </row>
    <row r="283" spans="1:11" x14ac:dyDescent="0.2">
      <c r="A283" s="62"/>
      <c r="B283" s="62"/>
      <c r="C283" s="30"/>
      <c r="D283" s="10"/>
      <c r="E283" s="10"/>
      <c r="F283" s="177"/>
      <c r="G283" s="180"/>
      <c r="H283" s="180"/>
      <c r="I283" s="10"/>
      <c r="J283" s="30"/>
      <c r="K283" s="200">
        <f t="shared" si="15"/>
        <v>0</v>
      </c>
    </row>
    <row r="284" spans="1:11" x14ac:dyDescent="0.2">
      <c r="A284" s="62"/>
      <c r="B284" s="62"/>
      <c r="C284" s="30"/>
      <c r="D284" s="10"/>
      <c r="E284" s="10"/>
      <c r="F284" s="177"/>
      <c r="G284" s="180"/>
      <c r="H284" s="180"/>
      <c r="I284" s="10"/>
      <c r="J284" s="30"/>
      <c r="K284" s="200">
        <f t="shared" si="15"/>
        <v>0</v>
      </c>
    </row>
    <row r="285" spans="1:11" x14ac:dyDescent="0.2">
      <c r="A285" s="62"/>
      <c r="B285" s="62"/>
      <c r="C285" s="30"/>
      <c r="D285" s="10"/>
      <c r="E285" s="10"/>
      <c r="F285" s="177"/>
      <c r="G285" s="180"/>
      <c r="H285" s="180"/>
      <c r="I285" s="10"/>
      <c r="J285" s="30"/>
      <c r="K285" s="200">
        <f t="shared" si="15"/>
        <v>0</v>
      </c>
    </row>
    <row r="286" spans="1:11" x14ac:dyDescent="0.2">
      <c r="A286" s="62"/>
      <c r="B286" s="62"/>
      <c r="C286" s="30"/>
      <c r="D286" s="10"/>
      <c r="E286" s="10"/>
      <c r="F286" s="177"/>
      <c r="G286" s="180"/>
      <c r="H286" s="180"/>
      <c r="I286" s="10"/>
      <c r="J286" s="30"/>
      <c r="K286" s="200">
        <f t="shared" si="15"/>
        <v>0</v>
      </c>
    </row>
    <row r="287" spans="1:11" x14ac:dyDescent="0.2">
      <c r="A287" s="62"/>
      <c r="B287" s="62"/>
      <c r="C287" s="30"/>
      <c r="D287" s="10"/>
      <c r="E287" s="10"/>
      <c r="F287" s="177"/>
      <c r="G287" s="180"/>
      <c r="H287" s="180"/>
      <c r="I287" s="10"/>
      <c r="J287" s="30"/>
      <c r="K287" s="200">
        <f t="shared" si="15"/>
        <v>0</v>
      </c>
    </row>
    <row r="288" spans="1:11" x14ac:dyDescent="0.2">
      <c r="A288" s="62"/>
      <c r="B288" s="62"/>
      <c r="C288" s="30"/>
      <c r="D288" s="10"/>
      <c r="E288" s="10"/>
      <c r="F288" s="177"/>
      <c r="G288" s="180"/>
      <c r="H288" s="180"/>
      <c r="I288" s="10"/>
      <c r="J288" s="30"/>
      <c r="K288" s="200">
        <f t="shared" si="15"/>
        <v>0</v>
      </c>
    </row>
    <row r="289" spans="1:11" x14ac:dyDescent="0.2">
      <c r="A289" s="62"/>
      <c r="B289" s="62"/>
      <c r="C289" s="30"/>
      <c r="D289" s="10"/>
      <c r="E289" s="10"/>
      <c r="F289" s="177"/>
      <c r="G289" s="180"/>
      <c r="H289" s="180"/>
      <c r="I289" s="10"/>
      <c r="J289" s="30"/>
      <c r="K289" s="200">
        <f t="shared" si="15"/>
        <v>0</v>
      </c>
    </row>
    <row r="290" spans="1:11" x14ac:dyDescent="0.2">
      <c r="A290" s="62"/>
      <c r="B290" s="62"/>
      <c r="C290" s="30"/>
      <c r="D290" s="10"/>
      <c r="E290" s="10"/>
      <c r="F290" s="177"/>
      <c r="G290" s="180"/>
      <c r="H290" s="180"/>
      <c r="I290" s="10"/>
      <c r="J290" s="30"/>
      <c r="K290" s="200">
        <f t="shared" si="15"/>
        <v>0</v>
      </c>
    </row>
    <row r="291" spans="1:11" x14ac:dyDescent="0.2">
      <c r="A291" s="62"/>
      <c r="B291" s="62"/>
      <c r="C291" s="30"/>
      <c r="D291" s="10"/>
      <c r="E291" s="10"/>
      <c r="F291" s="177"/>
      <c r="G291" s="180"/>
      <c r="H291" s="180"/>
      <c r="I291" s="10"/>
      <c r="J291" s="30"/>
      <c r="K291" s="200">
        <f t="shared" si="15"/>
        <v>0</v>
      </c>
    </row>
    <row r="292" spans="1:11" x14ac:dyDescent="0.2">
      <c r="A292" s="62"/>
      <c r="B292" s="62"/>
      <c r="C292" s="30"/>
      <c r="D292" s="10"/>
      <c r="E292" s="10"/>
      <c r="F292" s="177"/>
      <c r="G292" s="180"/>
      <c r="H292" s="180"/>
      <c r="I292" s="10"/>
      <c r="J292" s="30"/>
      <c r="K292" s="200">
        <f t="shared" si="15"/>
        <v>0</v>
      </c>
    </row>
    <row r="293" spans="1:11" x14ac:dyDescent="0.2">
      <c r="A293" s="62"/>
      <c r="B293" s="62"/>
      <c r="C293" s="30"/>
      <c r="D293" s="10"/>
      <c r="E293" s="10"/>
      <c r="F293" s="177"/>
      <c r="G293" s="180"/>
      <c r="H293" s="180"/>
      <c r="I293" s="10"/>
      <c r="J293" s="30"/>
      <c r="K293" s="200">
        <f t="shared" si="15"/>
        <v>0</v>
      </c>
    </row>
    <row r="294" spans="1:11" x14ac:dyDescent="0.2">
      <c r="A294" s="62"/>
      <c r="B294" s="62"/>
      <c r="C294" s="30"/>
      <c r="D294" s="10"/>
      <c r="E294" s="10"/>
      <c r="F294" s="177"/>
      <c r="G294" s="180"/>
      <c r="H294" s="180"/>
      <c r="I294" s="10"/>
      <c r="J294" s="30"/>
      <c r="K294" s="200">
        <f t="shared" si="15"/>
        <v>0</v>
      </c>
    </row>
    <row r="295" spans="1:11" x14ac:dyDescent="0.2">
      <c r="A295" s="62"/>
      <c r="B295" s="62"/>
      <c r="C295" s="30"/>
      <c r="D295" s="10"/>
      <c r="E295" s="10"/>
      <c r="F295" s="177"/>
      <c r="G295" s="180"/>
      <c r="H295" s="180"/>
      <c r="I295" s="10"/>
      <c r="J295" s="30"/>
      <c r="K295" s="200">
        <f t="shared" si="15"/>
        <v>0</v>
      </c>
    </row>
    <row r="296" spans="1:11" x14ac:dyDescent="0.2">
      <c r="A296" s="62"/>
      <c r="B296" s="62"/>
      <c r="C296" s="30"/>
      <c r="D296" s="10"/>
      <c r="E296" s="10"/>
      <c r="F296" s="177"/>
      <c r="G296" s="180"/>
      <c r="H296" s="180"/>
      <c r="I296" s="10"/>
      <c r="J296" s="30"/>
      <c r="K296" s="200">
        <f t="shared" si="15"/>
        <v>0</v>
      </c>
    </row>
    <row r="297" spans="1:11" x14ac:dyDescent="0.2">
      <c r="A297" s="62"/>
      <c r="B297" s="62"/>
      <c r="C297" s="30"/>
      <c r="D297" s="10"/>
      <c r="E297" s="10"/>
      <c r="F297" s="177"/>
      <c r="G297" s="180"/>
      <c r="H297" s="180"/>
      <c r="I297" s="10"/>
      <c r="J297" s="30"/>
      <c r="K297" s="200">
        <f t="shared" si="15"/>
        <v>0</v>
      </c>
    </row>
    <row r="298" spans="1:11" x14ac:dyDescent="0.2">
      <c r="A298" s="62"/>
      <c r="B298" s="62"/>
      <c r="C298" s="30"/>
      <c r="D298" s="10"/>
      <c r="E298" s="10"/>
      <c r="F298" s="177"/>
      <c r="G298" s="180"/>
      <c r="H298" s="180"/>
      <c r="I298" s="10"/>
      <c r="J298" s="30"/>
      <c r="K298" s="200">
        <f t="shared" si="15"/>
        <v>0</v>
      </c>
    </row>
    <row r="299" spans="1:11" x14ac:dyDescent="0.2">
      <c r="A299" s="62"/>
      <c r="B299" s="62"/>
      <c r="C299" s="30"/>
      <c r="D299" s="10"/>
      <c r="E299" s="10"/>
      <c r="F299" s="177"/>
      <c r="G299" s="180"/>
      <c r="H299" s="180"/>
      <c r="I299" s="10"/>
      <c r="J299" s="30"/>
      <c r="K299" s="200">
        <f t="shared" si="15"/>
        <v>0</v>
      </c>
    </row>
    <row r="300" spans="1:11" x14ac:dyDescent="0.2">
      <c r="A300" s="62"/>
      <c r="B300" s="62"/>
      <c r="C300" s="30"/>
      <c r="D300" s="10"/>
      <c r="E300" s="10"/>
      <c r="F300" s="177"/>
      <c r="G300" s="180"/>
      <c r="H300" s="180"/>
      <c r="I300" s="10"/>
      <c r="J300" s="30"/>
      <c r="K300" s="200">
        <f t="shared" si="15"/>
        <v>0</v>
      </c>
    </row>
    <row r="301" spans="1:11" x14ac:dyDescent="0.2">
      <c r="A301" s="62"/>
      <c r="B301" s="62"/>
      <c r="C301" s="30"/>
      <c r="D301" s="10"/>
      <c r="E301" s="10"/>
      <c r="F301" s="177"/>
      <c r="G301" s="180"/>
      <c r="H301" s="180"/>
      <c r="I301" s="10"/>
      <c r="J301" s="30"/>
      <c r="K301" s="200">
        <f t="shared" si="15"/>
        <v>0</v>
      </c>
    </row>
    <row r="302" spans="1:11" x14ac:dyDescent="0.2">
      <c r="A302" s="62"/>
      <c r="B302" s="62"/>
      <c r="C302" s="30"/>
      <c r="D302" s="10"/>
      <c r="E302" s="10"/>
      <c r="F302" s="177"/>
      <c r="G302" s="180"/>
      <c r="H302" s="180"/>
      <c r="I302" s="10"/>
      <c r="J302" s="30"/>
      <c r="K302" s="200">
        <f t="shared" si="15"/>
        <v>0</v>
      </c>
    </row>
    <row r="303" spans="1:11" x14ac:dyDescent="0.2">
      <c r="A303" s="62"/>
      <c r="B303" s="62"/>
      <c r="C303" s="30"/>
      <c r="D303" s="10"/>
      <c r="E303" s="10"/>
      <c r="F303" s="177"/>
      <c r="G303" s="180"/>
      <c r="H303" s="180"/>
      <c r="I303" s="10"/>
      <c r="J303" s="30"/>
      <c r="K303" s="200">
        <f t="shared" si="15"/>
        <v>0</v>
      </c>
    </row>
    <row r="304" spans="1:11" x14ac:dyDescent="0.2">
      <c r="A304" s="62"/>
      <c r="B304" s="62"/>
      <c r="C304" s="30"/>
      <c r="D304" s="10"/>
      <c r="E304" s="10"/>
      <c r="F304" s="177"/>
      <c r="G304" s="180"/>
      <c r="H304" s="180"/>
      <c r="I304" s="10"/>
      <c r="J304" s="30"/>
      <c r="K304" s="200">
        <f t="shared" si="15"/>
        <v>0</v>
      </c>
    </row>
    <row r="305" spans="1:11" x14ac:dyDescent="0.2">
      <c r="A305" s="62"/>
      <c r="B305" s="62"/>
      <c r="C305" s="30"/>
      <c r="D305" s="10"/>
      <c r="E305" s="10"/>
      <c r="F305" s="177"/>
      <c r="G305" s="180"/>
      <c r="H305" s="180"/>
      <c r="I305" s="10"/>
      <c r="J305" s="30"/>
      <c r="K305" s="200">
        <f t="shared" si="15"/>
        <v>0</v>
      </c>
    </row>
    <row r="306" spans="1:11" x14ac:dyDescent="0.2">
      <c r="A306" s="62"/>
      <c r="B306" s="62"/>
      <c r="C306" s="30"/>
      <c r="D306" s="10"/>
      <c r="E306" s="10"/>
      <c r="F306" s="177"/>
      <c r="G306" s="180"/>
      <c r="H306" s="180"/>
      <c r="I306" s="10"/>
      <c r="J306" s="30"/>
      <c r="K306" s="200">
        <f t="shared" si="15"/>
        <v>0</v>
      </c>
    </row>
    <row r="307" spans="1:11" x14ac:dyDescent="0.2">
      <c r="A307" s="62"/>
      <c r="B307" s="62"/>
      <c r="C307" s="30"/>
      <c r="D307" s="10"/>
      <c r="E307" s="10"/>
      <c r="F307" s="177"/>
      <c r="G307" s="180"/>
      <c r="H307" s="180"/>
      <c r="I307" s="10"/>
      <c r="J307" s="30"/>
      <c r="K307" s="200">
        <f>H307</f>
        <v>0</v>
      </c>
    </row>
    <row r="308" spans="1:11" x14ac:dyDescent="0.2">
      <c r="A308" s="62"/>
      <c r="B308" s="62"/>
      <c r="C308" s="30"/>
      <c r="D308" s="10"/>
      <c r="E308" s="10"/>
      <c r="F308" s="177"/>
      <c r="G308" s="180"/>
      <c r="H308" s="180"/>
      <c r="I308" s="10"/>
      <c r="J308" s="30"/>
      <c r="K308" s="200">
        <f t="shared" si="15"/>
        <v>0</v>
      </c>
    </row>
    <row r="309" spans="1:11" x14ac:dyDescent="0.2">
      <c r="A309" s="62"/>
      <c r="B309" s="62"/>
      <c r="C309" s="30"/>
      <c r="D309" s="10"/>
      <c r="E309" s="10"/>
      <c r="F309" s="177"/>
      <c r="G309" s="180"/>
      <c r="H309" s="180"/>
      <c r="I309" s="10"/>
      <c r="J309" s="30"/>
      <c r="K309" s="200">
        <f t="shared" si="15"/>
        <v>0</v>
      </c>
    </row>
    <row r="310" spans="1:11" x14ac:dyDescent="0.2">
      <c r="A310" s="62"/>
      <c r="B310" s="62"/>
      <c r="C310" s="30"/>
      <c r="D310" s="10"/>
      <c r="E310" s="10"/>
      <c r="F310" s="177"/>
      <c r="G310" s="180"/>
      <c r="H310" s="180"/>
      <c r="I310" s="10"/>
      <c r="J310" s="30"/>
      <c r="K310" s="200">
        <f t="shared" si="15"/>
        <v>0</v>
      </c>
    </row>
    <row r="311" spans="1:11" x14ac:dyDescent="0.2">
      <c r="A311" s="62"/>
      <c r="B311" s="62"/>
      <c r="C311" s="30"/>
      <c r="D311" s="10"/>
      <c r="E311" s="10"/>
      <c r="F311" s="177"/>
      <c r="G311" s="180"/>
      <c r="H311" s="180"/>
      <c r="I311" s="10"/>
      <c r="J311" s="30"/>
      <c r="K311" s="200">
        <f t="shared" si="15"/>
        <v>0</v>
      </c>
    </row>
    <row r="312" spans="1:11" x14ac:dyDescent="0.2">
      <c r="A312" s="62"/>
      <c r="B312" s="62"/>
      <c r="C312" s="30"/>
      <c r="D312" s="10"/>
      <c r="E312" s="10"/>
      <c r="F312" s="177"/>
      <c r="G312" s="180"/>
      <c r="H312" s="180"/>
      <c r="I312" s="10"/>
      <c r="J312" s="30"/>
      <c r="K312" s="200">
        <f t="shared" si="15"/>
        <v>0</v>
      </c>
    </row>
    <row r="313" spans="1:11" x14ac:dyDescent="0.2">
      <c r="A313" s="62"/>
      <c r="B313" s="62"/>
      <c r="C313" s="30"/>
      <c r="D313" s="10"/>
      <c r="E313" s="10"/>
      <c r="F313" s="177"/>
      <c r="G313" s="180"/>
      <c r="H313" s="180"/>
      <c r="I313" s="10"/>
      <c r="J313" s="30"/>
      <c r="K313" s="200">
        <f t="shared" si="15"/>
        <v>0</v>
      </c>
    </row>
    <row r="314" spans="1:11" x14ac:dyDescent="0.2">
      <c r="A314" s="62"/>
      <c r="B314" s="62"/>
      <c r="C314" s="30"/>
      <c r="D314" s="10"/>
      <c r="E314" s="10"/>
      <c r="F314" s="177"/>
      <c r="G314" s="180"/>
      <c r="H314" s="180"/>
      <c r="I314" s="10"/>
      <c r="J314" s="30"/>
      <c r="K314" s="200">
        <f t="shared" si="15"/>
        <v>0</v>
      </c>
    </row>
    <row r="315" spans="1:11" x14ac:dyDescent="0.2">
      <c r="A315" s="62"/>
      <c r="B315" s="62"/>
      <c r="C315" s="30"/>
      <c r="D315" s="10"/>
      <c r="E315" s="10"/>
      <c r="F315" s="177"/>
      <c r="G315" s="180"/>
      <c r="H315" s="180"/>
      <c r="I315" s="10"/>
      <c r="J315" s="30"/>
      <c r="K315" s="200">
        <f t="shared" si="15"/>
        <v>0</v>
      </c>
    </row>
    <row r="316" spans="1:11" x14ac:dyDescent="0.2">
      <c r="A316" s="62"/>
      <c r="B316" s="62"/>
      <c r="C316" s="30"/>
      <c r="D316" s="10"/>
      <c r="E316" s="10"/>
      <c r="F316" s="177"/>
      <c r="G316" s="180"/>
      <c r="H316" s="180"/>
      <c r="I316" s="10"/>
      <c r="J316" s="30"/>
      <c r="K316" s="200">
        <f t="shared" si="15"/>
        <v>0</v>
      </c>
    </row>
    <row r="317" spans="1:11" x14ac:dyDescent="0.2">
      <c r="A317" s="62"/>
      <c r="B317" s="62"/>
      <c r="C317" s="30"/>
      <c r="D317" s="10"/>
      <c r="E317" s="10"/>
      <c r="F317" s="177"/>
      <c r="G317" s="180"/>
      <c r="H317" s="180"/>
      <c r="I317" s="10"/>
      <c r="J317" s="30"/>
      <c r="K317" s="200">
        <f t="shared" si="15"/>
        <v>0</v>
      </c>
    </row>
    <row r="318" spans="1:11" x14ac:dyDescent="0.2">
      <c r="A318" s="62"/>
      <c r="B318" s="62"/>
      <c r="C318" s="30"/>
      <c r="D318" s="10"/>
      <c r="E318" s="10"/>
      <c r="F318" s="177"/>
      <c r="G318" s="180"/>
      <c r="H318" s="180"/>
      <c r="I318" s="10"/>
      <c r="J318" s="30"/>
      <c r="K318" s="200">
        <f t="shared" si="15"/>
        <v>0</v>
      </c>
    </row>
    <row r="319" spans="1:11" x14ac:dyDescent="0.2">
      <c r="A319" s="62"/>
      <c r="B319" s="62"/>
      <c r="C319" s="30"/>
      <c r="D319" s="10"/>
      <c r="E319" s="10"/>
      <c r="F319" s="177"/>
      <c r="G319" s="180"/>
      <c r="H319" s="180"/>
      <c r="I319" s="10"/>
      <c r="J319" s="30"/>
      <c r="K319" s="200">
        <f t="shared" si="15"/>
        <v>0</v>
      </c>
    </row>
    <row r="320" spans="1:11" x14ac:dyDescent="0.2">
      <c r="A320" s="62"/>
      <c r="B320" s="62"/>
      <c r="C320" s="30"/>
      <c r="D320" s="10"/>
      <c r="E320" s="10"/>
      <c r="F320" s="177"/>
      <c r="G320" s="180"/>
      <c r="H320" s="180"/>
      <c r="I320" s="10"/>
      <c r="J320" s="30"/>
      <c r="K320" s="200">
        <f t="shared" ref="K320:K329" si="16">H320</f>
        <v>0</v>
      </c>
    </row>
    <row r="321" spans="1:11" x14ac:dyDescent="0.2">
      <c r="A321" s="62"/>
      <c r="B321" s="62"/>
      <c r="C321" s="30"/>
      <c r="D321" s="10"/>
      <c r="E321" s="10"/>
      <c r="F321" s="177"/>
      <c r="G321" s="180"/>
      <c r="H321" s="180"/>
      <c r="I321" s="10"/>
      <c r="J321" s="30"/>
      <c r="K321" s="200">
        <f t="shared" si="16"/>
        <v>0</v>
      </c>
    </row>
    <row r="322" spans="1:11" x14ac:dyDescent="0.2">
      <c r="A322" s="62"/>
      <c r="B322" s="62"/>
      <c r="C322" s="30"/>
      <c r="D322" s="10"/>
      <c r="E322" s="10"/>
      <c r="F322" s="177"/>
      <c r="G322" s="180"/>
      <c r="H322" s="180"/>
      <c r="I322" s="10"/>
      <c r="J322" s="30"/>
      <c r="K322" s="200">
        <f t="shared" si="16"/>
        <v>0</v>
      </c>
    </row>
    <row r="323" spans="1:11" x14ac:dyDescent="0.2">
      <c r="A323" s="62"/>
      <c r="B323" s="62"/>
      <c r="C323" s="30"/>
      <c r="D323" s="10"/>
      <c r="E323" s="10"/>
      <c r="F323" s="177"/>
      <c r="G323" s="180"/>
      <c r="H323" s="180"/>
      <c r="I323" s="10"/>
      <c r="J323" s="30"/>
      <c r="K323" s="200">
        <f t="shared" si="16"/>
        <v>0</v>
      </c>
    </row>
    <row r="324" spans="1:11" x14ac:dyDescent="0.2">
      <c r="A324" s="62"/>
      <c r="B324" s="62"/>
      <c r="C324" s="30"/>
      <c r="D324" s="10"/>
      <c r="E324" s="10"/>
      <c r="F324" s="177"/>
      <c r="G324" s="180"/>
      <c r="H324" s="180"/>
      <c r="I324" s="10"/>
      <c r="J324" s="30"/>
      <c r="K324" s="200">
        <f t="shared" si="16"/>
        <v>0</v>
      </c>
    </row>
    <row r="325" spans="1:11" x14ac:dyDescent="0.2">
      <c r="A325" s="62"/>
      <c r="B325" s="62"/>
      <c r="C325" s="30"/>
      <c r="D325" s="10"/>
      <c r="E325" s="10"/>
      <c r="F325" s="177"/>
      <c r="G325" s="180"/>
      <c r="H325" s="180"/>
      <c r="I325" s="10"/>
      <c r="J325" s="30"/>
      <c r="K325" s="200">
        <f t="shared" si="16"/>
        <v>0</v>
      </c>
    </row>
    <row r="326" spans="1:11" x14ac:dyDescent="0.2">
      <c r="A326" s="62"/>
      <c r="B326" s="62"/>
      <c r="C326" s="30"/>
      <c r="D326" s="10"/>
      <c r="E326" s="10"/>
      <c r="F326" s="177"/>
      <c r="G326" s="180"/>
      <c r="H326" s="180"/>
      <c r="I326" s="10"/>
      <c r="J326" s="30"/>
      <c r="K326" s="200">
        <f t="shared" si="16"/>
        <v>0</v>
      </c>
    </row>
    <row r="327" spans="1:11" x14ac:dyDescent="0.2">
      <c r="A327" s="62"/>
      <c r="B327" s="62"/>
      <c r="C327" s="30"/>
      <c r="D327" s="10"/>
      <c r="E327" s="10"/>
      <c r="F327" s="177"/>
      <c r="G327" s="180"/>
      <c r="H327" s="180"/>
      <c r="I327" s="10"/>
      <c r="J327" s="30"/>
      <c r="K327" s="200">
        <f t="shared" si="16"/>
        <v>0</v>
      </c>
    </row>
    <row r="328" spans="1:11" x14ac:dyDescent="0.2">
      <c r="A328" s="62"/>
      <c r="B328" s="62"/>
      <c r="C328" s="30"/>
      <c r="D328" s="10"/>
      <c r="E328" s="10"/>
      <c r="F328" s="177"/>
      <c r="G328" s="180"/>
      <c r="H328" s="180"/>
      <c r="I328" s="10"/>
      <c r="J328" s="30"/>
      <c r="K328" s="200">
        <f t="shared" si="16"/>
        <v>0</v>
      </c>
    </row>
    <row r="329" spans="1:11" x14ac:dyDescent="0.2">
      <c r="A329" s="62"/>
      <c r="B329" s="62"/>
      <c r="C329" s="30"/>
      <c r="D329" s="10"/>
      <c r="E329" s="10"/>
      <c r="F329" s="177"/>
      <c r="G329" s="180"/>
      <c r="H329" s="180"/>
      <c r="I329" s="10"/>
      <c r="J329" s="30"/>
      <c r="K329" s="200">
        <f t="shared" si="16"/>
        <v>0</v>
      </c>
    </row>
    <row r="330" spans="1:11" ht="12" x14ac:dyDescent="0.2">
      <c r="A330" s="316" t="s">
        <v>3454</v>
      </c>
      <c r="B330" s="316"/>
      <c r="C330" s="316"/>
      <c r="D330" s="316"/>
      <c r="E330" s="316"/>
      <c r="F330" s="316"/>
      <c r="G330" s="316"/>
      <c r="H330" s="205">
        <f>SUM(H255:H329)</f>
        <v>0</v>
      </c>
      <c r="I330" s="303" t="s">
        <v>3454</v>
      </c>
      <c r="J330" s="303"/>
      <c r="K330" s="205">
        <f>SUM(K255:K329)</f>
        <v>0</v>
      </c>
    </row>
    <row r="331" spans="1:11" ht="12" x14ac:dyDescent="0.2">
      <c r="A331" s="300" t="s">
        <v>3455</v>
      </c>
      <c r="B331" s="301"/>
      <c r="C331" s="301"/>
      <c r="D331" s="301"/>
      <c r="E331" s="301"/>
      <c r="F331" s="301"/>
      <c r="G331" s="302"/>
      <c r="H331" s="205">
        <f>H212</f>
        <v>325000</v>
      </c>
      <c r="I331" s="303" t="s">
        <v>3455</v>
      </c>
      <c r="J331" s="303"/>
      <c r="K331" s="205">
        <f>K212</f>
        <v>325000</v>
      </c>
    </row>
    <row r="332" spans="1:11" ht="12.75" thickBot="1" x14ac:dyDescent="0.25">
      <c r="A332" s="304" t="s">
        <v>3456</v>
      </c>
      <c r="B332" s="305"/>
      <c r="C332" s="305"/>
      <c r="D332" s="305"/>
      <c r="E332" s="305"/>
      <c r="F332" s="305"/>
      <c r="G332" s="306"/>
      <c r="H332" s="206">
        <f>SUM(H330:H331)</f>
        <v>325000</v>
      </c>
      <c r="I332" s="307" t="s">
        <v>3456</v>
      </c>
      <c r="J332" s="307"/>
      <c r="K332" s="206">
        <f>SUM(K330:K331)</f>
        <v>325000</v>
      </c>
    </row>
    <row r="333" spans="1:11" x14ac:dyDescent="0.2">
      <c r="A333" s="181"/>
      <c r="B333" s="181"/>
      <c r="C333" s="181"/>
      <c r="D333" s="181"/>
      <c r="E333" s="181"/>
      <c r="F333" s="181"/>
      <c r="G333" s="181"/>
      <c r="I333" s="1"/>
      <c r="J333" s="203"/>
      <c r="K333" s="203"/>
    </row>
    <row r="334" spans="1:11" ht="12" x14ac:dyDescent="0.2">
      <c r="A334" s="181"/>
      <c r="B334" s="181"/>
      <c r="C334" s="181"/>
      <c r="D334" s="181"/>
      <c r="E334" s="181"/>
      <c r="F334" s="181"/>
      <c r="G334" s="181"/>
      <c r="H334" s="188"/>
      <c r="I334" s="204"/>
      <c r="J334" s="203"/>
      <c r="K334" s="203"/>
    </row>
    <row r="335" spans="1:11" ht="12" x14ac:dyDescent="0.2">
      <c r="A335" s="181"/>
      <c r="B335" s="181"/>
      <c r="C335" s="181"/>
      <c r="D335" s="181"/>
      <c r="E335" s="181"/>
      <c r="F335" s="181"/>
      <c r="G335" s="181"/>
      <c r="H335" s="188"/>
      <c r="I335" s="204"/>
      <c r="J335" s="203"/>
      <c r="K335" s="203"/>
    </row>
    <row r="336" spans="1:11" ht="12" x14ac:dyDescent="0.2">
      <c r="A336" s="181"/>
      <c r="B336" s="181"/>
      <c r="C336" s="181"/>
      <c r="D336" s="181"/>
      <c r="E336" s="181"/>
      <c r="F336" s="181"/>
      <c r="G336" s="181"/>
      <c r="H336" s="204">
        <f>H330-H334</f>
        <v>0</v>
      </c>
      <c r="I336" s="204"/>
      <c r="J336" s="203"/>
      <c r="K336" s="203"/>
    </row>
    <row r="337" spans="1:11" ht="12" x14ac:dyDescent="0.2">
      <c r="A337" s="181"/>
      <c r="B337" s="181"/>
      <c r="C337" s="181"/>
      <c r="D337" s="181"/>
      <c r="E337" s="181"/>
      <c r="F337" s="181"/>
      <c r="G337" s="181"/>
      <c r="H337" s="188"/>
      <c r="I337" s="204"/>
      <c r="J337" s="203"/>
      <c r="K337" s="203"/>
    </row>
    <row r="338" spans="1:11" ht="12" x14ac:dyDescent="0.2">
      <c r="A338" s="181"/>
      <c r="B338" s="181"/>
      <c r="C338" s="181"/>
      <c r="D338" s="181"/>
      <c r="E338" s="181"/>
      <c r="F338" s="181"/>
      <c r="G338" s="181"/>
      <c r="H338" s="188"/>
      <c r="I338" s="204"/>
      <c r="J338" s="203"/>
      <c r="K338" s="203"/>
    </row>
    <row r="339" spans="1:11" ht="12" x14ac:dyDescent="0.2">
      <c r="A339" s="181"/>
      <c r="B339" s="181"/>
      <c r="C339" s="181"/>
      <c r="D339" s="181"/>
      <c r="E339" s="181"/>
      <c r="F339" s="181"/>
      <c r="G339" s="181"/>
      <c r="H339" s="188"/>
      <c r="I339" s="204"/>
      <c r="J339" s="203"/>
      <c r="K339" s="203"/>
    </row>
    <row r="340" spans="1:11" ht="12" x14ac:dyDescent="0.2">
      <c r="A340" s="181"/>
      <c r="B340" s="181"/>
      <c r="C340" s="181"/>
      <c r="D340" s="181"/>
      <c r="E340" s="181"/>
      <c r="F340" s="181"/>
      <c r="G340" s="181"/>
      <c r="H340" s="188"/>
      <c r="I340" s="204"/>
      <c r="J340" s="203"/>
      <c r="K340" s="203"/>
    </row>
    <row r="341" spans="1:11" ht="12" x14ac:dyDescent="0.2">
      <c r="A341" s="181"/>
      <c r="B341" s="181"/>
      <c r="C341" s="181"/>
      <c r="D341" s="181"/>
      <c r="E341" s="181"/>
      <c r="F341" s="181"/>
      <c r="G341" s="181"/>
      <c r="H341" s="188"/>
      <c r="I341" s="204"/>
      <c r="J341" s="203"/>
      <c r="K341" s="203"/>
    </row>
    <row r="342" spans="1:11" ht="12" x14ac:dyDescent="0.2">
      <c r="A342" s="181"/>
      <c r="B342" s="181"/>
      <c r="C342" s="181"/>
      <c r="D342" s="181"/>
      <c r="E342" s="181"/>
      <c r="F342" s="181"/>
      <c r="G342" s="181"/>
      <c r="H342" s="188"/>
      <c r="I342" s="204"/>
      <c r="J342" s="203"/>
      <c r="K342" s="203"/>
    </row>
    <row r="343" spans="1:11" ht="12" x14ac:dyDescent="0.2">
      <c r="A343" s="181"/>
      <c r="B343" s="181"/>
      <c r="C343" s="181"/>
      <c r="D343" s="181"/>
      <c r="E343" s="181"/>
      <c r="F343" s="181"/>
      <c r="G343" s="181"/>
      <c r="H343" s="188"/>
      <c r="I343" s="204"/>
      <c r="J343" s="203"/>
      <c r="K343" s="203"/>
    </row>
    <row r="344" spans="1:11" ht="12" x14ac:dyDescent="0.2">
      <c r="A344" s="181"/>
      <c r="B344" s="181"/>
      <c r="C344" s="181"/>
      <c r="D344" s="181"/>
      <c r="E344" s="181"/>
      <c r="F344" s="181"/>
      <c r="G344" s="181"/>
      <c r="H344" s="188"/>
      <c r="I344" s="204"/>
      <c r="J344" s="203"/>
      <c r="K344" s="203"/>
    </row>
    <row r="345" spans="1:11" ht="12" x14ac:dyDescent="0.2">
      <c r="A345" s="181"/>
      <c r="B345" s="181"/>
      <c r="C345" s="181"/>
      <c r="D345" s="181"/>
      <c r="E345" s="181"/>
      <c r="F345" s="181"/>
      <c r="G345" s="181"/>
      <c r="H345" s="188"/>
      <c r="I345" s="204"/>
      <c r="J345" s="203"/>
      <c r="K345" s="203"/>
    </row>
    <row r="346" spans="1:11" ht="12" x14ac:dyDescent="0.2">
      <c r="A346" s="181"/>
      <c r="B346" s="181"/>
      <c r="C346" s="181"/>
      <c r="D346" s="181"/>
      <c r="E346" s="181"/>
      <c r="F346" s="181"/>
      <c r="G346" s="181"/>
      <c r="H346" s="188"/>
      <c r="I346" s="204"/>
      <c r="J346" s="203"/>
      <c r="K346" s="203"/>
    </row>
    <row r="347" spans="1:11" ht="12.75" x14ac:dyDescent="0.2">
      <c r="A347" s="199" t="s">
        <v>0</v>
      </c>
      <c r="B347" s="192"/>
      <c r="C347" s="128"/>
      <c r="D347" s="192"/>
      <c r="E347" s="192"/>
      <c r="F347" s="192"/>
      <c r="G347" s="128"/>
      <c r="H347" s="128"/>
      <c r="I347" s="192"/>
      <c r="J347" s="128"/>
      <c r="K347" s="128"/>
    </row>
    <row r="348" spans="1:11" ht="12.75" x14ac:dyDescent="0.2">
      <c r="A348" s="199" t="s">
        <v>1</v>
      </c>
      <c r="B348" s="192"/>
      <c r="C348" s="128"/>
      <c r="D348" s="192"/>
      <c r="E348" s="192"/>
      <c r="F348" s="192"/>
      <c r="G348" s="128"/>
      <c r="H348" s="128"/>
      <c r="I348" s="192"/>
      <c r="J348" s="128"/>
      <c r="K348" s="128"/>
    </row>
    <row r="349" spans="1:11" ht="12.75" x14ac:dyDescent="0.2">
      <c r="A349" s="313" t="s">
        <v>3259</v>
      </c>
      <c r="B349" s="313"/>
      <c r="C349" s="313"/>
      <c r="D349" s="313"/>
      <c r="E349" s="313"/>
      <c r="F349" s="313"/>
      <c r="G349" s="313"/>
      <c r="H349" s="313"/>
      <c r="I349" s="313"/>
      <c r="J349" s="313"/>
      <c r="K349" s="313"/>
    </row>
    <row r="350" spans="1:11" ht="12.75" x14ac:dyDescent="0.2">
      <c r="A350" s="313" t="s">
        <v>3458</v>
      </c>
      <c r="B350" s="313"/>
      <c r="C350" s="313"/>
      <c r="D350" s="313"/>
      <c r="E350" s="313"/>
      <c r="F350" s="313"/>
      <c r="G350" s="313"/>
      <c r="H350" s="313"/>
      <c r="I350" s="313"/>
      <c r="J350" s="313"/>
      <c r="K350" s="313"/>
    </row>
    <row r="351" spans="1:11" x14ac:dyDescent="0.2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</row>
    <row r="352" spans="1:11" x14ac:dyDescent="0.2">
      <c r="A352" s="287" t="s">
        <v>3260</v>
      </c>
      <c r="B352" s="288"/>
      <c r="C352" s="289" t="s">
        <v>8</v>
      </c>
      <c r="D352" s="287" t="s">
        <v>3261</v>
      </c>
      <c r="E352" s="288"/>
      <c r="F352" s="308" t="s">
        <v>76</v>
      </c>
      <c r="G352" s="309"/>
      <c r="H352" s="310"/>
      <c r="I352" s="308" t="s">
        <v>5</v>
      </c>
      <c r="J352" s="309"/>
      <c r="K352" s="310"/>
    </row>
    <row r="353" spans="1:11" x14ac:dyDescent="0.2">
      <c r="A353" s="289" t="s">
        <v>7</v>
      </c>
      <c r="B353" s="289" t="s">
        <v>16</v>
      </c>
      <c r="C353" s="290"/>
      <c r="D353" s="292" t="s">
        <v>7</v>
      </c>
      <c r="E353" s="292" t="s">
        <v>3262</v>
      </c>
      <c r="F353" s="292" t="s">
        <v>3252</v>
      </c>
      <c r="G353" s="292" t="s">
        <v>3251</v>
      </c>
      <c r="H353" s="292" t="s">
        <v>3452</v>
      </c>
      <c r="I353" s="292" t="s">
        <v>3252</v>
      </c>
      <c r="J353" s="292" t="s">
        <v>3251</v>
      </c>
      <c r="K353" s="292" t="s">
        <v>3452</v>
      </c>
    </row>
    <row r="354" spans="1:11" x14ac:dyDescent="0.2">
      <c r="A354" s="291"/>
      <c r="B354" s="291"/>
      <c r="C354" s="291"/>
      <c r="D354" s="294"/>
      <c r="E354" s="294"/>
      <c r="F354" s="294"/>
      <c r="G354" s="294"/>
      <c r="H354" s="294"/>
      <c r="I354" s="294"/>
      <c r="J354" s="294"/>
      <c r="K354" s="294"/>
    </row>
    <row r="355" spans="1:11" x14ac:dyDescent="0.2">
      <c r="A355" s="176"/>
      <c r="B355" s="176"/>
      <c r="C355" s="55"/>
      <c r="D355" s="10"/>
      <c r="E355" s="6"/>
      <c r="F355" s="178"/>
      <c r="G355" s="179"/>
      <c r="H355" s="179"/>
      <c r="I355" s="10"/>
      <c r="J355" s="30"/>
      <c r="K355" s="200">
        <f>H355</f>
        <v>0</v>
      </c>
    </row>
    <row r="356" spans="1:11" x14ac:dyDescent="0.2">
      <c r="A356" s="62"/>
      <c r="B356" s="62" t="s">
        <v>3625</v>
      </c>
      <c r="C356" s="30"/>
      <c r="D356" s="10"/>
      <c r="E356" s="10"/>
      <c r="F356" s="177"/>
      <c r="G356" s="180"/>
      <c r="H356" s="180"/>
      <c r="I356" s="10"/>
      <c r="J356" s="30"/>
      <c r="K356" s="200">
        <f t="shared" ref="K356:K419" si="17">H356</f>
        <v>0</v>
      </c>
    </row>
    <row r="357" spans="1:11" x14ac:dyDescent="0.2">
      <c r="A357" s="62"/>
      <c r="B357" s="62"/>
      <c r="C357" s="30"/>
      <c r="D357" s="10"/>
      <c r="E357" s="10"/>
      <c r="F357" s="177"/>
      <c r="G357" s="180"/>
      <c r="H357" s="180"/>
      <c r="I357" s="10"/>
      <c r="J357" s="30"/>
      <c r="K357" s="200">
        <f t="shared" si="17"/>
        <v>0</v>
      </c>
    </row>
    <row r="358" spans="1:11" x14ac:dyDescent="0.2">
      <c r="A358" s="62"/>
      <c r="B358" s="62"/>
      <c r="C358" s="30"/>
      <c r="D358" s="10"/>
      <c r="E358" s="10"/>
      <c r="F358" s="177"/>
      <c r="G358" s="180"/>
      <c r="H358" s="180"/>
      <c r="I358" s="10"/>
      <c r="J358" s="30"/>
      <c r="K358" s="200">
        <f t="shared" si="17"/>
        <v>0</v>
      </c>
    </row>
    <row r="359" spans="1:11" x14ac:dyDescent="0.2">
      <c r="A359" s="62"/>
      <c r="B359" s="62"/>
      <c r="C359" s="30"/>
      <c r="D359" s="10"/>
      <c r="E359" s="10"/>
      <c r="F359" s="177"/>
      <c r="G359" s="180"/>
      <c r="H359" s="180"/>
      <c r="I359" s="10"/>
      <c r="J359" s="30"/>
      <c r="K359" s="200">
        <f t="shared" si="17"/>
        <v>0</v>
      </c>
    </row>
    <row r="360" spans="1:11" x14ac:dyDescent="0.2">
      <c r="A360" s="62"/>
      <c r="B360" s="62"/>
      <c r="C360" s="30"/>
      <c r="D360" s="10"/>
      <c r="E360" s="10"/>
      <c r="F360" s="177"/>
      <c r="G360" s="180"/>
      <c r="H360" s="180"/>
      <c r="I360" s="10"/>
      <c r="J360" s="30"/>
      <c r="K360" s="200">
        <f t="shared" si="17"/>
        <v>0</v>
      </c>
    </row>
    <row r="361" spans="1:11" x14ac:dyDescent="0.2">
      <c r="A361" s="62"/>
      <c r="B361" s="62"/>
      <c r="C361" s="30"/>
      <c r="D361" s="10"/>
      <c r="E361" s="10"/>
      <c r="F361" s="177"/>
      <c r="G361" s="180"/>
      <c r="H361" s="180"/>
      <c r="I361" s="10"/>
      <c r="J361" s="30"/>
      <c r="K361" s="200">
        <f t="shared" si="17"/>
        <v>0</v>
      </c>
    </row>
    <row r="362" spans="1:11" x14ac:dyDescent="0.2">
      <c r="A362" s="62"/>
      <c r="B362" s="62"/>
      <c r="C362" s="30"/>
      <c r="D362" s="10"/>
      <c r="E362" s="10"/>
      <c r="F362" s="177"/>
      <c r="G362" s="180"/>
      <c r="H362" s="180"/>
      <c r="I362" s="10"/>
      <c r="J362" s="30"/>
      <c r="K362" s="200">
        <f t="shared" si="17"/>
        <v>0</v>
      </c>
    </row>
    <row r="363" spans="1:11" x14ac:dyDescent="0.2">
      <c r="A363" s="62"/>
      <c r="B363" s="62"/>
      <c r="C363" s="30"/>
      <c r="D363" s="10"/>
      <c r="E363" s="10"/>
      <c r="F363" s="177"/>
      <c r="G363" s="180"/>
      <c r="H363" s="180"/>
      <c r="I363" s="10"/>
      <c r="J363" s="30"/>
      <c r="K363" s="200">
        <f t="shared" si="17"/>
        <v>0</v>
      </c>
    </row>
    <row r="364" spans="1:11" x14ac:dyDescent="0.2">
      <c r="A364" s="10"/>
      <c r="B364" s="62"/>
      <c r="C364" s="30"/>
      <c r="D364" s="10"/>
      <c r="E364" s="10"/>
      <c r="F364" s="177"/>
      <c r="G364" s="180"/>
      <c r="H364" s="180"/>
      <c r="I364" s="10"/>
      <c r="J364" s="30"/>
      <c r="K364" s="200">
        <f t="shared" si="17"/>
        <v>0</v>
      </c>
    </row>
    <row r="365" spans="1:11" x14ac:dyDescent="0.2">
      <c r="A365" s="62"/>
      <c r="B365" s="62"/>
      <c r="C365" s="30"/>
      <c r="D365" s="10"/>
      <c r="E365" s="10"/>
      <c r="F365" s="177"/>
      <c r="G365" s="180"/>
      <c r="H365" s="180"/>
      <c r="I365" s="10"/>
      <c r="J365" s="30"/>
      <c r="K365" s="200">
        <f t="shared" si="17"/>
        <v>0</v>
      </c>
    </row>
    <row r="366" spans="1:11" x14ac:dyDescent="0.2">
      <c r="A366" s="62"/>
      <c r="B366" s="62"/>
      <c r="C366" s="30"/>
      <c r="D366" s="10"/>
      <c r="E366" s="10"/>
      <c r="F366" s="177"/>
      <c r="G366" s="180"/>
      <c r="H366" s="180"/>
      <c r="I366" s="10"/>
      <c r="J366" s="30"/>
      <c r="K366" s="200">
        <f t="shared" si="17"/>
        <v>0</v>
      </c>
    </row>
    <row r="367" spans="1:11" x14ac:dyDescent="0.2">
      <c r="A367" s="62"/>
      <c r="B367" s="62"/>
      <c r="C367" s="30"/>
      <c r="D367" s="10"/>
      <c r="E367" s="10"/>
      <c r="F367" s="177"/>
      <c r="G367" s="180"/>
      <c r="H367" s="180"/>
      <c r="I367" s="10"/>
      <c r="J367" s="30"/>
      <c r="K367" s="200">
        <f t="shared" si="17"/>
        <v>0</v>
      </c>
    </row>
    <row r="368" spans="1:11" x14ac:dyDescent="0.2">
      <c r="A368" s="62"/>
      <c r="B368" s="62"/>
      <c r="C368" s="30"/>
      <c r="D368" s="10"/>
      <c r="E368" s="10"/>
      <c r="F368" s="177"/>
      <c r="G368" s="180"/>
      <c r="H368" s="180"/>
      <c r="I368" s="10"/>
      <c r="J368" s="30"/>
      <c r="K368" s="200">
        <f t="shared" si="17"/>
        <v>0</v>
      </c>
    </row>
    <row r="369" spans="1:11" x14ac:dyDescent="0.2">
      <c r="A369" s="62"/>
      <c r="B369" s="62"/>
      <c r="C369" s="30"/>
      <c r="D369" s="10"/>
      <c r="E369" s="10"/>
      <c r="F369" s="177"/>
      <c r="G369" s="180"/>
      <c r="H369" s="180"/>
      <c r="I369" s="10"/>
      <c r="J369" s="30"/>
      <c r="K369" s="200">
        <f t="shared" si="17"/>
        <v>0</v>
      </c>
    </row>
    <row r="370" spans="1:11" x14ac:dyDescent="0.2">
      <c r="A370" s="62"/>
      <c r="B370" s="62"/>
      <c r="C370" s="30"/>
      <c r="D370" s="10"/>
      <c r="E370" s="10"/>
      <c r="F370" s="177"/>
      <c r="G370" s="180"/>
      <c r="H370" s="180"/>
      <c r="I370" s="10"/>
      <c r="J370" s="30"/>
      <c r="K370" s="200">
        <f t="shared" si="17"/>
        <v>0</v>
      </c>
    </row>
    <row r="371" spans="1:11" x14ac:dyDescent="0.2">
      <c r="A371" s="62"/>
      <c r="B371" s="62"/>
      <c r="C371" s="30"/>
      <c r="D371" s="10"/>
      <c r="E371" s="10"/>
      <c r="F371" s="177"/>
      <c r="G371" s="180"/>
      <c r="H371" s="180"/>
      <c r="I371" s="10"/>
      <c r="J371" s="30"/>
      <c r="K371" s="200">
        <f t="shared" si="17"/>
        <v>0</v>
      </c>
    </row>
    <row r="372" spans="1:11" x14ac:dyDescent="0.2">
      <c r="A372" s="62"/>
      <c r="B372" s="62"/>
      <c r="C372" s="30"/>
      <c r="D372" s="10"/>
      <c r="E372" s="10"/>
      <c r="F372" s="177"/>
      <c r="G372" s="180"/>
      <c r="H372" s="180"/>
      <c r="I372" s="10"/>
      <c r="J372" s="30"/>
      <c r="K372" s="200">
        <f t="shared" si="17"/>
        <v>0</v>
      </c>
    </row>
    <row r="373" spans="1:11" x14ac:dyDescent="0.2">
      <c r="A373" s="62"/>
      <c r="B373" s="62"/>
      <c r="C373" s="30"/>
      <c r="D373" s="10"/>
      <c r="E373" s="10"/>
      <c r="F373" s="177"/>
      <c r="G373" s="180"/>
      <c r="H373" s="180"/>
      <c r="I373" s="10"/>
      <c r="J373" s="30"/>
      <c r="K373" s="200">
        <f t="shared" si="17"/>
        <v>0</v>
      </c>
    </row>
    <row r="374" spans="1:11" x14ac:dyDescent="0.2">
      <c r="A374" s="62"/>
      <c r="B374" s="62"/>
      <c r="C374" s="30"/>
      <c r="D374" s="10"/>
      <c r="E374" s="10"/>
      <c r="F374" s="177"/>
      <c r="G374" s="180"/>
      <c r="H374" s="180"/>
      <c r="I374" s="10"/>
      <c r="J374" s="30"/>
      <c r="K374" s="200">
        <f t="shared" si="17"/>
        <v>0</v>
      </c>
    </row>
    <row r="375" spans="1:11" x14ac:dyDescent="0.2">
      <c r="A375" s="62"/>
      <c r="B375" s="62"/>
      <c r="C375" s="30"/>
      <c r="D375" s="10"/>
      <c r="E375" s="10"/>
      <c r="F375" s="177"/>
      <c r="G375" s="180"/>
      <c r="H375" s="180"/>
      <c r="I375" s="10"/>
      <c r="J375" s="30"/>
      <c r="K375" s="200">
        <f t="shared" si="17"/>
        <v>0</v>
      </c>
    </row>
    <row r="376" spans="1:11" x14ac:dyDescent="0.2">
      <c r="A376" s="62"/>
      <c r="B376" s="62"/>
      <c r="C376" s="30"/>
      <c r="D376" s="10"/>
      <c r="E376" s="10"/>
      <c r="F376" s="177"/>
      <c r="G376" s="180"/>
      <c r="H376" s="180"/>
      <c r="I376" s="10"/>
      <c r="J376" s="30"/>
      <c r="K376" s="200">
        <f t="shared" si="17"/>
        <v>0</v>
      </c>
    </row>
    <row r="377" spans="1:11" x14ac:dyDescent="0.2">
      <c r="A377" s="62"/>
      <c r="B377" s="62"/>
      <c r="C377" s="30"/>
      <c r="D377" s="10"/>
      <c r="E377" s="10"/>
      <c r="F377" s="177"/>
      <c r="G377" s="180"/>
      <c r="H377" s="180"/>
      <c r="I377" s="10"/>
      <c r="J377" s="30"/>
      <c r="K377" s="200">
        <f t="shared" si="17"/>
        <v>0</v>
      </c>
    </row>
    <row r="378" spans="1:11" x14ac:dyDescent="0.2">
      <c r="A378" s="62"/>
      <c r="B378" s="62"/>
      <c r="C378" s="30"/>
      <c r="D378" s="10"/>
      <c r="E378" s="10"/>
      <c r="F378" s="177"/>
      <c r="G378" s="180"/>
      <c r="H378" s="180"/>
      <c r="I378" s="10"/>
      <c r="J378" s="30"/>
      <c r="K378" s="200">
        <f t="shared" si="17"/>
        <v>0</v>
      </c>
    </row>
    <row r="379" spans="1:11" x14ac:dyDescent="0.2">
      <c r="A379" s="62"/>
      <c r="B379" s="62"/>
      <c r="C379" s="30"/>
      <c r="D379" s="10"/>
      <c r="E379" s="10"/>
      <c r="F379" s="177"/>
      <c r="G379" s="180"/>
      <c r="H379" s="180"/>
      <c r="I379" s="10"/>
      <c r="J379" s="30"/>
      <c r="K379" s="200">
        <f t="shared" si="17"/>
        <v>0</v>
      </c>
    </row>
    <row r="380" spans="1:11" x14ac:dyDescent="0.2">
      <c r="A380" s="62"/>
      <c r="B380" s="62"/>
      <c r="C380" s="30"/>
      <c r="D380" s="10"/>
      <c r="E380" s="10"/>
      <c r="F380" s="177"/>
      <c r="G380" s="180"/>
      <c r="H380" s="180"/>
      <c r="I380" s="10"/>
      <c r="J380" s="30"/>
      <c r="K380" s="200">
        <f t="shared" si="17"/>
        <v>0</v>
      </c>
    </row>
    <row r="381" spans="1:11" x14ac:dyDescent="0.2">
      <c r="A381" s="62"/>
      <c r="B381" s="62"/>
      <c r="C381" s="30"/>
      <c r="D381" s="10"/>
      <c r="E381" s="10"/>
      <c r="F381" s="177"/>
      <c r="G381" s="180"/>
      <c r="H381" s="180"/>
      <c r="I381" s="10"/>
      <c r="J381" s="30"/>
      <c r="K381" s="200">
        <f t="shared" si="17"/>
        <v>0</v>
      </c>
    </row>
    <row r="382" spans="1:11" x14ac:dyDescent="0.2">
      <c r="A382" s="62"/>
      <c r="B382" s="62"/>
      <c r="C382" s="30"/>
      <c r="D382" s="10"/>
      <c r="E382" s="10"/>
      <c r="F382" s="177"/>
      <c r="G382" s="180"/>
      <c r="H382" s="180"/>
      <c r="I382" s="10"/>
      <c r="J382" s="30"/>
      <c r="K382" s="200">
        <f t="shared" si="17"/>
        <v>0</v>
      </c>
    </row>
    <row r="383" spans="1:11" x14ac:dyDescent="0.2">
      <c r="A383" s="62"/>
      <c r="B383" s="62"/>
      <c r="C383" s="30"/>
      <c r="D383" s="10"/>
      <c r="E383" s="10"/>
      <c r="F383" s="177"/>
      <c r="G383" s="180"/>
      <c r="H383" s="180"/>
      <c r="I383" s="10"/>
      <c r="J383" s="30"/>
      <c r="K383" s="200">
        <f t="shared" si="17"/>
        <v>0</v>
      </c>
    </row>
    <row r="384" spans="1:11" x14ac:dyDescent="0.2">
      <c r="A384" s="62"/>
      <c r="B384" s="62"/>
      <c r="C384" s="30"/>
      <c r="D384" s="10"/>
      <c r="E384" s="10"/>
      <c r="F384" s="177"/>
      <c r="G384" s="180"/>
      <c r="H384" s="180"/>
      <c r="I384" s="10"/>
      <c r="J384" s="30"/>
      <c r="K384" s="200">
        <f t="shared" si="17"/>
        <v>0</v>
      </c>
    </row>
    <row r="385" spans="1:11" x14ac:dyDescent="0.2">
      <c r="A385" s="62"/>
      <c r="B385" s="62"/>
      <c r="C385" s="30"/>
      <c r="D385" s="10"/>
      <c r="E385" s="10"/>
      <c r="F385" s="177"/>
      <c r="G385" s="180"/>
      <c r="H385" s="180"/>
      <c r="I385" s="10"/>
      <c r="J385" s="30"/>
      <c r="K385" s="200">
        <f t="shared" si="17"/>
        <v>0</v>
      </c>
    </row>
    <row r="386" spans="1:11" x14ac:dyDescent="0.2">
      <c r="A386" s="62"/>
      <c r="B386" s="62"/>
      <c r="C386" s="30"/>
      <c r="D386" s="10"/>
      <c r="E386" s="10"/>
      <c r="F386" s="177"/>
      <c r="G386" s="180"/>
      <c r="H386" s="180"/>
      <c r="I386" s="10"/>
      <c r="J386" s="30"/>
      <c r="K386" s="200">
        <f t="shared" si="17"/>
        <v>0</v>
      </c>
    </row>
    <row r="387" spans="1:11" x14ac:dyDescent="0.2">
      <c r="A387" s="62"/>
      <c r="B387" s="62"/>
      <c r="C387" s="30"/>
      <c r="D387" s="10"/>
      <c r="E387" s="10"/>
      <c r="F387" s="177"/>
      <c r="G387" s="180"/>
      <c r="H387" s="180"/>
      <c r="I387" s="10"/>
      <c r="J387" s="30"/>
      <c r="K387" s="200">
        <f t="shared" si="17"/>
        <v>0</v>
      </c>
    </row>
    <row r="388" spans="1:11" x14ac:dyDescent="0.2">
      <c r="A388" s="62"/>
      <c r="B388" s="62"/>
      <c r="C388" s="30"/>
      <c r="D388" s="10"/>
      <c r="E388" s="10"/>
      <c r="F388" s="177"/>
      <c r="G388" s="180"/>
      <c r="H388" s="180"/>
      <c r="I388" s="10"/>
      <c r="J388" s="30"/>
      <c r="K388" s="200">
        <f t="shared" si="17"/>
        <v>0</v>
      </c>
    </row>
    <row r="389" spans="1:11" x14ac:dyDescent="0.2">
      <c r="A389" s="62"/>
      <c r="B389" s="62"/>
      <c r="C389" s="30"/>
      <c r="D389" s="10"/>
      <c r="E389" s="10"/>
      <c r="F389" s="177"/>
      <c r="G389" s="180"/>
      <c r="H389" s="180"/>
      <c r="I389" s="10"/>
      <c r="J389" s="30"/>
      <c r="K389" s="200">
        <f t="shared" si="17"/>
        <v>0</v>
      </c>
    </row>
    <row r="390" spans="1:11" x14ac:dyDescent="0.2">
      <c r="A390" s="62"/>
      <c r="B390" s="62"/>
      <c r="C390" s="30"/>
      <c r="D390" s="10"/>
      <c r="E390" s="10"/>
      <c r="F390" s="177"/>
      <c r="G390" s="180"/>
      <c r="H390" s="180"/>
      <c r="I390" s="10"/>
      <c r="J390" s="30"/>
      <c r="K390" s="200">
        <f t="shared" si="17"/>
        <v>0</v>
      </c>
    </row>
    <row r="391" spans="1:11" x14ac:dyDescent="0.2">
      <c r="A391" s="62"/>
      <c r="B391" s="62"/>
      <c r="C391" s="30"/>
      <c r="D391" s="10"/>
      <c r="E391" s="10"/>
      <c r="F391" s="177"/>
      <c r="G391" s="180"/>
      <c r="H391" s="180"/>
      <c r="I391" s="10"/>
      <c r="J391" s="30"/>
      <c r="K391" s="200">
        <f t="shared" si="17"/>
        <v>0</v>
      </c>
    </row>
    <row r="392" spans="1:11" x14ac:dyDescent="0.2">
      <c r="A392" s="62"/>
      <c r="B392" s="62"/>
      <c r="C392" s="30"/>
      <c r="D392" s="10"/>
      <c r="E392" s="10"/>
      <c r="F392" s="177"/>
      <c r="G392" s="180"/>
      <c r="H392" s="180"/>
      <c r="I392" s="10"/>
      <c r="J392" s="30"/>
      <c r="K392" s="200">
        <f t="shared" si="17"/>
        <v>0</v>
      </c>
    </row>
    <row r="393" spans="1:11" x14ac:dyDescent="0.2">
      <c r="A393" s="62"/>
      <c r="B393" s="62"/>
      <c r="C393" s="30"/>
      <c r="D393" s="10"/>
      <c r="E393" s="10"/>
      <c r="F393" s="177"/>
      <c r="G393" s="180"/>
      <c r="H393" s="180"/>
      <c r="I393" s="10"/>
      <c r="J393" s="30"/>
      <c r="K393" s="200">
        <f t="shared" si="17"/>
        <v>0</v>
      </c>
    </row>
    <row r="394" spans="1:11" x14ac:dyDescent="0.2">
      <c r="A394" s="62"/>
      <c r="B394" s="62"/>
      <c r="C394" s="30"/>
      <c r="D394" s="10"/>
      <c r="E394" s="10"/>
      <c r="F394" s="177"/>
      <c r="G394" s="180"/>
      <c r="H394" s="180"/>
      <c r="I394" s="10"/>
      <c r="J394" s="30"/>
      <c r="K394" s="200">
        <f t="shared" si="17"/>
        <v>0</v>
      </c>
    </row>
    <row r="395" spans="1:11" x14ac:dyDescent="0.2">
      <c r="A395" s="62"/>
      <c r="B395" s="62"/>
      <c r="C395" s="30"/>
      <c r="D395" s="10"/>
      <c r="E395" s="10"/>
      <c r="F395" s="177"/>
      <c r="G395" s="180"/>
      <c r="H395" s="180"/>
      <c r="I395" s="10"/>
      <c r="J395" s="30"/>
      <c r="K395" s="200">
        <f t="shared" si="17"/>
        <v>0</v>
      </c>
    </row>
    <row r="396" spans="1:11" x14ac:dyDescent="0.2">
      <c r="A396" s="62"/>
      <c r="B396" s="62"/>
      <c r="C396" s="30"/>
      <c r="D396" s="10"/>
      <c r="E396" s="10"/>
      <c r="F396" s="177"/>
      <c r="G396" s="180"/>
      <c r="H396" s="180"/>
      <c r="I396" s="10"/>
      <c r="J396" s="30"/>
      <c r="K396" s="200">
        <f t="shared" si="17"/>
        <v>0</v>
      </c>
    </row>
    <row r="397" spans="1:11" x14ac:dyDescent="0.2">
      <c r="A397" s="62"/>
      <c r="B397" s="62"/>
      <c r="C397" s="30"/>
      <c r="D397" s="10"/>
      <c r="E397" s="10"/>
      <c r="F397" s="177"/>
      <c r="G397" s="180"/>
      <c r="H397" s="180"/>
      <c r="I397" s="10"/>
      <c r="J397" s="30"/>
      <c r="K397" s="200">
        <f t="shared" si="17"/>
        <v>0</v>
      </c>
    </row>
    <row r="398" spans="1:11" x14ac:dyDescent="0.2">
      <c r="A398" s="62"/>
      <c r="B398" s="62"/>
      <c r="C398" s="30"/>
      <c r="D398" s="10"/>
      <c r="E398" s="10"/>
      <c r="F398" s="177"/>
      <c r="G398" s="180"/>
      <c r="H398" s="180"/>
      <c r="I398" s="10"/>
      <c r="J398" s="30"/>
      <c r="K398" s="200">
        <f t="shared" si="17"/>
        <v>0</v>
      </c>
    </row>
    <row r="399" spans="1:11" x14ac:dyDescent="0.2">
      <c r="A399" s="62"/>
      <c r="B399" s="62"/>
      <c r="C399" s="30"/>
      <c r="D399" s="10"/>
      <c r="E399" s="10"/>
      <c r="F399" s="177"/>
      <c r="G399" s="180"/>
      <c r="H399" s="180"/>
      <c r="I399" s="10"/>
      <c r="J399" s="30"/>
      <c r="K399" s="200">
        <f t="shared" si="17"/>
        <v>0</v>
      </c>
    </row>
    <row r="400" spans="1:11" x14ac:dyDescent="0.2">
      <c r="A400" s="62"/>
      <c r="B400" s="62"/>
      <c r="C400" s="30"/>
      <c r="D400" s="10"/>
      <c r="E400" s="10"/>
      <c r="F400" s="177"/>
      <c r="G400" s="180"/>
      <c r="H400" s="180"/>
      <c r="I400" s="10"/>
      <c r="J400" s="30"/>
      <c r="K400" s="200">
        <f t="shared" si="17"/>
        <v>0</v>
      </c>
    </row>
    <row r="401" spans="1:11" x14ac:dyDescent="0.2">
      <c r="A401" s="62"/>
      <c r="B401" s="62"/>
      <c r="C401" s="30"/>
      <c r="D401" s="10"/>
      <c r="E401" s="10"/>
      <c r="F401" s="177"/>
      <c r="G401" s="180"/>
      <c r="H401" s="180"/>
      <c r="I401" s="10"/>
      <c r="J401" s="30"/>
      <c r="K401" s="200">
        <f t="shared" si="17"/>
        <v>0</v>
      </c>
    </row>
    <row r="402" spans="1:11" x14ac:dyDescent="0.2">
      <c r="A402" s="62"/>
      <c r="B402" s="62"/>
      <c r="C402" s="30"/>
      <c r="D402" s="10"/>
      <c r="E402" s="10"/>
      <c r="F402" s="177"/>
      <c r="G402" s="180"/>
      <c r="H402" s="180"/>
      <c r="I402" s="10"/>
      <c r="J402" s="30"/>
      <c r="K402" s="200">
        <f t="shared" si="17"/>
        <v>0</v>
      </c>
    </row>
    <row r="403" spans="1:11" x14ac:dyDescent="0.2">
      <c r="A403" s="62"/>
      <c r="B403" s="62"/>
      <c r="C403" s="30"/>
      <c r="D403" s="10"/>
      <c r="E403" s="10"/>
      <c r="F403" s="177"/>
      <c r="G403" s="180"/>
      <c r="H403" s="180"/>
      <c r="I403" s="10"/>
      <c r="J403" s="30"/>
      <c r="K403" s="200">
        <f t="shared" si="17"/>
        <v>0</v>
      </c>
    </row>
    <row r="404" spans="1:11" x14ac:dyDescent="0.2">
      <c r="A404" s="62"/>
      <c r="B404" s="62"/>
      <c r="C404" s="30"/>
      <c r="D404" s="10"/>
      <c r="E404" s="10"/>
      <c r="F404" s="177"/>
      <c r="G404" s="180"/>
      <c r="H404" s="180"/>
      <c r="I404" s="10"/>
      <c r="J404" s="30"/>
      <c r="K404" s="200">
        <f t="shared" si="17"/>
        <v>0</v>
      </c>
    </row>
    <row r="405" spans="1:11" x14ac:dyDescent="0.2">
      <c r="A405" s="62"/>
      <c r="B405" s="62"/>
      <c r="C405" s="30"/>
      <c r="D405" s="10"/>
      <c r="E405" s="10"/>
      <c r="F405" s="177"/>
      <c r="G405" s="180"/>
      <c r="H405" s="180"/>
      <c r="I405" s="10"/>
      <c r="J405" s="30"/>
      <c r="K405" s="200">
        <f t="shared" si="17"/>
        <v>0</v>
      </c>
    </row>
    <row r="406" spans="1:11" x14ac:dyDescent="0.2">
      <c r="A406" s="62"/>
      <c r="B406" s="62"/>
      <c r="C406" s="30"/>
      <c r="D406" s="10"/>
      <c r="E406" s="10"/>
      <c r="F406" s="177"/>
      <c r="G406" s="180"/>
      <c r="H406" s="180"/>
      <c r="I406" s="10"/>
      <c r="J406" s="30"/>
      <c r="K406" s="200">
        <f t="shared" si="17"/>
        <v>0</v>
      </c>
    </row>
    <row r="407" spans="1:11" x14ac:dyDescent="0.2">
      <c r="A407" s="62"/>
      <c r="B407" s="62"/>
      <c r="C407" s="30"/>
      <c r="D407" s="10"/>
      <c r="E407" s="10"/>
      <c r="F407" s="177"/>
      <c r="G407" s="180"/>
      <c r="H407" s="180"/>
      <c r="I407" s="10"/>
      <c r="J407" s="30"/>
      <c r="K407" s="200">
        <f>H407</f>
        <v>0</v>
      </c>
    </row>
    <row r="408" spans="1:11" x14ac:dyDescent="0.2">
      <c r="A408" s="62"/>
      <c r="B408" s="62"/>
      <c r="C408" s="30"/>
      <c r="D408" s="10"/>
      <c r="E408" s="10"/>
      <c r="F408" s="177"/>
      <c r="G408" s="180"/>
      <c r="H408" s="180"/>
      <c r="I408" s="10"/>
      <c r="J408" s="30"/>
      <c r="K408" s="200">
        <f t="shared" si="17"/>
        <v>0</v>
      </c>
    </row>
    <row r="409" spans="1:11" x14ac:dyDescent="0.2">
      <c r="A409" s="62"/>
      <c r="B409" s="62"/>
      <c r="C409" s="30"/>
      <c r="D409" s="10"/>
      <c r="E409" s="10"/>
      <c r="F409" s="177"/>
      <c r="G409" s="180"/>
      <c r="H409" s="180"/>
      <c r="I409" s="10"/>
      <c r="J409" s="30"/>
      <c r="K409" s="200">
        <f>H409</f>
        <v>0</v>
      </c>
    </row>
    <row r="410" spans="1:11" x14ac:dyDescent="0.2">
      <c r="A410" s="62"/>
      <c r="B410" s="62"/>
      <c r="C410" s="30"/>
      <c r="D410" s="10"/>
      <c r="E410" s="10"/>
      <c r="F410" s="177"/>
      <c r="G410" s="180"/>
      <c r="H410" s="180"/>
      <c r="I410" s="10"/>
      <c r="J410" s="30"/>
      <c r="K410" s="200">
        <f t="shared" si="17"/>
        <v>0</v>
      </c>
    </row>
    <row r="411" spans="1:11" x14ac:dyDescent="0.2">
      <c r="A411" s="62"/>
      <c r="B411" s="62"/>
      <c r="C411" s="30"/>
      <c r="D411" s="10"/>
      <c r="E411" s="10"/>
      <c r="F411" s="177"/>
      <c r="G411" s="180"/>
      <c r="H411" s="180"/>
      <c r="I411" s="10"/>
      <c r="J411" s="30"/>
      <c r="K411" s="200">
        <f t="shared" si="17"/>
        <v>0</v>
      </c>
    </row>
    <row r="412" spans="1:11" x14ac:dyDescent="0.2">
      <c r="A412" s="62"/>
      <c r="B412" s="62"/>
      <c r="C412" s="30"/>
      <c r="D412" s="10"/>
      <c r="E412" s="10"/>
      <c r="F412" s="177"/>
      <c r="G412" s="180"/>
      <c r="H412" s="180"/>
      <c r="I412" s="10"/>
      <c r="J412" s="30"/>
      <c r="K412" s="200">
        <f t="shared" si="17"/>
        <v>0</v>
      </c>
    </row>
    <row r="413" spans="1:11" x14ac:dyDescent="0.2">
      <c r="A413" s="62"/>
      <c r="B413" s="62"/>
      <c r="C413" s="30"/>
      <c r="D413" s="10"/>
      <c r="E413" s="10"/>
      <c r="F413" s="177"/>
      <c r="G413" s="180"/>
      <c r="H413" s="180"/>
      <c r="I413" s="10"/>
      <c r="J413" s="30"/>
      <c r="K413" s="200">
        <f t="shared" si="17"/>
        <v>0</v>
      </c>
    </row>
    <row r="414" spans="1:11" x14ac:dyDescent="0.2">
      <c r="A414" s="62"/>
      <c r="B414" s="62"/>
      <c r="C414" s="30"/>
      <c r="D414" s="10"/>
      <c r="E414" s="10"/>
      <c r="F414" s="177"/>
      <c r="G414" s="180"/>
      <c r="H414" s="180"/>
      <c r="I414" s="10"/>
      <c r="J414" s="30"/>
      <c r="K414" s="200">
        <f t="shared" si="17"/>
        <v>0</v>
      </c>
    </row>
    <row r="415" spans="1:11" x14ac:dyDescent="0.2">
      <c r="A415" s="62"/>
      <c r="B415" s="62"/>
      <c r="C415" s="30"/>
      <c r="D415" s="10"/>
      <c r="E415" s="10"/>
      <c r="F415" s="177"/>
      <c r="G415" s="180"/>
      <c r="H415" s="180"/>
      <c r="I415" s="10"/>
      <c r="J415" s="30"/>
      <c r="K415" s="200">
        <f t="shared" si="17"/>
        <v>0</v>
      </c>
    </row>
    <row r="416" spans="1:11" x14ac:dyDescent="0.2">
      <c r="A416" s="62"/>
      <c r="B416" s="62"/>
      <c r="C416" s="30"/>
      <c r="D416" s="10"/>
      <c r="E416" s="10"/>
      <c r="F416" s="177"/>
      <c r="G416" s="180"/>
      <c r="H416" s="180"/>
      <c r="I416" s="10"/>
      <c r="J416" s="30"/>
      <c r="K416" s="200">
        <f t="shared" si="17"/>
        <v>0</v>
      </c>
    </row>
    <row r="417" spans="1:11" x14ac:dyDescent="0.2">
      <c r="A417" s="62"/>
      <c r="B417" s="62"/>
      <c r="C417" s="30"/>
      <c r="D417" s="10"/>
      <c r="E417" s="10"/>
      <c r="F417" s="177"/>
      <c r="G417" s="180"/>
      <c r="H417" s="180"/>
      <c r="I417" s="10"/>
      <c r="J417" s="30"/>
      <c r="K417" s="200">
        <f t="shared" si="17"/>
        <v>0</v>
      </c>
    </row>
    <row r="418" spans="1:11" x14ac:dyDescent="0.2">
      <c r="A418" s="62"/>
      <c r="B418" s="62"/>
      <c r="C418" s="30"/>
      <c r="D418" s="10"/>
      <c r="E418" s="10"/>
      <c r="F418" s="177"/>
      <c r="G418" s="180"/>
      <c r="H418" s="180"/>
      <c r="I418" s="10"/>
      <c r="J418" s="30"/>
      <c r="K418" s="200">
        <f t="shared" si="17"/>
        <v>0</v>
      </c>
    </row>
    <row r="419" spans="1:11" x14ac:dyDescent="0.2">
      <c r="A419" s="62"/>
      <c r="B419" s="62"/>
      <c r="C419" s="30"/>
      <c r="D419" s="10"/>
      <c r="E419" s="10"/>
      <c r="F419" s="177"/>
      <c r="G419" s="180"/>
      <c r="H419" s="180"/>
      <c r="I419" s="10"/>
      <c r="J419" s="30"/>
      <c r="K419" s="200">
        <f t="shared" si="17"/>
        <v>0</v>
      </c>
    </row>
    <row r="420" spans="1:11" x14ac:dyDescent="0.2">
      <c r="A420" s="62"/>
      <c r="B420" s="62"/>
      <c r="C420" s="30"/>
      <c r="D420" s="10"/>
      <c r="E420" s="10"/>
      <c r="F420" s="177"/>
      <c r="G420" s="180"/>
      <c r="H420" s="180"/>
      <c r="I420" s="10"/>
      <c r="J420" s="30"/>
      <c r="K420" s="200">
        <f t="shared" ref="K420:K434" si="18">H420</f>
        <v>0</v>
      </c>
    </row>
    <row r="421" spans="1:11" x14ac:dyDescent="0.2">
      <c r="A421" s="62"/>
      <c r="B421" s="62"/>
      <c r="C421" s="30"/>
      <c r="D421" s="10"/>
      <c r="E421" s="10"/>
      <c r="F421" s="177"/>
      <c r="G421" s="180"/>
      <c r="H421" s="180"/>
      <c r="I421" s="10"/>
      <c r="J421" s="30"/>
      <c r="K421" s="200">
        <f t="shared" si="18"/>
        <v>0</v>
      </c>
    </row>
    <row r="422" spans="1:11" x14ac:dyDescent="0.2">
      <c r="A422" s="62"/>
      <c r="B422" s="62"/>
      <c r="C422" s="30"/>
      <c r="D422" s="10"/>
      <c r="E422" s="10"/>
      <c r="F422" s="177"/>
      <c r="G422" s="180"/>
      <c r="H422" s="180"/>
      <c r="I422" s="10"/>
      <c r="J422" s="30"/>
      <c r="K422" s="200">
        <f t="shared" si="18"/>
        <v>0</v>
      </c>
    </row>
    <row r="423" spans="1:11" x14ac:dyDescent="0.2">
      <c r="A423" s="62"/>
      <c r="B423" s="62"/>
      <c r="C423" s="30"/>
      <c r="D423" s="10"/>
      <c r="E423" s="10"/>
      <c r="F423" s="177"/>
      <c r="G423" s="180"/>
      <c r="H423" s="180"/>
      <c r="I423" s="10"/>
      <c r="J423" s="30"/>
      <c r="K423" s="200">
        <f t="shared" si="18"/>
        <v>0</v>
      </c>
    </row>
    <row r="424" spans="1:11" x14ac:dyDescent="0.2">
      <c r="A424" s="62"/>
      <c r="B424" s="62"/>
      <c r="C424" s="30"/>
      <c r="D424" s="10"/>
      <c r="E424" s="10"/>
      <c r="F424" s="177"/>
      <c r="G424" s="180"/>
      <c r="H424" s="180"/>
      <c r="I424" s="10"/>
      <c r="J424" s="30"/>
      <c r="K424" s="200">
        <f t="shared" si="18"/>
        <v>0</v>
      </c>
    </row>
    <row r="425" spans="1:11" x14ac:dyDescent="0.2">
      <c r="A425" s="62"/>
      <c r="B425" s="62"/>
      <c r="C425" s="30"/>
      <c r="D425" s="10"/>
      <c r="E425" s="10"/>
      <c r="F425" s="177"/>
      <c r="G425" s="180"/>
      <c r="H425" s="180"/>
      <c r="I425" s="10"/>
      <c r="J425" s="30"/>
      <c r="K425" s="200">
        <f t="shared" si="18"/>
        <v>0</v>
      </c>
    </row>
    <row r="426" spans="1:11" x14ac:dyDescent="0.2">
      <c r="A426" s="62"/>
      <c r="B426" s="62"/>
      <c r="C426" s="30"/>
      <c r="D426" s="10"/>
      <c r="E426" s="10"/>
      <c r="F426" s="177"/>
      <c r="G426" s="180"/>
      <c r="H426" s="180"/>
      <c r="I426" s="10"/>
      <c r="J426" s="30"/>
      <c r="K426" s="200">
        <f t="shared" si="18"/>
        <v>0</v>
      </c>
    </row>
    <row r="427" spans="1:11" x14ac:dyDescent="0.2">
      <c r="A427" s="62"/>
      <c r="B427" s="62"/>
      <c r="C427" s="30"/>
      <c r="D427" s="10"/>
      <c r="E427" s="10"/>
      <c r="F427" s="177"/>
      <c r="G427" s="180"/>
      <c r="H427" s="180"/>
      <c r="I427" s="10"/>
      <c r="J427" s="30"/>
      <c r="K427" s="200">
        <f t="shared" si="18"/>
        <v>0</v>
      </c>
    </row>
    <row r="428" spans="1:11" x14ac:dyDescent="0.2">
      <c r="A428" s="62"/>
      <c r="B428" s="62"/>
      <c r="C428" s="30"/>
      <c r="D428" s="10"/>
      <c r="E428" s="10"/>
      <c r="F428" s="177"/>
      <c r="G428" s="180"/>
      <c r="H428" s="180"/>
      <c r="I428" s="10"/>
      <c r="J428" s="30"/>
      <c r="K428" s="200">
        <f t="shared" si="18"/>
        <v>0</v>
      </c>
    </row>
    <row r="429" spans="1:11" x14ac:dyDescent="0.2">
      <c r="A429" s="62"/>
      <c r="B429" s="62"/>
      <c r="C429" s="30"/>
      <c r="D429" s="10"/>
      <c r="E429" s="10"/>
      <c r="F429" s="177"/>
      <c r="G429" s="180"/>
      <c r="H429" s="180"/>
      <c r="I429" s="10"/>
      <c r="J429" s="30"/>
      <c r="K429" s="200">
        <f t="shared" si="18"/>
        <v>0</v>
      </c>
    </row>
    <row r="430" spans="1:11" x14ac:dyDescent="0.2">
      <c r="A430" s="62"/>
      <c r="B430" s="62"/>
      <c r="C430" s="30"/>
      <c r="D430" s="10"/>
      <c r="E430" s="10"/>
      <c r="F430" s="177"/>
      <c r="G430" s="180"/>
      <c r="H430" s="180"/>
      <c r="I430" s="10"/>
      <c r="J430" s="30"/>
      <c r="K430" s="200">
        <f t="shared" si="18"/>
        <v>0</v>
      </c>
    </row>
    <row r="431" spans="1:11" x14ac:dyDescent="0.2">
      <c r="A431" s="62"/>
      <c r="B431" s="62"/>
      <c r="C431" s="30"/>
      <c r="D431" s="10"/>
      <c r="E431" s="10"/>
      <c r="F431" s="177"/>
      <c r="G431" s="180"/>
      <c r="H431" s="180"/>
      <c r="I431" s="10"/>
      <c r="J431" s="30"/>
      <c r="K431" s="200">
        <f t="shared" si="18"/>
        <v>0</v>
      </c>
    </row>
    <row r="432" spans="1:11" x14ac:dyDescent="0.2">
      <c r="A432" s="62"/>
      <c r="B432" s="62"/>
      <c r="C432" s="30"/>
      <c r="D432" s="10"/>
      <c r="E432" s="10"/>
      <c r="F432" s="177"/>
      <c r="G432" s="180"/>
      <c r="H432" s="180"/>
      <c r="I432" s="10"/>
      <c r="J432" s="30"/>
      <c r="K432" s="200">
        <f t="shared" si="18"/>
        <v>0</v>
      </c>
    </row>
    <row r="433" spans="1:11" x14ac:dyDescent="0.2">
      <c r="A433" s="62"/>
      <c r="B433" s="62"/>
      <c r="C433" s="30"/>
      <c r="D433" s="10"/>
      <c r="E433" s="10"/>
      <c r="F433" s="177"/>
      <c r="G433" s="180"/>
      <c r="H433" s="180"/>
      <c r="I433" s="10"/>
      <c r="J433" s="30"/>
      <c r="K433" s="200">
        <f t="shared" si="18"/>
        <v>0</v>
      </c>
    </row>
    <row r="434" spans="1:11" x14ac:dyDescent="0.2">
      <c r="A434" s="62"/>
      <c r="B434" s="62"/>
      <c r="C434" s="30"/>
      <c r="D434" s="10"/>
      <c r="E434" s="10"/>
      <c r="F434" s="177"/>
      <c r="G434" s="180"/>
      <c r="H434" s="180"/>
      <c r="I434" s="10"/>
      <c r="J434" s="30"/>
      <c r="K434" s="200">
        <f t="shared" si="18"/>
        <v>0</v>
      </c>
    </row>
    <row r="435" spans="1:11" x14ac:dyDescent="0.2">
      <c r="A435" s="62"/>
      <c r="B435" s="62"/>
      <c r="C435" s="30"/>
      <c r="D435" s="10"/>
      <c r="E435" s="10"/>
      <c r="F435" s="177"/>
      <c r="G435" s="180"/>
      <c r="H435" s="180"/>
      <c r="I435" s="10"/>
      <c r="J435" s="30"/>
      <c r="K435" s="200">
        <f>H435</f>
        <v>0</v>
      </c>
    </row>
    <row r="436" spans="1:11" x14ac:dyDescent="0.2">
      <c r="A436" s="62"/>
      <c r="B436" s="62"/>
      <c r="C436" s="30"/>
      <c r="D436" s="10"/>
      <c r="E436" s="10"/>
      <c r="F436" s="177"/>
      <c r="G436" s="180"/>
      <c r="H436" s="180"/>
      <c r="I436" s="10"/>
      <c r="J436" s="30"/>
      <c r="K436" s="200">
        <f>H436</f>
        <v>0</v>
      </c>
    </row>
    <row r="437" spans="1:11" x14ac:dyDescent="0.2">
      <c r="A437" s="62"/>
      <c r="B437" s="62"/>
      <c r="C437" s="30"/>
      <c r="D437" s="10"/>
      <c r="E437" s="10"/>
      <c r="F437" s="177"/>
      <c r="G437" s="180"/>
      <c r="H437" s="180"/>
      <c r="I437" s="10"/>
      <c r="J437" s="30"/>
      <c r="K437" s="200">
        <f t="shared" ref="K437:K439" si="19">H437</f>
        <v>0</v>
      </c>
    </row>
    <row r="438" spans="1:11" x14ac:dyDescent="0.2">
      <c r="A438" s="62"/>
      <c r="B438" s="62"/>
      <c r="C438" s="30"/>
      <c r="D438" s="10"/>
      <c r="E438" s="10"/>
      <c r="F438" s="177"/>
      <c r="G438" s="180"/>
      <c r="H438" s="180"/>
      <c r="I438" s="10"/>
      <c r="J438" s="30"/>
      <c r="K438" s="200">
        <f t="shared" si="19"/>
        <v>0</v>
      </c>
    </row>
    <row r="439" spans="1:11" x14ac:dyDescent="0.2">
      <c r="A439" s="62"/>
      <c r="B439" s="62"/>
      <c r="C439" s="30"/>
      <c r="D439" s="10"/>
      <c r="E439" s="10"/>
      <c r="F439" s="177"/>
      <c r="G439" s="180"/>
      <c r="H439" s="180"/>
      <c r="I439" s="10"/>
      <c r="J439" s="30"/>
      <c r="K439" s="200">
        <f t="shared" si="19"/>
        <v>0</v>
      </c>
    </row>
    <row r="440" spans="1:11" x14ac:dyDescent="0.2">
      <c r="A440" s="62"/>
      <c r="B440" s="62"/>
      <c r="C440" s="30"/>
      <c r="D440" s="10"/>
      <c r="E440" s="10"/>
      <c r="F440" s="177"/>
      <c r="G440" s="180"/>
      <c r="H440" s="180"/>
      <c r="I440" s="10"/>
      <c r="J440" s="30"/>
      <c r="K440" s="200">
        <f>H440</f>
        <v>0</v>
      </c>
    </row>
    <row r="441" spans="1:11" x14ac:dyDescent="0.2">
      <c r="A441" s="62"/>
      <c r="B441" s="62"/>
      <c r="C441" s="30"/>
      <c r="D441" s="10"/>
      <c r="E441" s="10"/>
      <c r="F441" s="177"/>
      <c r="G441" s="180"/>
      <c r="H441" s="180"/>
      <c r="I441" s="10"/>
      <c r="J441" s="30"/>
      <c r="K441" s="200">
        <f>H441</f>
        <v>0</v>
      </c>
    </row>
    <row r="442" spans="1:11" x14ac:dyDescent="0.2">
      <c r="A442" s="62"/>
      <c r="B442" s="62"/>
      <c r="C442" s="30"/>
      <c r="D442" s="10"/>
      <c r="E442" s="10"/>
      <c r="F442" s="177"/>
      <c r="G442" s="180"/>
      <c r="H442" s="180"/>
      <c r="I442" s="10"/>
      <c r="J442" s="30"/>
      <c r="K442" s="200">
        <f>H442</f>
        <v>0</v>
      </c>
    </row>
    <row r="443" spans="1:11" ht="12" x14ac:dyDescent="0.2">
      <c r="A443" s="316" t="s">
        <v>3548</v>
      </c>
      <c r="B443" s="316"/>
      <c r="C443" s="316"/>
      <c r="D443" s="316"/>
      <c r="E443" s="316"/>
      <c r="F443" s="316"/>
      <c r="G443" s="316"/>
      <c r="H443" s="205">
        <f>SUM(H355:H442)</f>
        <v>0</v>
      </c>
      <c r="I443" s="319" t="s">
        <v>3454</v>
      </c>
      <c r="J443" s="320"/>
      <c r="K443" s="205">
        <f>SUM(K355:K442)</f>
        <v>0</v>
      </c>
    </row>
    <row r="444" spans="1:11" ht="12" x14ac:dyDescent="0.2">
      <c r="A444" s="300" t="s">
        <v>3455</v>
      </c>
      <c r="B444" s="301"/>
      <c r="C444" s="301"/>
      <c r="D444" s="301"/>
      <c r="E444" s="301"/>
      <c r="F444" s="301"/>
      <c r="G444" s="302"/>
      <c r="H444" s="205">
        <f>H332</f>
        <v>325000</v>
      </c>
      <c r="I444" s="319" t="s">
        <v>3455</v>
      </c>
      <c r="J444" s="320"/>
      <c r="K444" s="205">
        <f>K332</f>
        <v>325000</v>
      </c>
    </row>
    <row r="445" spans="1:11" ht="12.75" thickBot="1" x14ac:dyDescent="0.25">
      <c r="A445" s="304" t="s">
        <v>3456</v>
      </c>
      <c r="B445" s="305"/>
      <c r="C445" s="305"/>
      <c r="D445" s="305"/>
      <c r="E445" s="305"/>
      <c r="F445" s="305"/>
      <c r="G445" s="306"/>
      <c r="H445" s="206">
        <f>SUM(H443:H444)</f>
        <v>325000</v>
      </c>
      <c r="I445" s="317" t="s">
        <v>3456</v>
      </c>
      <c r="J445" s="318"/>
      <c r="K445" s="206">
        <f>SUM(K443:K444)</f>
        <v>325000</v>
      </c>
    </row>
    <row r="446" spans="1:11" ht="12" x14ac:dyDescent="0.2">
      <c r="A446" s="181"/>
      <c r="B446" s="181"/>
      <c r="C446" s="181"/>
      <c r="D446" s="181"/>
      <c r="E446" s="181"/>
      <c r="F446" s="181"/>
      <c r="G446" s="183" t="s">
        <v>3459</v>
      </c>
      <c r="H446" s="187"/>
      <c r="I446" s="203"/>
      <c r="J446" s="203"/>
      <c r="K446" s="203"/>
    </row>
    <row r="447" spans="1:11" x14ac:dyDescent="0.2">
      <c r="H447" s="182">
        <f>H443-H446</f>
        <v>0</v>
      </c>
    </row>
    <row r="448" spans="1:11" ht="12.75" x14ac:dyDescent="0.2">
      <c r="A448" s="199" t="s">
        <v>0</v>
      </c>
      <c r="B448" s="192"/>
      <c r="C448" s="128"/>
      <c r="D448" s="192"/>
      <c r="E448" s="192"/>
      <c r="F448" s="192"/>
      <c r="G448" s="128"/>
      <c r="H448" s="128"/>
      <c r="I448" s="192"/>
      <c r="J448" s="128"/>
      <c r="K448" s="128"/>
    </row>
    <row r="449" spans="1:11" ht="12.75" x14ac:dyDescent="0.2">
      <c r="A449" s="199" t="s">
        <v>1</v>
      </c>
      <c r="B449" s="192"/>
      <c r="C449" s="128"/>
      <c r="D449" s="192"/>
      <c r="E449" s="192"/>
      <c r="F449" s="192"/>
      <c r="G449" s="128"/>
      <c r="H449" s="128"/>
      <c r="I449" s="192"/>
      <c r="J449" s="128"/>
      <c r="K449" s="128"/>
    </row>
    <row r="450" spans="1:11" ht="12.75" x14ac:dyDescent="0.2">
      <c r="A450" s="313" t="s">
        <v>3259</v>
      </c>
      <c r="B450" s="313"/>
      <c r="C450" s="313"/>
      <c r="D450" s="313"/>
      <c r="E450" s="313"/>
      <c r="F450" s="313"/>
      <c r="G450" s="313"/>
      <c r="H450" s="313"/>
      <c r="I450" s="313"/>
      <c r="J450" s="313"/>
      <c r="K450" s="313"/>
    </row>
    <row r="451" spans="1:11" ht="12.75" x14ac:dyDescent="0.2">
      <c r="A451" s="313" t="s">
        <v>3460</v>
      </c>
      <c r="B451" s="313"/>
      <c r="C451" s="313"/>
      <c r="D451" s="313"/>
      <c r="E451" s="313"/>
      <c r="F451" s="313"/>
      <c r="G451" s="313"/>
      <c r="H451" s="313"/>
      <c r="I451" s="313"/>
      <c r="J451" s="313"/>
      <c r="K451" s="313"/>
    </row>
    <row r="452" spans="1:11" x14ac:dyDescent="0.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</row>
    <row r="453" spans="1:11" x14ac:dyDescent="0.2">
      <c r="A453" s="287" t="s">
        <v>3260</v>
      </c>
      <c r="B453" s="288"/>
      <c r="C453" s="289" t="s">
        <v>8</v>
      </c>
      <c r="D453" s="287" t="s">
        <v>3261</v>
      </c>
      <c r="E453" s="288"/>
      <c r="F453" s="308" t="s">
        <v>76</v>
      </c>
      <c r="G453" s="309"/>
      <c r="H453" s="310"/>
      <c r="I453" s="308" t="s">
        <v>5</v>
      </c>
      <c r="J453" s="309"/>
      <c r="K453" s="310"/>
    </row>
    <row r="454" spans="1:11" x14ac:dyDescent="0.2">
      <c r="A454" s="289" t="s">
        <v>7</v>
      </c>
      <c r="B454" s="289" t="s">
        <v>16</v>
      </c>
      <c r="C454" s="290"/>
      <c r="D454" s="292" t="s">
        <v>7</v>
      </c>
      <c r="E454" s="292" t="s">
        <v>3262</v>
      </c>
      <c r="F454" s="292" t="s">
        <v>3252</v>
      </c>
      <c r="G454" s="292" t="s">
        <v>3251</v>
      </c>
      <c r="H454" s="292" t="s">
        <v>3452</v>
      </c>
      <c r="I454" s="292" t="s">
        <v>3252</v>
      </c>
      <c r="J454" s="292" t="s">
        <v>3251</v>
      </c>
      <c r="K454" s="292" t="s">
        <v>3452</v>
      </c>
    </row>
    <row r="455" spans="1:11" x14ac:dyDescent="0.2">
      <c r="A455" s="291"/>
      <c r="B455" s="291"/>
      <c r="C455" s="291"/>
      <c r="D455" s="294"/>
      <c r="E455" s="294"/>
      <c r="F455" s="294"/>
      <c r="G455" s="294"/>
      <c r="H455" s="294"/>
      <c r="I455" s="294"/>
      <c r="J455" s="294"/>
      <c r="K455" s="294"/>
    </row>
    <row r="456" spans="1:11" x14ac:dyDescent="0.2">
      <c r="A456" s="176"/>
      <c r="B456" s="176"/>
      <c r="C456" s="55"/>
      <c r="D456" s="10"/>
      <c r="E456" s="6"/>
      <c r="F456" s="178"/>
      <c r="G456" s="179"/>
      <c r="H456" s="179"/>
      <c r="I456" s="10"/>
      <c r="J456" s="30"/>
      <c r="K456" s="200">
        <f>H456</f>
        <v>0</v>
      </c>
    </row>
    <row r="457" spans="1:11" x14ac:dyDescent="0.2">
      <c r="A457" s="62"/>
      <c r="B457" s="62"/>
      <c r="C457" s="30"/>
      <c r="D457" s="10"/>
      <c r="E457" s="10"/>
      <c r="F457" s="177"/>
      <c r="G457" s="180"/>
      <c r="H457" s="180"/>
      <c r="I457" s="10"/>
      <c r="J457" s="30"/>
      <c r="K457" s="200">
        <f t="shared" ref="K457:K500" si="20">H457</f>
        <v>0</v>
      </c>
    </row>
    <row r="458" spans="1:11" x14ac:dyDescent="0.2">
      <c r="A458" s="62"/>
      <c r="B458" s="62"/>
      <c r="C458" s="30"/>
      <c r="D458" s="10"/>
      <c r="E458" s="10"/>
      <c r="F458" s="177"/>
      <c r="G458" s="180"/>
      <c r="H458" s="180"/>
      <c r="I458" s="10"/>
      <c r="J458" s="30"/>
      <c r="K458" s="200">
        <f t="shared" si="20"/>
        <v>0</v>
      </c>
    </row>
    <row r="459" spans="1:11" x14ac:dyDescent="0.2">
      <c r="A459" s="62"/>
      <c r="B459" s="62"/>
      <c r="C459" s="30"/>
      <c r="D459" s="10"/>
      <c r="E459" s="10"/>
      <c r="F459" s="177"/>
      <c r="G459" s="180"/>
      <c r="H459" s="180"/>
      <c r="I459" s="10"/>
      <c r="J459" s="30"/>
      <c r="K459" s="200">
        <f t="shared" si="20"/>
        <v>0</v>
      </c>
    </row>
    <row r="460" spans="1:11" x14ac:dyDescent="0.2">
      <c r="A460" s="62"/>
      <c r="B460" s="62"/>
      <c r="C460" s="30"/>
      <c r="D460" s="10"/>
      <c r="E460" s="10"/>
      <c r="F460" s="177"/>
      <c r="G460" s="180"/>
      <c r="H460" s="180"/>
      <c r="I460" s="10"/>
      <c r="J460" s="30"/>
      <c r="K460" s="200">
        <f t="shared" si="20"/>
        <v>0</v>
      </c>
    </row>
    <row r="461" spans="1:11" x14ac:dyDescent="0.2">
      <c r="A461" s="62"/>
      <c r="B461" s="62"/>
      <c r="C461" s="30"/>
      <c r="D461" s="10"/>
      <c r="E461" s="10"/>
      <c r="F461" s="177"/>
      <c r="G461" s="180"/>
      <c r="H461" s="180"/>
      <c r="I461" s="10"/>
      <c r="J461" s="30"/>
      <c r="K461" s="200">
        <f t="shared" si="20"/>
        <v>0</v>
      </c>
    </row>
    <row r="462" spans="1:11" x14ac:dyDescent="0.2">
      <c r="A462" s="62"/>
      <c r="B462" s="62"/>
      <c r="C462" s="30"/>
      <c r="D462" s="10"/>
      <c r="E462" s="10"/>
      <c r="F462" s="177"/>
      <c r="G462" s="180"/>
      <c r="H462" s="180"/>
      <c r="I462" s="10"/>
      <c r="J462" s="30"/>
      <c r="K462" s="200">
        <f t="shared" si="20"/>
        <v>0</v>
      </c>
    </row>
    <row r="463" spans="1:11" x14ac:dyDescent="0.2">
      <c r="A463" s="62"/>
      <c r="B463" s="62"/>
      <c r="C463" s="30"/>
      <c r="D463" s="10"/>
      <c r="E463" s="10"/>
      <c r="F463" s="177"/>
      <c r="G463" s="180"/>
      <c r="H463" s="180"/>
      <c r="I463" s="10"/>
      <c r="J463" s="30"/>
      <c r="K463" s="200">
        <f t="shared" si="20"/>
        <v>0</v>
      </c>
    </row>
    <row r="464" spans="1:11" x14ac:dyDescent="0.2">
      <c r="A464" s="62"/>
      <c r="B464" s="62"/>
      <c r="C464" s="30"/>
      <c r="D464" s="10"/>
      <c r="E464" s="10"/>
      <c r="F464" s="177"/>
      <c r="G464" s="180"/>
      <c r="H464" s="180"/>
      <c r="I464" s="10"/>
      <c r="J464" s="30"/>
      <c r="K464" s="200">
        <f t="shared" si="20"/>
        <v>0</v>
      </c>
    </row>
    <row r="465" spans="1:11" x14ac:dyDescent="0.2">
      <c r="A465" s="62"/>
      <c r="B465" s="62"/>
      <c r="C465" s="30"/>
      <c r="D465" s="10"/>
      <c r="E465" s="10"/>
      <c r="F465" s="177"/>
      <c r="G465" s="180"/>
      <c r="H465" s="180"/>
      <c r="I465" s="10"/>
      <c r="J465" s="30"/>
      <c r="K465" s="200">
        <f t="shared" si="20"/>
        <v>0</v>
      </c>
    </row>
    <row r="466" spans="1:11" x14ac:dyDescent="0.2">
      <c r="A466" s="62"/>
      <c r="B466" s="62"/>
      <c r="C466" s="30"/>
      <c r="D466" s="10"/>
      <c r="E466" s="10"/>
      <c r="F466" s="177"/>
      <c r="G466" s="180"/>
      <c r="H466" s="180"/>
      <c r="I466" s="10"/>
      <c r="J466" s="30"/>
      <c r="K466" s="200">
        <f t="shared" si="20"/>
        <v>0</v>
      </c>
    </row>
    <row r="467" spans="1:11" x14ac:dyDescent="0.2">
      <c r="A467" s="62"/>
      <c r="B467" s="62"/>
      <c r="C467" s="30"/>
      <c r="D467" s="10"/>
      <c r="E467" s="10"/>
      <c r="F467" s="177"/>
      <c r="G467" s="180"/>
      <c r="H467" s="180"/>
      <c r="I467" s="10"/>
      <c r="J467" s="30"/>
      <c r="K467" s="200">
        <f t="shared" si="20"/>
        <v>0</v>
      </c>
    </row>
    <row r="468" spans="1:11" x14ac:dyDescent="0.2">
      <c r="A468" s="62"/>
      <c r="B468" s="62"/>
      <c r="C468" s="30"/>
      <c r="D468" s="10"/>
      <c r="E468" s="10"/>
      <c r="F468" s="177"/>
      <c r="G468" s="180"/>
      <c r="H468" s="180"/>
      <c r="I468" s="10"/>
      <c r="J468" s="30"/>
      <c r="K468" s="200">
        <f t="shared" si="20"/>
        <v>0</v>
      </c>
    </row>
    <row r="469" spans="1:11" x14ac:dyDescent="0.2">
      <c r="A469" s="62"/>
      <c r="B469" s="62"/>
      <c r="C469" s="30"/>
      <c r="D469" s="10"/>
      <c r="E469" s="10"/>
      <c r="F469" s="177"/>
      <c r="G469" s="180"/>
      <c r="H469" s="180"/>
      <c r="I469" s="10"/>
      <c r="J469" s="30"/>
      <c r="K469" s="200">
        <f t="shared" si="20"/>
        <v>0</v>
      </c>
    </row>
    <row r="470" spans="1:11" x14ac:dyDescent="0.2">
      <c r="A470" s="62"/>
      <c r="B470" s="62"/>
      <c r="C470" s="30"/>
      <c r="D470" s="10"/>
      <c r="E470" s="10"/>
      <c r="F470" s="177"/>
      <c r="G470" s="180"/>
      <c r="H470" s="180"/>
      <c r="I470" s="10"/>
      <c r="J470" s="30"/>
      <c r="K470" s="200">
        <f t="shared" si="20"/>
        <v>0</v>
      </c>
    </row>
    <row r="471" spans="1:11" x14ac:dyDescent="0.2">
      <c r="A471" s="62"/>
      <c r="B471" s="62"/>
      <c r="C471" s="30"/>
      <c r="D471" s="10"/>
      <c r="E471" s="10"/>
      <c r="F471" s="177"/>
      <c r="G471" s="180"/>
      <c r="H471" s="180"/>
      <c r="I471" s="10"/>
      <c r="J471" s="30"/>
      <c r="K471" s="200">
        <f t="shared" si="20"/>
        <v>0</v>
      </c>
    </row>
    <row r="472" spans="1:11" x14ac:dyDescent="0.2">
      <c r="A472" s="62"/>
      <c r="B472" s="62"/>
      <c r="C472" s="30"/>
      <c r="D472" s="10"/>
      <c r="E472" s="10"/>
      <c r="F472" s="177"/>
      <c r="G472" s="180"/>
      <c r="H472" s="180"/>
      <c r="I472" s="10"/>
      <c r="J472" s="30"/>
      <c r="K472" s="200">
        <f t="shared" si="20"/>
        <v>0</v>
      </c>
    </row>
    <row r="473" spans="1:11" x14ac:dyDescent="0.2">
      <c r="A473" s="62"/>
      <c r="B473" s="62"/>
      <c r="C473" s="30"/>
      <c r="D473" s="10"/>
      <c r="E473" s="10"/>
      <c r="F473" s="177"/>
      <c r="G473" s="180"/>
      <c r="H473" s="180"/>
      <c r="I473" s="10"/>
      <c r="J473" s="30"/>
      <c r="K473" s="200">
        <f t="shared" si="20"/>
        <v>0</v>
      </c>
    </row>
    <row r="474" spans="1:11" x14ac:dyDescent="0.2">
      <c r="A474" s="62"/>
      <c r="B474" s="62"/>
      <c r="C474" s="30"/>
      <c r="D474" s="10"/>
      <c r="E474" s="10"/>
      <c r="F474" s="177"/>
      <c r="G474" s="180"/>
      <c r="H474" s="180"/>
      <c r="I474" s="10"/>
      <c r="J474" s="30"/>
      <c r="K474" s="200">
        <f t="shared" si="20"/>
        <v>0</v>
      </c>
    </row>
    <row r="475" spans="1:11" x14ac:dyDescent="0.2">
      <c r="A475" s="62"/>
      <c r="B475" s="62"/>
      <c r="C475" s="30"/>
      <c r="D475" s="10"/>
      <c r="E475" s="10"/>
      <c r="F475" s="177"/>
      <c r="G475" s="180"/>
      <c r="H475" s="180"/>
      <c r="I475" s="10"/>
      <c r="J475" s="30"/>
      <c r="K475" s="200">
        <f t="shared" si="20"/>
        <v>0</v>
      </c>
    </row>
    <row r="476" spans="1:11" x14ac:dyDescent="0.2">
      <c r="A476" s="62"/>
      <c r="B476" s="62"/>
      <c r="C476" s="30"/>
      <c r="D476" s="10"/>
      <c r="E476" s="10"/>
      <c r="F476" s="177"/>
      <c r="G476" s="180"/>
      <c r="H476" s="180"/>
      <c r="I476" s="10"/>
      <c r="J476" s="30"/>
      <c r="K476" s="200">
        <f t="shared" si="20"/>
        <v>0</v>
      </c>
    </row>
    <row r="477" spans="1:11" x14ac:dyDescent="0.2">
      <c r="A477" s="62"/>
      <c r="B477" s="62"/>
      <c r="C477" s="30"/>
      <c r="D477" s="10"/>
      <c r="E477" s="10"/>
      <c r="F477" s="177"/>
      <c r="G477" s="180"/>
      <c r="H477" s="180"/>
      <c r="I477" s="10"/>
      <c r="J477" s="30"/>
      <c r="K477" s="200">
        <f t="shared" si="20"/>
        <v>0</v>
      </c>
    </row>
    <row r="478" spans="1:11" x14ac:dyDescent="0.2">
      <c r="A478" s="62"/>
      <c r="B478" s="62"/>
      <c r="C478" s="30"/>
      <c r="D478" s="10"/>
      <c r="E478" s="10"/>
      <c r="F478" s="177"/>
      <c r="G478" s="180"/>
      <c r="H478" s="180"/>
      <c r="I478" s="10"/>
      <c r="J478" s="30"/>
      <c r="K478" s="200">
        <f t="shared" si="20"/>
        <v>0</v>
      </c>
    </row>
    <row r="479" spans="1:11" x14ac:dyDescent="0.2">
      <c r="A479" s="62"/>
      <c r="B479" s="62"/>
      <c r="C479" s="30"/>
      <c r="D479" s="10"/>
      <c r="E479" s="10"/>
      <c r="F479" s="177"/>
      <c r="G479" s="180"/>
      <c r="H479" s="180"/>
      <c r="I479" s="10"/>
      <c r="J479" s="30"/>
      <c r="K479" s="200">
        <f t="shared" si="20"/>
        <v>0</v>
      </c>
    </row>
    <row r="480" spans="1:11" x14ac:dyDescent="0.2">
      <c r="A480" s="62"/>
      <c r="B480" s="62"/>
      <c r="C480" s="30"/>
      <c r="D480" s="10"/>
      <c r="E480" s="10"/>
      <c r="F480" s="177"/>
      <c r="G480" s="180"/>
      <c r="H480" s="180"/>
      <c r="I480" s="10"/>
      <c r="J480" s="30"/>
      <c r="K480" s="200">
        <f t="shared" si="20"/>
        <v>0</v>
      </c>
    </row>
    <row r="481" spans="1:11" x14ac:dyDescent="0.2">
      <c r="A481" s="62"/>
      <c r="B481" s="62"/>
      <c r="C481" s="30"/>
      <c r="D481" s="10"/>
      <c r="E481" s="10"/>
      <c r="F481" s="177"/>
      <c r="G481" s="180"/>
      <c r="H481" s="180"/>
      <c r="I481" s="10"/>
      <c r="J481" s="30"/>
      <c r="K481" s="200">
        <f t="shared" si="20"/>
        <v>0</v>
      </c>
    </row>
    <row r="482" spans="1:11" x14ac:dyDescent="0.2">
      <c r="A482" s="62"/>
      <c r="B482" s="62"/>
      <c r="C482" s="30"/>
      <c r="D482" s="10"/>
      <c r="E482" s="10"/>
      <c r="F482" s="177"/>
      <c r="G482" s="180"/>
      <c r="H482" s="180"/>
      <c r="I482" s="10"/>
      <c r="J482" s="30"/>
      <c r="K482" s="200">
        <f t="shared" si="20"/>
        <v>0</v>
      </c>
    </row>
    <row r="483" spans="1:11" x14ac:dyDescent="0.2">
      <c r="A483" s="62"/>
      <c r="B483" s="62"/>
      <c r="C483" s="30"/>
      <c r="D483" s="10"/>
      <c r="E483" s="10"/>
      <c r="F483" s="177"/>
      <c r="G483" s="180"/>
      <c r="H483" s="180"/>
      <c r="I483" s="10"/>
      <c r="J483" s="30"/>
      <c r="K483" s="200">
        <f t="shared" si="20"/>
        <v>0</v>
      </c>
    </row>
    <row r="484" spans="1:11" x14ac:dyDescent="0.2">
      <c r="A484" s="62"/>
      <c r="B484" s="62"/>
      <c r="C484" s="30"/>
      <c r="D484" s="10"/>
      <c r="E484" s="10"/>
      <c r="F484" s="177"/>
      <c r="G484" s="180"/>
      <c r="H484" s="180"/>
      <c r="I484" s="10"/>
      <c r="J484" s="30"/>
      <c r="K484" s="200">
        <f t="shared" si="20"/>
        <v>0</v>
      </c>
    </row>
    <row r="485" spans="1:11" x14ac:dyDescent="0.2">
      <c r="A485" s="62"/>
      <c r="B485" s="62"/>
      <c r="C485" s="30"/>
      <c r="D485" s="10"/>
      <c r="E485" s="10"/>
      <c r="F485" s="177"/>
      <c r="G485" s="180"/>
      <c r="H485" s="180"/>
      <c r="I485" s="10"/>
      <c r="J485" s="30"/>
      <c r="K485" s="200">
        <f t="shared" si="20"/>
        <v>0</v>
      </c>
    </row>
    <row r="486" spans="1:11" x14ac:dyDescent="0.2">
      <c r="A486" s="62"/>
      <c r="B486" s="62"/>
      <c r="C486" s="30"/>
      <c r="D486" s="10"/>
      <c r="E486" s="10"/>
      <c r="F486" s="177"/>
      <c r="G486" s="180"/>
      <c r="H486" s="180"/>
      <c r="I486" s="10"/>
      <c r="J486" s="30"/>
      <c r="K486" s="200">
        <f t="shared" si="20"/>
        <v>0</v>
      </c>
    </row>
    <row r="487" spans="1:11" x14ac:dyDescent="0.2">
      <c r="A487" s="62"/>
      <c r="B487" s="62"/>
      <c r="C487" s="30"/>
      <c r="D487" s="10"/>
      <c r="E487" s="10"/>
      <c r="F487" s="177"/>
      <c r="G487" s="180"/>
      <c r="H487" s="180"/>
      <c r="I487" s="10"/>
      <c r="J487" s="30"/>
      <c r="K487" s="200">
        <f>H487</f>
        <v>0</v>
      </c>
    </row>
    <row r="488" spans="1:11" x14ac:dyDescent="0.2">
      <c r="A488" s="62"/>
      <c r="B488" s="62"/>
      <c r="C488" s="30"/>
      <c r="D488" s="10"/>
      <c r="E488" s="10"/>
      <c r="F488" s="177"/>
      <c r="G488" s="180"/>
      <c r="H488" s="180"/>
      <c r="I488" s="10"/>
      <c r="J488" s="30"/>
      <c r="K488" s="200">
        <f>H488</f>
        <v>0</v>
      </c>
    </row>
    <row r="489" spans="1:11" x14ac:dyDescent="0.2">
      <c r="A489" s="62"/>
      <c r="B489" s="62"/>
      <c r="C489" s="30"/>
      <c r="D489" s="10"/>
      <c r="E489" s="10"/>
      <c r="F489" s="177"/>
      <c r="G489" s="180"/>
      <c r="H489" s="180"/>
      <c r="I489" s="10"/>
      <c r="J489" s="30"/>
      <c r="K489" s="200">
        <f t="shared" si="20"/>
        <v>0</v>
      </c>
    </row>
    <row r="490" spans="1:11" x14ac:dyDescent="0.2">
      <c r="A490" s="62"/>
      <c r="B490" s="62"/>
      <c r="C490" s="30"/>
      <c r="D490" s="10"/>
      <c r="E490" s="10"/>
      <c r="F490" s="177"/>
      <c r="G490" s="180"/>
      <c r="H490" s="180"/>
      <c r="I490" s="10"/>
      <c r="J490" s="30"/>
      <c r="K490" s="200">
        <f t="shared" si="20"/>
        <v>0</v>
      </c>
    </row>
    <row r="491" spans="1:11" x14ac:dyDescent="0.2">
      <c r="A491" s="62"/>
      <c r="B491" s="62"/>
      <c r="C491" s="30"/>
      <c r="D491" s="10"/>
      <c r="E491" s="10"/>
      <c r="F491" s="177"/>
      <c r="G491" s="180"/>
      <c r="H491" s="180"/>
      <c r="I491" s="10"/>
      <c r="J491" s="30"/>
      <c r="K491" s="200">
        <f t="shared" si="20"/>
        <v>0</v>
      </c>
    </row>
    <row r="492" spans="1:11" x14ac:dyDescent="0.2">
      <c r="A492" s="62"/>
      <c r="B492" s="62"/>
      <c r="C492" s="30"/>
      <c r="D492" s="10"/>
      <c r="E492" s="10"/>
      <c r="F492" s="177"/>
      <c r="G492" s="180"/>
      <c r="H492" s="180"/>
      <c r="I492" s="10"/>
      <c r="J492" s="30"/>
      <c r="K492" s="200">
        <f t="shared" si="20"/>
        <v>0</v>
      </c>
    </row>
    <row r="493" spans="1:11" x14ac:dyDescent="0.2">
      <c r="A493" s="62"/>
      <c r="B493" s="62"/>
      <c r="C493" s="30"/>
      <c r="D493" s="10"/>
      <c r="E493" s="10"/>
      <c r="F493" s="177"/>
      <c r="G493" s="180"/>
      <c r="H493" s="180"/>
      <c r="I493" s="10"/>
      <c r="J493" s="30"/>
      <c r="K493" s="200">
        <f t="shared" si="20"/>
        <v>0</v>
      </c>
    </row>
    <row r="494" spans="1:11" x14ac:dyDescent="0.2">
      <c r="A494" s="62"/>
      <c r="B494" s="62"/>
      <c r="C494" s="30"/>
      <c r="D494" s="10"/>
      <c r="E494" s="10"/>
      <c r="F494" s="177"/>
      <c r="G494" s="180"/>
      <c r="H494" s="180"/>
      <c r="I494" s="10"/>
      <c r="J494" s="30"/>
      <c r="K494" s="200">
        <f t="shared" si="20"/>
        <v>0</v>
      </c>
    </row>
    <row r="495" spans="1:11" x14ac:dyDescent="0.2">
      <c r="A495" s="62"/>
      <c r="B495" s="62"/>
      <c r="C495" s="30"/>
      <c r="D495" s="10"/>
      <c r="E495" s="10"/>
      <c r="F495" s="177"/>
      <c r="G495" s="180"/>
      <c r="H495" s="180"/>
      <c r="I495" s="10"/>
      <c r="J495" s="30"/>
      <c r="K495" s="200">
        <f t="shared" si="20"/>
        <v>0</v>
      </c>
    </row>
    <row r="496" spans="1:11" x14ac:dyDescent="0.2">
      <c r="A496" s="62"/>
      <c r="B496" s="62"/>
      <c r="C496" s="30"/>
      <c r="D496" s="10"/>
      <c r="E496" s="10"/>
      <c r="F496" s="177"/>
      <c r="G496" s="180"/>
      <c r="H496" s="180"/>
      <c r="I496" s="10"/>
      <c r="J496" s="30"/>
      <c r="K496" s="200">
        <f t="shared" si="20"/>
        <v>0</v>
      </c>
    </row>
    <row r="497" spans="1:12" x14ac:dyDescent="0.2">
      <c r="A497" s="62"/>
      <c r="B497" s="62"/>
      <c r="C497" s="30"/>
      <c r="D497" s="10"/>
      <c r="E497" s="10"/>
      <c r="F497" s="177"/>
      <c r="G497" s="180"/>
      <c r="H497" s="180"/>
      <c r="I497" s="10"/>
      <c r="J497" s="30"/>
      <c r="K497" s="200">
        <f t="shared" si="20"/>
        <v>0</v>
      </c>
    </row>
    <row r="498" spans="1:12" x14ac:dyDescent="0.2">
      <c r="A498" s="62"/>
      <c r="B498" s="62"/>
      <c r="C498" s="30"/>
      <c r="D498" s="10"/>
      <c r="E498" s="10"/>
      <c r="F498" s="177"/>
      <c r="G498" s="180"/>
      <c r="H498" s="180"/>
      <c r="I498" s="10"/>
      <c r="J498" s="30"/>
      <c r="K498" s="200">
        <f t="shared" si="20"/>
        <v>0</v>
      </c>
    </row>
    <row r="499" spans="1:12" x14ac:dyDescent="0.2">
      <c r="A499" s="62"/>
      <c r="B499" s="62"/>
      <c r="C499" s="30"/>
      <c r="D499" s="10"/>
      <c r="E499" s="10"/>
      <c r="F499" s="177"/>
      <c r="G499" s="180"/>
      <c r="H499" s="180"/>
      <c r="I499" s="10"/>
      <c r="J499" s="30"/>
      <c r="K499" s="200">
        <f t="shared" si="20"/>
        <v>0</v>
      </c>
    </row>
    <row r="500" spans="1:12" x14ac:dyDescent="0.2">
      <c r="A500" s="62"/>
      <c r="B500" s="62"/>
      <c r="C500" s="30"/>
      <c r="D500" s="10"/>
      <c r="E500" s="10"/>
      <c r="F500" s="177"/>
      <c r="G500" s="180"/>
      <c r="H500" s="180"/>
      <c r="I500" s="10"/>
      <c r="J500" s="30"/>
      <c r="K500" s="200">
        <f t="shared" si="20"/>
        <v>0</v>
      </c>
    </row>
    <row r="501" spans="1:12" x14ac:dyDescent="0.2">
      <c r="A501" s="62"/>
      <c r="B501" s="62"/>
      <c r="C501" s="30"/>
      <c r="D501" s="10"/>
      <c r="E501" s="10"/>
      <c r="F501" s="177"/>
      <c r="G501" s="180"/>
      <c r="H501" s="180"/>
      <c r="I501" s="10"/>
      <c r="J501" s="30"/>
      <c r="K501" s="200">
        <f>H501</f>
        <v>0</v>
      </c>
    </row>
    <row r="502" spans="1:12" x14ac:dyDescent="0.2">
      <c r="A502" s="62"/>
      <c r="B502" s="62"/>
      <c r="C502" s="30"/>
      <c r="D502" s="10"/>
      <c r="E502" s="10"/>
      <c r="F502" s="177"/>
      <c r="G502" s="180"/>
      <c r="H502" s="180"/>
      <c r="I502" s="10"/>
      <c r="J502" s="30"/>
      <c r="K502" s="200">
        <f>H502</f>
        <v>0</v>
      </c>
    </row>
    <row r="503" spans="1:12" x14ac:dyDescent="0.2">
      <c r="A503" s="62"/>
      <c r="B503" s="62"/>
      <c r="C503" s="30"/>
      <c r="D503" s="10"/>
      <c r="E503" s="10"/>
      <c r="F503" s="177"/>
      <c r="G503" s="180"/>
      <c r="H503" s="180"/>
      <c r="I503" s="10"/>
      <c r="J503" s="30"/>
      <c r="K503" s="200">
        <f>H503</f>
        <v>0</v>
      </c>
    </row>
    <row r="504" spans="1:12" x14ac:dyDescent="0.2">
      <c r="A504" s="62"/>
      <c r="B504" s="62"/>
      <c r="C504" s="30"/>
      <c r="D504" s="10"/>
      <c r="E504" s="10"/>
      <c r="F504" s="177"/>
      <c r="G504" s="180"/>
      <c r="H504" s="180"/>
      <c r="I504" s="10"/>
      <c r="J504" s="30"/>
      <c r="K504" s="200">
        <f t="shared" ref="K504:K539" si="21">H504</f>
        <v>0</v>
      </c>
      <c r="L504" s="182"/>
    </row>
    <row r="505" spans="1:12" x14ac:dyDescent="0.2">
      <c r="A505" s="62"/>
      <c r="B505" s="62"/>
      <c r="C505" s="30"/>
      <c r="D505" s="10"/>
      <c r="E505" s="10"/>
      <c r="F505" s="177"/>
      <c r="G505" s="180"/>
      <c r="H505" s="180"/>
      <c r="I505" s="10"/>
      <c r="J505" s="30"/>
      <c r="K505" s="200">
        <f t="shared" si="21"/>
        <v>0</v>
      </c>
    </row>
    <row r="506" spans="1:12" x14ac:dyDescent="0.2">
      <c r="A506" s="62"/>
      <c r="B506" s="62"/>
      <c r="C506" s="30"/>
      <c r="D506" s="10"/>
      <c r="E506" s="10"/>
      <c r="F506" s="177"/>
      <c r="G506" s="180"/>
      <c r="H506" s="180"/>
      <c r="I506" s="10"/>
      <c r="J506" s="30"/>
      <c r="K506" s="200">
        <f t="shared" si="21"/>
        <v>0</v>
      </c>
      <c r="L506" s="182"/>
    </row>
    <row r="507" spans="1:12" x14ac:dyDescent="0.2">
      <c r="A507" s="62"/>
      <c r="B507" s="62"/>
      <c r="C507" s="30"/>
      <c r="D507" s="10"/>
      <c r="E507" s="10"/>
      <c r="F507" s="177"/>
      <c r="G507" s="180"/>
      <c r="H507" s="180"/>
      <c r="I507" s="10"/>
      <c r="J507" s="30"/>
      <c r="K507" s="200">
        <f t="shared" si="21"/>
        <v>0</v>
      </c>
      <c r="L507" s="182"/>
    </row>
    <row r="508" spans="1:12" x14ac:dyDescent="0.2">
      <c r="A508" s="62"/>
      <c r="B508" s="62"/>
      <c r="C508" s="30"/>
      <c r="D508" s="10"/>
      <c r="E508" s="10"/>
      <c r="F508" s="177"/>
      <c r="G508" s="180"/>
      <c r="H508" s="180"/>
      <c r="I508" s="10"/>
      <c r="J508" s="30"/>
      <c r="K508" s="200">
        <f t="shared" si="21"/>
        <v>0</v>
      </c>
      <c r="L508" s="182"/>
    </row>
    <row r="509" spans="1:12" x14ac:dyDescent="0.2">
      <c r="A509" s="62"/>
      <c r="B509" s="62"/>
      <c r="C509" s="30"/>
      <c r="D509" s="10"/>
      <c r="E509" s="10"/>
      <c r="F509" s="177"/>
      <c r="G509" s="180"/>
      <c r="H509" s="180"/>
      <c r="I509" s="10"/>
      <c r="J509" s="30"/>
      <c r="K509" s="200">
        <f t="shared" si="21"/>
        <v>0</v>
      </c>
      <c r="L509" s="182"/>
    </row>
    <row r="510" spans="1:12" x14ac:dyDescent="0.2">
      <c r="A510" s="62"/>
      <c r="B510" s="62"/>
      <c r="C510" s="30"/>
      <c r="D510" s="10"/>
      <c r="E510" s="10"/>
      <c r="F510" s="177"/>
      <c r="G510" s="180"/>
      <c r="H510" s="180"/>
      <c r="I510" s="10"/>
      <c r="J510" s="30"/>
      <c r="K510" s="200">
        <f t="shared" si="21"/>
        <v>0</v>
      </c>
      <c r="L510" s="232"/>
    </row>
    <row r="511" spans="1:12" x14ac:dyDescent="0.2">
      <c r="A511" s="62"/>
      <c r="B511" s="62"/>
      <c r="C511" s="30"/>
      <c r="D511" s="10"/>
      <c r="E511" s="10"/>
      <c r="F511" s="177"/>
      <c r="G511" s="180"/>
      <c r="H511" s="180"/>
      <c r="I511" s="10"/>
      <c r="J511" s="30"/>
      <c r="K511" s="200">
        <f t="shared" si="21"/>
        <v>0</v>
      </c>
    </row>
    <row r="512" spans="1:12" x14ac:dyDescent="0.2">
      <c r="A512" s="62"/>
      <c r="B512" s="62"/>
      <c r="C512" s="30"/>
      <c r="D512" s="10"/>
      <c r="E512" s="10"/>
      <c r="F512" s="177"/>
      <c r="G512" s="180"/>
      <c r="H512" s="180"/>
      <c r="I512" s="10"/>
      <c r="J512" s="30"/>
      <c r="K512" s="200">
        <f t="shared" si="21"/>
        <v>0</v>
      </c>
    </row>
    <row r="513" spans="1:11" x14ac:dyDescent="0.2">
      <c r="A513" s="62"/>
      <c r="B513" s="62"/>
      <c r="C513" s="30"/>
      <c r="D513" s="10"/>
      <c r="E513" s="10"/>
      <c r="F513" s="177"/>
      <c r="G513" s="180"/>
      <c r="H513" s="180"/>
      <c r="I513" s="10"/>
      <c r="J513" s="30"/>
      <c r="K513" s="200">
        <f t="shared" si="21"/>
        <v>0</v>
      </c>
    </row>
    <row r="514" spans="1:11" x14ac:dyDescent="0.2">
      <c r="A514" s="62"/>
      <c r="B514" s="62"/>
      <c r="C514" s="30"/>
      <c r="D514" s="10"/>
      <c r="E514" s="10"/>
      <c r="F514" s="177"/>
      <c r="G514" s="180"/>
      <c r="H514" s="180"/>
      <c r="I514" s="10"/>
      <c r="J514" s="30"/>
      <c r="K514" s="200">
        <f t="shared" si="21"/>
        <v>0</v>
      </c>
    </row>
    <row r="515" spans="1:11" x14ac:dyDescent="0.2">
      <c r="A515" s="62"/>
      <c r="B515" s="62"/>
      <c r="C515" s="30"/>
      <c r="D515" s="10"/>
      <c r="E515" s="10"/>
      <c r="F515" s="177"/>
      <c r="G515" s="180"/>
      <c r="H515" s="180"/>
      <c r="I515" s="10"/>
      <c r="J515" s="30"/>
      <c r="K515" s="200">
        <f t="shared" si="21"/>
        <v>0</v>
      </c>
    </row>
    <row r="516" spans="1:11" x14ac:dyDescent="0.2">
      <c r="A516" s="62"/>
      <c r="B516" s="62"/>
      <c r="C516" s="30"/>
      <c r="D516" s="10"/>
      <c r="E516" s="10"/>
      <c r="F516" s="177"/>
      <c r="G516" s="180"/>
      <c r="H516" s="180"/>
      <c r="I516" s="10"/>
      <c r="J516" s="30"/>
      <c r="K516" s="200">
        <f t="shared" si="21"/>
        <v>0</v>
      </c>
    </row>
    <row r="517" spans="1:11" x14ac:dyDescent="0.2">
      <c r="A517" s="62"/>
      <c r="B517" s="62"/>
      <c r="C517" s="30"/>
      <c r="D517" s="10"/>
      <c r="E517" s="10"/>
      <c r="F517" s="177"/>
      <c r="G517" s="180"/>
      <c r="H517" s="180"/>
      <c r="I517" s="10"/>
      <c r="J517" s="30"/>
      <c r="K517" s="200">
        <f t="shared" si="21"/>
        <v>0</v>
      </c>
    </row>
    <row r="518" spans="1:11" x14ac:dyDescent="0.2">
      <c r="A518" s="62"/>
      <c r="B518" s="62"/>
      <c r="C518" s="30"/>
      <c r="D518" s="10"/>
      <c r="E518" s="10"/>
      <c r="F518" s="177"/>
      <c r="G518" s="180"/>
      <c r="H518" s="180"/>
      <c r="I518" s="10"/>
      <c r="J518" s="30"/>
      <c r="K518" s="200">
        <f t="shared" si="21"/>
        <v>0</v>
      </c>
    </row>
    <row r="519" spans="1:11" x14ac:dyDescent="0.2">
      <c r="A519" s="62"/>
      <c r="B519" s="62"/>
      <c r="C519" s="30"/>
      <c r="D519" s="10"/>
      <c r="E519" s="10"/>
      <c r="F519" s="177"/>
      <c r="G519" s="180"/>
      <c r="H519" s="180"/>
      <c r="I519" s="10"/>
      <c r="J519" s="30"/>
      <c r="K519" s="200">
        <f t="shared" si="21"/>
        <v>0</v>
      </c>
    </row>
    <row r="520" spans="1:11" x14ac:dyDescent="0.2">
      <c r="A520" s="62"/>
      <c r="B520" s="62"/>
      <c r="C520" s="30"/>
      <c r="D520" s="10"/>
      <c r="E520" s="10"/>
      <c r="F520" s="177"/>
      <c r="G520" s="180"/>
      <c r="H520" s="180"/>
      <c r="I520" s="10"/>
      <c r="J520" s="30"/>
      <c r="K520" s="200">
        <f t="shared" si="21"/>
        <v>0</v>
      </c>
    </row>
    <row r="521" spans="1:11" x14ac:dyDescent="0.2">
      <c r="A521" s="62"/>
      <c r="B521" s="62"/>
      <c r="C521" s="30"/>
      <c r="D521" s="10"/>
      <c r="E521" s="10"/>
      <c r="F521" s="177"/>
      <c r="G521" s="180"/>
      <c r="H521" s="180"/>
      <c r="I521" s="10"/>
      <c r="J521" s="30"/>
      <c r="K521" s="200">
        <f t="shared" si="21"/>
        <v>0</v>
      </c>
    </row>
    <row r="522" spans="1:11" x14ac:dyDescent="0.2">
      <c r="A522" s="62"/>
      <c r="B522" s="62"/>
      <c r="C522" s="30"/>
      <c r="D522" s="10"/>
      <c r="E522" s="10"/>
      <c r="F522" s="177"/>
      <c r="G522" s="180"/>
      <c r="H522" s="180"/>
      <c r="I522" s="10"/>
      <c r="J522" s="30"/>
      <c r="K522" s="200">
        <f t="shared" si="21"/>
        <v>0</v>
      </c>
    </row>
    <row r="523" spans="1:11" x14ac:dyDescent="0.2">
      <c r="A523" s="62"/>
      <c r="B523" s="62"/>
      <c r="C523" s="30"/>
      <c r="D523" s="10"/>
      <c r="E523" s="10"/>
      <c r="F523" s="177"/>
      <c r="G523" s="180"/>
      <c r="H523" s="180"/>
      <c r="I523" s="10"/>
      <c r="J523" s="30"/>
      <c r="K523" s="200">
        <f t="shared" si="21"/>
        <v>0</v>
      </c>
    </row>
    <row r="524" spans="1:11" x14ac:dyDescent="0.2">
      <c r="A524" s="62"/>
      <c r="B524" s="62"/>
      <c r="C524" s="30"/>
      <c r="D524" s="10"/>
      <c r="E524" s="10"/>
      <c r="F524" s="177"/>
      <c r="G524" s="180"/>
      <c r="H524" s="180"/>
      <c r="I524" s="10"/>
      <c r="J524" s="30"/>
      <c r="K524" s="200">
        <f t="shared" si="21"/>
        <v>0</v>
      </c>
    </row>
    <row r="525" spans="1:11" x14ac:dyDescent="0.2">
      <c r="A525" s="62"/>
      <c r="B525" s="62"/>
      <c r="C525" s="30"/>
      <c r="D525" s="10"/>
      <c r="E525" s="10"/>
      <c r="F525" s="177"/>
      <c r="G525" s="180"/>
      <c r="H525" s="180"/>
      <c r="I525" s="10"/>
      <c r="J525" s="30"/>
      <c r="K525" s="200">
        <f t="shared" si="21"/>
        <v>0</v>
      </c>
    </row>
    <row r="526" spans="1:11" x14ac:dyDescent="0.2">
      <c r="A526" s="62"/>
      <c r="B526" s="62"/>
      <c r="C526" s="30"/>
      <c r="D526" s="10"/>
      <c r="E526" s="10"/>
      <c r="F526" s="177"/>
      <c r="G526" s="180"/>
      <c r="H526" s="180"/>
      <c r="I526" s="10"/>
      <c r="J526" s="30"/>
      <c r="K526" s="200">
        <f t="shared" si="21"/>
        <v>0</v>
      </c>
    </row>
    <row r="527" spans="1:11" x14ac:dyDescent="0.2">
      <c r="A527" s="62"/>
      <c r="B527" s="62"/>
      <c r="C527" s="30"/>
      <c r="D527" s="10"/>
      <c r="E527" s="10"/>
      <c r="F527" s="177"/>
      <c r="G527" s="180"/>
      <c r="H527" s="180"/>
      <c r="I527" s="10"/>
      <c r="J527" s="30"/>
      <c r="K527" s="200">
        <f t="shared" si="21"/>
        <v>0</v>
      </c>
    </row>
    <row r="528" spans="1:11" x14ac:dyDescent="0.2">
      <c r="A528" s="62"/>
      <c r="B528" s="62"/>
      <c r="C528" s="30"/>
      <c r="D528" s="10"/>
      <c r="E528" s="10"/>
      <c r="F528" s="177"/>
      <c r="G528" s="180"/>
      <c r="H528" s="180"/>
      <c r="I528" s="10"/>
      <c r="J528" s="30"/>
      <c r="K528" s="200">
        <f t="shared" si="21"/>
        <v>0</v>
      </c>
    </row>
    <row r="529" spans="1:11" x14ac:dyDescent="0.2">
      <c r="A529" s="62"/>
      <c r="B529" s="62"/>
      <c r="C529" s="30"/>
      <c r="D529" s="10"/>
      <c r="E529" s="10"/>
      <c r="F529" s="177"/>
      <c r="G529" s="180"/>
      <c r="H529" s="180"/>
      <c r="I529" s="10"/>
      <c r="J529" s="30"/>
      <c r="K529" s="200">
        <f t="shared" si="21"/>
        <v>0</v>
      </c>
    </row>
    <row r="530" spans="1:11" x14ac:dyDescent="0.2">
      <c r="A530" s="62"/>
      <c r="B530" s="62"/>
      <c r="C530" s="30"/>
      <c r="D530" s="10"/>
      <c r="E530" s="10"/>
      <c r="F530" s="177"/>
      <c r="G530" s="180"/>
      <c r="H530" s="180"/>
      <c r="I530" s="10"/>
      <c r="J530" s="30"/>
      <c r="K530" s="200">
        <f t="shared" si="21"/>
        <v>0</v>
      </c>
    </row>
    <row r="531" spans="1:11" x14ac:dyDescent="0.2">
      <c r="A531" s="62"/>
      <c r="B531" s="62"/>
      <c r="C531" s="30"/>
      <c r="D531" s="10"/>
      <c r="E531" s="10"/>
      <c r="F531" s="177"/>
      <c r="G531" s="180"/>
      <c r="H531" s="180"/>
      <c r="I531" s="10"/>
      <c r="J531" s="30"/>
      <c r="K531" s="200">
        <f t="shared" si="21"/>
        <v>0</v>
      </c>
    </row>
    <row r="532" spans="1:11" x14ac:dyDescent="0.2">
      <c r="A532" s="62"/>
      <c r="B532" s="62"/>
      <c r="C532" s="30"/>
      <c r="D532" s="10"/>
      <c r="E532" s="10"/>
      <c r="F532" s="177"/>
      <c r="G532" s="180"/>
      <c r="H532" s="180"/>
      <c r="I532" s="10"/>
      <c r="J532" s="30"/>
      <c r="K532" s="200">
        <f t="shared" si="21"/>
        <v>0</v>
      </c>
    </row>
    <row r="533" spans="1:11" x14ac:dyDescent="0.2">
      <c r="A533" s="62"/>
      <c r="B533" s="62"/>
      <c r="C533" s="30"/>
      <c r="D533" s="10"/>
      <c r="E533" s="10"/>
      <c r="F533" s="177"/>
      <c r="G533" s="180"/>
      <c r="H533" s="180"/>
      <c r="I533" s="10"/>
      <c r="J533" s="30"/>
      <c r="K533" s="200">
        <f t="shared" si="21"/>
        <v>0</v>
      </c>
    </row>
    <row r="534" spans="1:11" x14ac:dyDescent="0.2">
      <c r="A534" s="62"/>
      <c r="B534" s="62"/>
      <c r="C534" s="30"/>
      <c r="D534" s="10"/>
      <c r="E534" s="10"/>
      <c r="F534" s="177"/>
      <c r="G534" s="180"/>
      <c r="H534" s="180"/>
      <c r="I534" s="10"/>
      <c r="J534" s="30"/>
      <c r="K534" s="200">
        <f t="shared" si="21"/>
        <v>0</v>
      </c>
    </row>
    <row r="535" spans="1:11" x14ac:dyDescent="0.2">
      <c r="A535" s="62"/>
      <c r="B535" s="62"/>
      <c r="C535" s="30"/>
      <c r="D535" s="10"/>
      <c r="E535" s="10"/>
      <c r="F535" s="177"/>
      <c r="G535" s="180"/>
      <c r="H535" s="180"/>
      <c r="I535" s="10"/>
      <c r="J535" s="30"/>
      <c r="K535" s="200">
        <f t="shared" si="21"/>
        <v>0</v>
      </c>
    </row>
    <row r="536" spans="1:11" x14ac:dyDescent="0.2">
      <c r="A536" s="62"/>
      <c r="B536" s="62"/>
      <c r="C536" s="30"/>
      <c r="D536" s="10"/>
      <c r="E536" s="10"/>
      <c r="F536" s="177"/>
      <c r="G536" s="180"/>
      <c r="H536" s="180"/>
      <c r="I536" s="10"/>
      <c r="J536" s="30"/>
      <c r="K536" s="200">
        <f t="shared" si="21"/>
        <v>0</v>
      </c>
    </row>
    <row r="537" spans="1:11" x14ac:dyDescent="0.2">
      <c r="A537" s="62"/>
      <c r="B537" s="62"/>
      <c r="C537" s="30"/>
      <c r="D537" s="10"/>
      <c r="E537" s="10"/>
      <c r="F537" s="177"/>
      <c r="G537" s="180"/>
      <c r="H537" s="180"/>
      <c r="I537" s="10"/>
      <c r="J537" s="30"/>
      <c r="K537" s="200">
        <f t="shared" si="21"/>
        <v>0</v>
      </c>
    </row>
    <row r="538" spans="1:11" x14ac:dyDescent="0.2">
      <c r="A538" s="62"/>
      <c r="B538" s="62"/>
      <c r="C538" s="30"/>
      <c r="D538" s="10"/>
      <c r="E538" s="10"/>
      <c r="F538" s="177"/>
      <c r="G538" s="180"/>
      <c r="H538" s="180"/>
      <c r="I538" s="10"/>
      <c r="J538" s="30"/>
      <c r="K538" s="200">
        <f t="shared" si="21"/>
        <v>0</v>
      </c>
    </row>
    <row r="539" spans="1:11" x14ac:dyDescent="0.2">
      <c r="A539" s="62"/>
      <c r="B539" s="62"/>
      <c r="C539" s="30"/>
      <c r="D539" s="10"/>
      <c r="E539" s="10"/>
      <c r="F539" s="177"/>
      <c r="G539" s="180"/>
      <c r="H539" s="180"/>
      <c r="I539" s="10"/>
      <c r="J539" s="30"/>
      <c r="K539" s="200">
        <f t="shared" si="21"/>
        <v>0</v>
      </c>
    </row>
    <row r="540" spans="1:11" ht="12" x14ac:dyDescent="0.2">
      <c r="A540" s="316" t="s">
        <v>3454</v>
      </c>
      <c r="B540" s="316"/>
      <c r="C540" s="316"/>
      <c r="D540" s="316"/>
      <c r="E540" s="316"/>
      <c r="F540" s="316"/>
      <c r="G540" s="316"/>
      <c r="H540" s="205">
        <f>SUM(H456:H539)</f>
        <v>0</v>
      </c>
      <c r="I540" s="303" t="s">
        <v>3454</v>
      </c>
      <c r="J540" s="303"/>
      <c r="K540" s="205">
        <f>SUM(K456:K539)</f>
        <v>0</v>
      </c>
    </row>
    <row r="541" spans="1:11" ht="12" x14ac:dyDescent="0.2">
      <c r="A541" s="300" t="s">
        <v>3455</v>
      </c>
      <c r="B541" s="301"/>
      <c r="C541" s="301"/>
      <c r="D541" s="301"/>
      <c r="E541" s="301"/>
      <c r="F541" s="301"/>
      <c r="G541" s="302"/>
      <c r="H541" s="205">
        <f>H445</f>
        <v>325000</v>
      </c>
      <c r="I541" s="303" t="s">
        <v>3455</v>
      </c>
      <c r="J541" s="303"/>
      <c r="K541" s="205">
        <f>K445</f>
        <v>325000</v>
      </c>
    </row>
    <row r="542" spans="1:11" ht="12.75" thickBot="1" x14ac:dyDescent="0.25">
      <c r="A542" s="304" t="s">
        <v>3456</v>
      </c>
      <c r="B542" s="305"/>
      <c r="C542" s="305"/>
      <c r="D542" s="305"/>
      <c r="E542" s="305"/>
      <c r="F542" s="305"/>
      <c r="G542" s="306"/>
      <c r="H542" s="206">
        <f>SUM(H540:H541)</f>
        <v>325000</v>
      </c>
      <c r="I542" s="307" t="s">
        <v>3456</v>
      </c>
      <c r="J542" s="307"/>
      <c r="K542" s="206">
        <f>SUM(K540:K541)</f>
        <v>325000</v>
      </c>
    </row>
    <row r="543" spans="1:11" x14ac:dyDescent="0.2">
      <c r="A543" s="181"/>
      <c r="B543" s="181"/>
      <c r="C543" s="181"/>
      <c r="D543" s="181"/>
      <c r="E543" s="181"/>
      <c r="F543" s="181"/>
      <c r="G543" s="181"/>
      <c r="H543" s="203"/>
      <c r="I543" s="203"/>
      <c r="J543" s="203"/>
      <c r="K543" s="203"/>
    </row>
    <row r="544" spans="1:11" ht="12" x14ac:dyDescent="0.2">
      <c r="A544" s="299"/>
      <c r="B544" s="299"/>
      <c r="C544" s="299"/>
      <c r="D544" s="299"/>
      <c r="E544" s="191"/>
      <c r="F544" s="191"/>
      <c r="G544" s="183"/>
      <c r="H544" s="183"/>
      <c r="I544" s="299" t="s">
        <v>3450</v>
      </c>
      <c r="J544" s="299"/>
      <c r="K544" s="299"/>
    </row>
    <row r="545" spans="1:11" ht="12" x14ac:dyDescent="0.2">
      <c r="A545" s="299"/>
      <c r="B545" s="299"/>
      <c r="C545" s="299"/>
      <c r="D545" s="299"/>
      <c r="E545" s="191"/>
      <c r="F545" s="191"/>
      <c r="G545" s="183"/>
      <c r="H545" s="183"/>
      <c r="I545" s="299" t="s">
        <v>3564</v>
      </c>
      <c r="J545" s="299"/>
      <c r="K545" s="299"/>
    </row>
    <row r="546" spans="1:11" ht="6" customHeight="1" x14ac:dyDescent="0.2">
      <c r="A546" s="299"/>
      <c r="B546" s="299"/>
      <c r="C546" s="299"/>
      <c r="D546" s="299"/>
      <c r="E546" s="191"/>
      <c r="F546" s="191"/>
      <c r="G546" s="183"/>
      <c r="H546" s="183"/>
      <c r="I546" s="299"/>
      <c r="J546" s="299"/>
      <c r="K546" s="299"/>
    </row>
    <row r="547" spans="1:11" ht="12" x14ac:dyDescent="0.2">
      <c r="A547" s="299"/>
      <c r="B547" s="299"/>
      <c r="C547" s="299"/>
      <c r="D547" s="299"/>
      <c r="E547" s="191"/>
      <c r="F547" s="191"/>
      <c r="G547" s="183" t="s">
        <v>3459</v>
      </c>
      <c r="H547" s="187"/>
      <c r="I547" s="299"/>
      <c r="J547" s="299"/>
      <c r="K547" s="299"/>
    </row>
    <row r="548" spans="1:11" ht="12" x14ac:dyDescent="0.2">
      <c r="A548" s="299"/>
      <c r="B548" s="299"/>
      <c r="C548" s="299"/>
      <c r="D548" s="299"/>
      <c r="E548" s="191"/>
      <c r="F548" s="191"/>
      <c r="G548" s="208"/>
      <c r="H548" s="182">
        <f>H540-H547</f>
        <v>0</v>
      </c>
      <c r="I548" s="299" t="s">
        <v>3451</v>
      </c>
      <c r="J548" s="299"/>
      <c r="K548" s="299"/>
    </row>
    <row r="549" spans="1:11" ht="12.75" x14ac:dyDescent="0.2">
      <c r="A549" s="199" t="s">
        <v>3550</v>
      </c>
      <c r="B549" s="192"/>
      <c r="C549" s="128"/>
      <c r="D549" s="192"/>
      <c r="E549" s="192"/>
      <c r="F549" s="192"/>
      <c r="G549" s="128"/>
      <c r="H549" s="128"/>
      <c r="I549" s="192"/>
      <c r="J549" s="128"/>
      <c r="K549" s="128"/>
    </row>
    <row r="550" spans="1:11" ht="12.75" x14ac:dyDescent="0.2">
      <c r="A550" s="199" t="s">
        <v>3551</v>
      </c>
      <c r="B550" s="192"/>
      <c r="C550" s="128"/>
      <c r="D550" s="192"/>
      <c r="E550" s="192"/>
      <c r="F550" s="192"/>
      <c r="G550" s="128"/>
      <c r="H550" s="128"/>
      <c r="I550" s="192"/>
      <c r="J550" s="128"/>
      <c r="K550" s="128"/>
    </row>
    <row r="551" spans="1:11" ht="12.75" x14ac:dyDescent="0.2">
      <c r="A551" s="313" t="s">
        <v>3259</v>
      </c>
      <c r="B551" s="313"/>
      <c r="C551" s="313"/>
      <c r="D551" s="313"/>
      <c r="E551" s="313"/>
      <c r="F551" s="313"/>
      <c r="G551" s="313"/>
      <c r="H551" s="313"/>
      <c r="I551" s="313"/>
      <c r="J551" s="313"/>
      <c r="K551" s="313"/>
    </row>
    <row r="552" spans="1:11" ht="12.75" x14ac:dyDescent="0.2">
      <c r="A552" s="313" t="s">
        <v>3461</v>
      </c>
      <c r="B552" s="313"/>
      <c r="C552" s="313"/>
      <c r="D552" s="313"/>
      <c r="E552" s="313"/>
      <c r="F552" s="313"/>
      <c r="G552" s="313"/>
      <c r="H552" s="313"/>
      <c r="I552" s="313"/>
      <c r="J552" s="313"/>
      <c r="K552" s="313"/>
    </row>
    <row r="553" spans="1:11" x14ac:dyDescent="0.2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</row>
    <row r="554" spans="1:11" x14ac:dyDescent="0.2">
      <c r="A554" s="287" t="s">
        <v>3260</v>
      </c>
      <c r="B554" s="288"/>
      <c r="C554" s="289" t="s">
        <v>8</v>
      </c>
      <c r="D554" s="287" t="s">
        <v>3261</v>
      </c>
      <c r="E554" s="288"/>
      <c r="F554" s="308" t="s">
        <v>76</v>
      </c>
      <c r="G554" s="309"/>
      <c r="H554" s="310"/>
      <c r="I554" s="308" t="s">
        <v>5</v>
      </c>
      <c r="J554" s="309"/>
      <c r="K554" s="310"/>
    </row>
    <row r="555" spans="1:11" x14ac:dyDescent="0.2">
      <c r="A555" s="289" t="s">
        <v>7</v>
      </c>
      <c r="B555" s="289" t="s">
        <v>16</v>
      </c>
      <c r="C555" s="290"/>
      <c r="D555" s="292" t="s">
        <v>7</v>
      </c>
      <c r="E555" s="292" t="s">
        <v>3262</v>
      </c>
      <c r="F555" s="292" t="s">
        <v>3252</v>
      </c>
      <c r="G555" s="292" t="s">
        <v>3251</v>
      </c>
      <c r="H555" s="292" t="s">
        <v>3452</v>
      </c>
      <c r="I555" s="292" t="s">
        <v>3252</v>
      </c>
      <c r="J555" s="292" t="s">
        <v>3251</v>
      </c>
      <c r="K555" s="292" t="s">
        <v>3452</v>
      </c>
    </row>
    <row r="556" spans="1:11" x14ac:dyDescent="0.2">
      <c r="A556" s="291"/>
      <c r="B556" s="291"/>
      <c r="C556" s="291"/>
      <c r="D556" s="294"/>
      <c r="E556" s="294"/>
      <c r="F556" s="294"/>
      <c r="G556" s="294"/>
      <c r="H556" s="294"/>
      <c r="I556" s="294"/>
      <c r="J556" s="294"/>
      <c r="K556" s="294"/>
    </row>
    <row r="557" spans="1:11" x14ac:dyDescent="0.2">
      <c r="A557" s="176"/>
      <c r="B557" s="176"/>
      <c r="C557" s="55"/>
      <c r="D557" s="10"/>
      <c r="E557" s="6"/>
      <c r="F557" s="178"/>
      <c r="G557" s="179"/>
      <c r="H557" s="179"/>
      <c r="I557" s="10"/>
      <c r="J557" s="30"/>
      <c r="K557" s="200">
        <f>H557</f>
        <v>0</v>
      </c>
    </row>
    <row r="558" spans="1:11" x14ac:dyDescent="0.2">
      <c r="A558" s="62"/>
      <c r="B558" s="62"/>
      <c r="C558" s="30"/>
      <c r="D558" s="10"/>
      <c r="E558" s="10"/>
      <c r="F558" s="177"/>
      <c r="G558" s="180"/>
      <c r="H558" s="180"/>
      <c r="I558" s="10"/>
      <c r="J558" s="30"/>
      <c r="K558" s="200">
        <f t="shared" ref="K558:K621" si="22">H558</f>
        <v>0</v>
      </c>
    </row>
    <row r="559" spans="1:11" x14ac:dyDescent="0.2">
      <c r="A559" s="62"/>
      <c r="B559" s="62"/>
      <c r="C559" s="30"/>
      <c r="D559" s="10"/>
      <c r="E559" s="10"/>
      <c r="F559" s="177"/>
      <c r="G559" s="180"/>
      <c r="H559" s="180"/>
      <c r="I559" s="10"/>
      <c r="J559" s="30"/>
      <c r="K559" s="200">
        <f t="shared" si="22"/>
        <v>0</v>
      </c>
    </row>
    <row r="560" spans="1:11" x14ac:dyDescent="0.2">
      <c r="A560" s="62"/>
      <c r="B560" s="62"/>
      <c r="C560" s="30"/>
      <c r="D560" s="10"/>
      <c r="E560" s="10"/>
      <c r="F560" s="177"/>
      <c r="G560" s="180"/>
      <c r="H560" s="180"/>
      <c r="I560" s="10"/>
      <c r="J560" s="30"/>
      <c r="K560" s="200">
        <f t="shared" si="22"/>
        <v>0</v>
      </c>
    </row>
    <row r="561" spans="1:11" x14ac:dyDescent="0.2">
      <c r="A561" s="62"/>
      <c r="B561" s="62"/>
      <c r="C561" s="30"/>
      <c r="D561" s="10"/>
      <c r="E561" s="10"/>
      <c r="F561" s="177"/>
      <c r="G561" s="180"/>
      <c r="H561" s="180"/>
      <c r="I561" s="10"/>
      <c r="J561" s="30"/>
      <c r="K561" s="200">
        <f t="shared" si="22"/>
        <v>0</v>
      </c>
    </row>
    <row r="562" spans="1:11" x14ac:dyDescent="0.2">
      <c r="A562" s="62"/>
      <c r="B562" s="62"/>
      <c r="C562" s="30"/>
      <c r="D562" s="10"/>
      <c r="E562" s="10"/>
      <c r="F562" s="177"/>
      <c r="G562" s="180"/>
      <c r="H562" s="180"/>
      <c r="I562" s="10"/>
      <c r="J562" s="30"/>
      <c r="K562" s="200">
        <f t="shared" si="22"/>
        <v>0</v>
      </c>
    </row>
    <row r="563" spans="1:11" x14ac:dyDescent="0.2">
      <c r="A563" s="62"/>
      <c r="B563" s="62"/>
      <c r="C563" s="30"/>
      <c r="D563" s="10"/>
      <c r="E563" s="10"/>
      <c r="F563" s="177"/>
      <c r="G563" s="180"/>
      <c r="H563" s="180"/>
      <c r="I563" s="10"/>
      <c r="J563" s="30"/>
      <c r="K563" s="200">
        <f t="shared" si="22"/>
        <v>0</v>
      </c>
    </row>
    <row r="564" spans="1:11" x14ac:dyDescent="0.2">
      <c r="A564" s="62"/>
      <c r="B564" s="62"/>
      <c r="C564" s="30"/>
      <c r="D564" s="10"/>
      <c r="E564" s="10"/>
      <c r="F564" s="177"/>
      <c r="G564" s="180"/>
      <c r="H564" s="180"/>
      <c r="I564" s="10"/>
      <c r="J564" s="30"/>
      <c r="K564" s="200">
        <f t="shared" si="22"/>
        <v>0</v>
      </c>
    </row>
    <row r="565" spans="1:11" x14ac:dyDescent="0.2">
      <c r="A565" s="62"/>
      <c r="B565" s="62"/>
      <c r="C565" s="30"/>
      <c r="D565" s="10"/>
      <c r="E565" s="10"/>
      <c r="F565" s="177"/>
      <c r="G565" s="180"/>
      <c r="H565" s="180"/>
      <c r="I565" s="10"/>
      <c r="J565" s="30"/>
      <c r="K565" s="200">
        <f t="shared" si="22"/>
        <v>0</v>
      </c>
    </row>
    <row r="566" spans="1:11" x14ac:dyDescent="0.2">
      <c r="A566" s="62"/>
      <c r="B566" s="62"/>
      <c r="C566" s="30"/>
      <c r="D566" s="10"/>
      <c r="E566" s="10"/>
      <c r="F566" s="177"/>
      <c r="G566" s="180"/>
      <c r="H566" s="180"/>
      <c r="I566" s="10"/>
      <c r="J566" s="30"/>
      <c r="K566" s="200">
        <f t="shared" si="22"/>
        <v>0</v>
      </c>
    </row>
    <row r="567" spans="1:11" x14ac:dyDescent="0.2">
      <c r="A567" s="62"/>
      <c r="B567" s="62"/>
      <c r="C567" s="30"/>
      <c r="D567" s="10"/>
      <c r="E567" s="10"/>
      <c r="F567" s="177"/>
      <c r="G567" s="180"/>
      <c r="H567" s="180"/>
      <c r="I567" s="10"/>
      <c r="J567" s="30"/>
      <c r="K567" s="200">
        <f t="shared" si="22"/>
        <v>0</v>
      </c>
    </row>
    <row r="568" spans="1:11" x14ac:dyDescent="0.2">
      <c r="A568" s="62"/>
      <c r="B568" s="62"/>
      <c r="C568" s="30"/>
      <c r="D568" s="10"/>
      <c r="E568" s="10"/>
      <c r="F568" s="177"/>
      <c r="G568" s="180"/>
      <c r="H568" s="180"/>
      <c r="I568" s="10"/>
      <c r="J568" s="30"/>
      <c r="K568" s="200">
        <f t="shared" si="22"/>
        <v>0</v>
      </c>
    </row>
    <row r="569" spans="1:11" x14ac:dyDescent="0.2">
      <c r="A569" s="62"/>
      <c r="B569" s="62"/>
      <c r="C569" s="30"/>
      <c r="D569" s="10"/>
      <c r="E569" s="10"/>
      <c r="F569" s="177"/>
      <c r="G569" s="180"/>
      <c r="H569" s="180"/>
      <c r="I569" s="10"/>
      <c r="J569" s="30"/>
      <c r="K569" s="200">
        <f t="shared" si="22"/>
        <v>0</v>
      </c>
    </row>
    <row r="570" spans="1:11" x14ac:dyDescent="0.2">
      <c r="A570" s="62"/>
      <c r="B570" s="62"/>
      <c r="C570" s="30"/>
      <c r="D570" s="10"/>
      <c r="E570" s="10"/>
      <c r="F570" s="177"/>
      <c r="G570" s="180"/>
      <c r="H570" s="180"/>
      <c r="I570" s="10"/>
      <c r="J570" s="30"/>
      <c r="K570" s="200">
        <f t="shared" si="22"/>
        <v>0</v>
      </c>
    </row>
    <row r="571" spans="1:11" x14ac:dyDescent="0.2">
      <c r="A571" s="62"/>
      <c r="B571" s="62"/>
      <c r="C571" s="30"/>
      <c r="D571" s="10"/>
      <c r="E571" s="10"/>
      <c r="F571" s="177"/>
      <c r="G571" s="180"/>
      <c r="H571" s="180"/>
      <c r="I571" s="10"/>
      <c r="J571" s="30"/>
      <c r="K571" s="200">
        <f t="shared" si="22"/>
        <v>0</v>
      </c>
    </row>
    <row r="572" spans="1:11" x14ac:dyDescent="0.2">
      <c r="A572" s="62"/>
      <c r="B572" s="62"/>
      <c r="C572" s="30"/>
      <c r="D572" s="10"/>
      <c r="E572" s="10"/>
      <c r="F572" s="177"/>
      <c r="G572" s="180"/>
      <c r="H572" s="180"/>
      <c r="I572" s="10"/>
      <c r="J572" s="30"/>
      <c r="K572" s="200">
        <f t="shared" si="22"/>
        <v>0</v>
      </c>
    </row>
    <row r="573" spans="1:11" x14ac:dyDescent="0.2">
      <c r="A573" s="62"/>
      <c r="B573" s="62"/>
      <c r="C573" s="30"/>
      <c r="D573" s="10"/>
      <c r="E573" s="10"/>
      <c r="F573" s="177"/>
      <c r="G573" s="180"/>
      <c r="H573" s="180"/>
      <c r="I573" s="10"/>
      <c r="J573" s="30"/>
      <c r="K573" s="200">
        <f t="shared" si="22"/>
        <v>0</v>
      </c>
    </row>
    <row r="574" spans="1:11" x14ac:dyDescent="0.2">
      <c r="A574" s="62"/>
      <c r="B574" s="62"/>
      <c r="C574" s="30"/>
      <c r="D574" s="10"/>
      <c r="E574" s="10"/>
      <c r="F574" s="177"/>
      <c r="G574" s="180"/>
      <c r="H574" s="180"/>
      <c r="I574" s="10"/>
      <c r="J574" s="30"/>
      <c r="K574" s="200">
        <f t="shared" si="22"/>
        <v>0</v>
      </c>
    </row>
    <row r="575" spans="1:11" x14ac:dyDescent="0.2">
      <c r="A575" s="62"/>
      <c r="B575" s="62"/>
      <c r="C575" s="30"/>
      <c r="D575" s="10"/>
      <c r="E575" s="10"/>
      <c r="F575" s="177"/>
      <c r="G575" s="180"/>
      <c r="H575" s="180"/>
      <c r="I575" s="10"/>
      <c r="J575" s="30"/>
      <c r="K575" s="200">
        <f t="shared" si="22"/>
        <v>0</v>
      </c>
    </row>
    <row r="576" spans="1:11" x14ac:dyDescent="0.2">
      <c r="A576" s="62"/>
      <c r="B576" s="62"/>
      <c r="C576" s="30"/>
      <c r="D576" s="10"/>
      <c r="E576" s="10"/>
      <c r="F576" s="177"/>
      <c r="G576" s="180"/>
      <c r="H576" s="180"/>
      <c r="I576" s="10"/>
      <c r="J576" s="30"/>
      <c r="K576" s="200">
        <f t="shared" si="22"/>
        <v>0</v>
      </c>
    </row>
    <row r="577" spans="1:11" x14ac:dyDescent="0.2">
      <c r="A577" s="62"/>
      <c r="B577" s="62"/>
      <c r="C577" s="30"/>
      <c r="D577" s="10"/>
      <c r="E577" s="10"/>
      <c r="F577" s="177"/>
      <c r="G577" s="180"/>
      <c r="H577" s="180"/>
      <c r="I577" s="10"/>
      <c r="J577" s="30"/>
      <c r="K577" s="200">
        <f t="shared" si="22"/>
        <v>0</v>
      </c>
    </row>
    <row r="578" spans="1:11" x14ac:dyDescent="0.2">
      <c r="A578" s="62"/>
      <c r="B578" s="62"/>
      <c r="C578" s="30"/>
      <c r="D578" s="10"/>
      <c r="E578" s="10"/>
      <c r="F578" s="177"/>
      <c r="G578" s="180"/>
      <c r="H578" s="180"/>
      <c r="I578" s="10"/>
      <c r="J578" s="30"/>
      <c r="K578" s="200">
        <f t="shared" si="22"/>
        <v>0</v>
      </c>
    </row>
    <row r="579" spans="1:11" x14ac:dyDescent="0.2">
      <c r="A579" s="62"/>
      <c r="B579" s="62"/>
      <c r="C579" s="30"/>
      <c r="D579" s="10"/>
      <c r="E579" s="10"/>
      <c r="F579" s="177"/>
      <c r="G579" s="180"/>
      <c r="H579" s="180"/>
      <c r="I579" s="10"/>
      <c r="J579" s="30"/>
      <c r="K579" s="200">
        <f t="shared" si="22"/>
        <v>0</v>
      </c>
    </row>
    <row r="580" spans="1:11" x14ac:dyDescent="0.2">
      <c r="A580" s="62"/>
      <c r="B580" s="62"/>
      <c r="C580" s="30"/>
      <c r="D580" s="10"/>
      <c r="E580" s="10"/>
      <c r="F580" s="177"/>
      <c r="G580" s="180"/>
      <c r="H580" s="180"/>
      <c r="I580" s="10"/>
      <c r="J580" s="30"/>
      <c r="K580" s="200">
        <f t="shared" si="22"/>
        <v>0</v>
      </c>
    </row>
    <row r="581" spans="1:11" x14ac:dyDescent="0.2">
      <c r="A581" s="62"/>
      <c r="B581" s="62"/>
      <c r="C581" s="30"/>
      <c r="D581" s="10"/>
      <c r="E581" s="10"/>
      <c r="F581" s="177"/>
      <c r="G581" s="180"/>
      <c r="H581" s="180"/>
      <c r="I581" s="10"/>
      <c r="J581" s="30"/>
      <c r="K581" s="200">
        <f t="shared" si="22"/>
        <v>0</v>
      </c>
    </row>
    <row r="582" spans="1:11" x14ac:dyDescent="0.2">
      <c r="A582" s="62"/>
      <c r="B582" s="62"/>
      <c r="C582" s="30"/>
      <c r="D582" s="10"/>
      <c r="E582" s="10"/>
      <c r="F582" s="177"/>
      <c r="G582" s="180"/>
      <c r="H582" s="180"/>
      <c r="I582" s="10"/>
      <c r="J582" s="30"/>
      <c r="K582" s="200">
        <f t="shared" si="22"/>
        <v>0</v>
      </c>
    </row>
    <row r="583" spans="1:11" x14ac:dyDescent="0.2">
      <c r="A583" s="62"/>
      <c r="B583" s="62"/>
      <c r="C583" s="30"/>
      <c r="D583" s="10"/>
      <c r="E583" s="10"/>
      <c r="F583" s="177"/>
      <c r="G583" s="180"/>
      <c r="H583" s="180"/>
      <c r="I583" s="10"/>
      <c r="J583" s="30"/>
      <c r="K583" s="200">
        <f t="shared" si="22"/>
        <v>0</v>
      </c>
    </row>
    <row r="584" spans="1:11" x14ac:dyDescent="0.2">
      <c r="A584" s="62"/>
      <c r="B584" s="62"/>
      <c r="C584" s="30"/>
      <c r="D584" s="10"/>
      <c r="E584" s="10"/>
      <c r="F584" s="177"/>
      <c r="G584" s="180"/>
      <c r="H584" s="180"/>
      <c r="I584" s="10"/>
      <c r="J584" s="30"/>
      <c r="K584" s="200">
        <f t="shared" si="22"/>
        <v>0</v>
      </c>
    </row>
    <row r="585" spans="1:11" x14ac:dyDescent="0.2">
      <c r="A585" s="62"/>
      <c r="B585" s="62"/>
      <c r="C585" s="30"/>
      <c r="D585" s="10"/>
      <c r="E585" s="10"/>
      <c r="F585" s="177"/>
      <c r="G585" s="180"/>
      <c r="H585" s="180"/>
      <c r="I585" s="10"/>
      <c r="J585" s="30"/>
      <c r="K585" s="200">
        <f t="shared" si="22"/>
        <v>0</v>
      </c>
    </row>
    <row r="586" spans="1:11" x14ac:dyDescent="0.2">
      <c r="A586" s="62"/>
      <c r="B586" s="62"/>
      <c r="C586" s="30"/>
      <c r="D586" s="10"/>
      <c r="E586" s="10"/>
      <c r="F586" s="177"/>
      <c r="G586" s="180"/>
      <c r="H586" s="180"/>
      <c r="I586" s="10"/>
      <c r="J586" s="30"/>
      <c r="K586" s="200">
        <f t="shared" si="22"/>
        <v>0</v>
      </c>
    </row>
    <row r="587" spans="1:11" x14ac:dyDescent="0.2">
      <c r="A587" s="62"/>
      <c r="B587" s="62"/>
      <c r="C587" s="30"/>
      <c r="D587" s="10"/>
      <c r="E587" s="10"/>
      <c r="F587" s="177"/>
      <c r="G587" s="180"/>
      <c r="H587" s="180"/>
      <c r="I587" s="10"/>
      <c r="J587" s="30"/>
      <c r="K587" s="200">
        <f t="shared" si="22"/>
        <v>0</v>
      </c>
    </row>
    <row r="588" spans="1:11" x14ac:dyDescent="0.2">
      <c r="A588" s="62"/>
      <c r="B588" s="62"/>
      <c r="C588" s="30"/>
      <c r="D588" s="10"/>
      <c r="E588" s="10"/>
      <c r="F588" s="177"/>
      <c r="G588" s="180"/>
      <c r="H588" s="180"/>
      <c r="I588" s="10"/>
      <c r="J588" s="30"/>
      <c r="K588" s="200">
        <f t="shared" si="22"/>
        <v>0</v>
      </c>
    </row>
    <row r="589" spans="1:11" x14ac:dyDescent="0.2">
      <c r="A589" s="62"/>
      <c r="B589" s="62"/>
      <c r="C589" s="30"/>
      <c r="D589" s="10"/>
      <c r="E589" s="10"/>
      <c r="F589" s="177"/>
      <c r="G589" s="180"/>
      <c r="H589" s="180"/>
      <c r="I589" s="10"/>
      <c r="J589" s="30"/>
      <c r="K589" s="200">
        <f t="shared" si="22"/>
        <v>0</v>
      </c>
    </row>
    <row r="590" spans="1:11" x14ac:dyDescent="0.2">
      <c r="A590" s="62"/>
      <c r="B590" s="62"/>
      <c r="C590" s="30"/>
      <c r="D590" s="10"/>
      <c r="E590" s="10"/>
      <c r="F590" s="177"/>
      <c r="G590" s="180"/>
      <c r="H590" s="180"/>
      <c r="I590" s="10"/>
      <c r="J590" s="30"/>
      <c r="K590" s="200">
        <f t="shared" si="22"/>
        <v>0</v>
      </c>
    </row>
    <row r="591" spans="1:11" x14ac:dyDescent="0.2">
      <c r="A591" s="62"/>
      <c r="B591" s="62"/>
      <c r="C591" s="30"/>
      <c r="D591" s="10"/>
      <c r="E591" s="10"/>
      <c r="F591" s="177"/>
      <c r="G591" s="180"/>
      <c r="H591" s="180"/>
      <c r="I591" s="10"/>
      <c r="J591" s="30"/>
      <c r="K591" s="200">
        <f t="shared" si="22"/>
        <v>0</v>
      </c>
    </row>
    <row r="592" spans="1:11" x14ac:dyDescent="0.2">
      <c r="A592" s="62"/>
      <c r="B592" s="62"/>
      <c r="C592" s="30"/>
      <c r="D592" s="10"/>
      <c r="E592" s="10"/>
      <c r="F592" s="177"/>
      <c r="G592" s="180"/>
      <c r="H592" s="180"/>
      <c r="I592" s="10"/>
      <c r="J592" s="30"/>
      <c r="K592" s="200">
        <f t="shared" si="22"/>
        <v>0</v>
      </c>
    </row>
    <row r="593" spans="1:11" x14ac:dyDescent="0.2">
      <c r="A593" s="62"/>
      <c r="B593" s="62"/>
      <c r="C593" s="30"/>
      <c r="D593" s="10"/>
      <c r="E593" s="10"/>
      <c r="F593" s="177"/>
      <c r="G593" s="180"/>
      <c r="H593" s="180"/>
      <c r="I593" s="10"/>
      <c r="J593" s="30"/>
      <c r="K593" s="200">
        <f t="shared" si="22"/>
        <v>0</v>
      </c>
    </row>
    <row r="594" spans="1:11" x14ac:dyDescent="0.2">
      <c r="A594" s="62"/>
      <c r="B594" s="62"/>
      <c r="C594" s="30"/>
      <c r="D594" s="10"/>
      <c r="E594" s="10"/>
      <c r="F594" s="177"/>
      <c r="G594" s="180"/>
      <c r="H594" s="180"/>
      <c r="I594" s="10"/>
      <c r="J594" s="30"/>
      <c r="K594" s="200">
        <f t="shared" si="22"/>
        <v>0</v>
      </c>
    </row>
    <row r="595" spans="1:11" ht="11.25" customHeight="1" x14ac:dyDescent="0.2">
      <c r="A595" s="62"/>
      <c r="B595" s="62"/>
      <c r="C595" s="30"/>
      <c r="D595" s="10"/>
      <c r="E595" s="10"/>
      <c r="F595" s="177"/>
      <c r="G595" s="180"/>
      <c r="H595" s="180"/>
      <c r="I595" s="10"/>
      <c r="J595" s="30"/>
      <c r="K595" s="200">
        <f t="shared" si="22"/>
        <v>0</v>
      </c>
    </row>
    <row r="596" spans="1:11" x14ac:dyDescent="0.2">
      <c r="A596" s="62"/>
      <c r="B596" s="62"/>
      <c r="C596" s="30"/>
      <c r="D596" s="10"/>
      <c r="E596" s="10"/>
      <c r="F596" s="177"/>
      <c r="G596" s="180"/>
      <c r="H596" s="180"/>
      <c r="I596" s="10"/>
      <c r="J596" s="30"/>
      <c r="K596" s="200">
        <f t="shared" si="22"/>
        <v>0</v>
      </c>
    </row>
    <row r="597" spans="1:11" x14ac:dyDescent="0.2">
      <c r="A597" s="62"/>
      <c r="B597" s="62"/>
      <c r="C597" s="30"/>
      <c r="D597" s="10"/>
      <c r="E597" s="10"/>
      <c r="F597" s="177"/>
      <c r="G597" s="180"/>
      <c r="H597" s="180"/>
      <c r="I597" s="10"/>
      <c r="J597" s="30"/>
      <c r="K597" s="200">
        <f t="shared" si="22"/>
        <v>0</v>
      </c>
    </row>
    <row r="598" spans="1:11" x14ac:dyDescent="0.2">
      <c r="A598" s="62"/>
      <c r="B598" s="62"/>
      <c r="C598" s="30"/>
      <c r="D598" s="10"/>
      <c r="E598" s="10"/>
      <c r="F598" s="177"/>
      <c r="G598" s="180"/>
      <c r="H598" s="180"/>
      <c r="I598" s="10"/>
      <c r="J598" s="30"/>
      <c r="K598" s="200">
        <f t="shared" si="22"/>
        <v>0</v>
      </c>
    </row>
    <row r="599" spans="1:11" x14ac:dyDescent="0.2">
      <c r="A599" s="62"/>
      <c r="B599" s="62"/>
      <c r="C599" s="30"/>
      <c r="D599" s="10"/>
      <c r="E599" s="10"/>
      <c r="F599" s="177"/>
      <c r="G599" s="180"/>
      <c r="H599" s="180"/>
      <c r="I599" s="10"/>
      <c r="J599" s="30"/>
      <c r="K599" s="200">
        <f t="shared" si="22"/>
        <v>0</v>
      </c>
    </row>
    <row r="600" spans="1:11" x14ac:dyDescent="0.2">
      <c r="A600" s="62"/>
      <c r="B600" s="62"/>
      <c r="C600" s="30"/>
      <c r="D600" s="10"/>
      <c r="E600" s="10"/>
      <c r="F600" s="177"/>
      <c r="G600" s="180"/>
      <c r="H600" s="180"/>
      <c r="I600" s="10"/>
      <c r="J600" s="30"/>
      <c r="K600" s="200">
        <f t="shared" si="22"/>
        <v>0</v>
      </c>
    </row>
    <row r="601" spans="1:11" x14ac:dyDescent="0.2">
      <c r="A601" s="62"/>
      <c r="B601" s="62"/>
      <c r="C601" s="30"/>
      <c r="D601" s="10"/>
      <c r="E601" s="10"/>
      <c r="F601" s="177"/>
      <c r="G601" s="180"/>
      <c r="H601" s="180"/>
      <c r="I601" s="10"/>
      <c r="J601" s="30"/>
      <c r="K601" s="200">
        <f t="shared" si="22"/>
        <v>0</v>
      </c>
    </row>
    <row r="602" spans="1:11" x14ac:dyDescent="0.2">
      <c r="A602" s="62"/>
      <c r="B602" s="62"/>
      <c r="C602" s="30"/>
      <c r="D602" s="10"/>
      <c r="E602" s="10"/>
      <c r="F602" s="177"/>
      <c r="G602" s="180"/>
      <c r="H602" s="180"/>
      <c r="I602" s="10"/>
      <c r="J602" s="30"/>
      <c r="K602" s="200">
        <f t="shared" si="22"/>
        <v>0</v>
      </c>
    </row>
    <row r="603" spans="1:11" x14ac:dyDescent="0.2">
      <c r="A603" s="62"/>
      <c r="B603" s="62"/>
      <c r="C603" s="30"/>
      <c r="D603" s="10"/>
      <c r="E603" s="10"/>
      <c r="F603" s="177"/>
      <c r="G603" s="180"/>
      <c r="H603" s="180"/>
      <c r="I603" s="10"/>
      <c r="J603" s="30"/>
      <c r="K603" s="200">
        <f t="shared" si="22"/>
        <v>0</v>
      </c>
    </row>
    <row r="604" spans="1:11" x14ac:dyDescent="0.2">
      <c r="A604" s="62"/>
      <c r="B604" s="62"/>
      <c r="C604" s="30"/>
      <c r="D604" s="10"/>
      <c r="E604" s="10"/>
      <c r="F604" s="177"/>
      <c r="G604" s="180"/>
      <c r="H604" s="180"/>
      <c r="I604" s="10"/>
      <c r="J604" s="30"/>
      <c r="K604" s="200">
        <f t="shared" si="22"/>
        <v>0</v>
      </c>
    </row>
    <row r="605" spans="1:11" x14ac:dyDescent="0.2">
      <c r="A605" s="62"/>
      <c r="B605" s="62"/>
      <c r="C605" s="30"/>
      <c r="D605" s="10"/>
      <c r="E605" s="10"/>
      <c r="F605" s="177"/>
      <c r="G605" s="180"/>
      <c r="H605" s="180"/>
      <c r="I605" s="10"/>
      <c r="J605" s="30"/>
      <c r="K605" s="200">
        <f t="shared" si="22"/>
        <v>0</v>
      </c>
    </row>
    <row r="606" spans="1:11" x14ac:dyDescent="0.2">
      <c r="A606" s="62"/>
      <c r="B606" s="62"/>
      <c r="C606" s="30"/>
      <c r="D606" s="10"/>
      <c r="E606" s="10"/>
      <c r="F606" s="177"/>
      <c r="G606" s="180"/>
      <c r="H606" s="180"/>
      <c r="I606" s="10"/>
      <c r="J606" s="30"/>
      <c r="K606" s="200">
        <f t="shared" si="22"/>
        <v>0</v>
      </c>
    </row>
    <row r="607" spans="1:11" x14ac:dyDescent="0.2">
      <c r="A607" s="62"/>
      <c r="B607" s="62"/>
      <c r="C607" s="30"/>
      <c r="D607" s="10"/>
      <c r="E607" s="10"/>
      <c r="F607" s="177"/>
      <c r="G607" s="180"/>
      <c r="H607" s="180"/>
      <c r="I607" s="10"/>
      <c r="J607" s="30"/>
      <c r="K607" s="200">
        <f t="shared" si="22"/>
        <v>0</v>
      </c>
    </row>
    <row r="608" spans="1:11" x14ac:dyDescent="0.2">
      <c r="A608" s="62"/>
      <c r="B608" s="62"/>
      <c r="C608" s="30"/>
      <c r="D608" s="10"/>
      <c r="E608" s="10"/>
      <c r="F608" s="177"/>
      <c r="G608" s="180"/>
      <c r="H608" s="180"/>
      <c r="I608" s="10"/>
      <c r="J608" s="30"/>
      <c r="K608" s="200">
        <f t="shared" si="22"/>
        <v>0</v>
      </c>
    </row>
    <row r="609" spans="1:11" x14ac:dyDescent="0.2">
      <c r="A609" s="62"/>
      <c r="B609" s="62"/>
      <c r="C609" s="30"/>
      <c r="D609" s="10"/>
      <c r="E609" s="10"/>
      <c r="F609" s="177"/>
      <c r="G609" s="180"/>
      <c r="H609" s="180"/>
      <c r="I609" s="10"/>
      <c r="J609" s="30"/>
      <c r="K609" s="200">
        <f t="shared" si="22"/>
        <v>0</v>
      </c>
    </row>
    <row r="610" spans="1:11" x14ac:dyDescent="0.2">
      <c r="A610" s="62"/>
      <c r="B610" s="62"/>
      <c r="C610" s="30"/>
      <c r="D610" s="10"/>
      <c r="E610" s="10"/>
      <c r="F610" s="177"/>
      <c r="G610" s="180"/>
      <c r="H610" s="180"/>
      <c r="I610" s="10"/>
      <c r="J610" s="30"/>
      <c r="K610" s="200">
        <f t="shared" si="22"/>
        <v>0</v>
      </c>
    </row>
    <row r="611" spans="1:11" x14ac:dyDescent="0.2">
      <c r="A611" s="62"/>
      <c r="B611" s="62"/>
      <c r="C611" s="30"/>
      <c r="D611" s="10"/>
      <c r="E611" s="10"/>
      <c r="F611" s="177"/>
      <c r="G611" s="180"/>
      <c r="H611" s="180"/>
      <c r="I611" s="10"/>
      <c r="J611" s="30"/>
      <c r="K611" s="200">
        <f t="shared" si="22"/>
        <v>0</v>
      </c>
    </row>
    <row r="612" spans="1:11" x14ac:dyDescent="0.2">
      <c r="A612" s="62"/>
      <c r="B612" s="62"/>
      <c r="C612" s="30"/>
      <c r="D612" s="10"/>
      <c r="E612" s="10"/>
      <c r="F612" s="177"/>
      <c r="G612" s="180"/>
      <c r="H612" s="180"/>
      <c r="I612" s="10"/>
      <c r="J612" s="30"/>
      <c r="K612" s="200">
        <f t="shared" si="22"/>
        <v>0</v>
      </c>
    </row>
    <row r="613" spans="1:11" x14ac:dyDescent="0.2">
      <c r="A613" s="62"/>
      <c r="B613" s="62"/>
      <c r="C613" s="30"/>
      <c r="D613" s="10"/>
      <c r="E613" s="10"/>
      <c r="F613" s="177"/>
      <c r="G613" s="180"/>
      <c r="H613" s="180"/>
      <c r="I613" s="10"/>
      <c r="J613" s="30"/>
      <c r="K613" s="200">
        <f t="shared" si="22"/>
        <v>0</v>
      </c>
    </row>
    <row r="614" spans="1:11" x14ac:dyDescent="0.2">
      <c r="A614" s="62"/>
      <c r="B614" s="62"/>
      <c r="C614" s="30"/>
      <c r="D614" s="10"/>
      <c r="E614" s="10"/>
      <c r="F614" s="177"/>
      <c r="G614" s="180"/>
      <c r="H614" s="180"/>
      <c r="I614" s="10"/>
      <c r="J614" s="30"/>
      <c r="K614" s="200">
        <f t="shared" si="22"/>
        <v>0</v>
      </c>
    </row>
    <row r="615" spans="1:11" x14ac:dyDescent="0.2">
      <c r="A615" s="62"/>
      <c r="B615" s="62"/>
      <c r="C615" s="30"/>
      <c r="D615" s="10"/>
      <c r="E615" s="10"/>
      <c r="F615" s="177"/>
      <c r="G615" s="180"/>
      <c r="H615" s="180"/>
      <c r="I615" s="10"/>
      <c r="J615" s="30"/>
      <c r="K615" s="200">
        <f t="shared" si="22"/>
        <v>0</v>
      </c>
    </row>
    <row r="616" spans="1:11" x14ac:dyDescent="0.2">
      <c r="A616" s="62"/>
      <c r="B616" s="62"/>
      <c r="C616" s="30"/>
      <c r="D616" s="10"/>
      <c r="E616" s="10"/>
      <c r="F616" s="177"/>
      <c r="G616" s="180"/>
      <c r="H616" s="180"/>
      <c r="I616" s="10"/>
      <c r="J616" s="30"/>
      <c r="K616" s="200">
        <f t="shared" si="22"/>
        <v>0</v>
      </c>
    </row>
    <row r="617" spans="1:11" x14ac:dyDescent="0.2">
      <c r="A617" s="62"/>
      <c r="B617" s="62"/>
      <c r="C617" s="30"/>
      <c r="D617" s="10"/>
      <c r="E617" s="10"/>
      <c r="F617" s="177"/>
      <c r="G617" s="180"/>
      <c r="H617" s="180"/>
      <c r="I617" s="10"/>
      <c r="J617" s="30"/>
      <c r="K617" s="200">
        <f t="shared" si="22"/>
        <v>0</v>
      </c>
    </row>
    <row r="618" spans="1:11" x14ac:dyDescent="0.2">
      <c r="A618" s="62"/>
      <c r="B618" s="62"/>
      <c r="C618" s="30"/>
      <c r="D618" s="10"/>
      <c r="E618" s="10"/>
      <c r="F618" s="177"/>
      <c r="G618" s="180"/>
      <c r="H618" s="180"/>
      <c r="I618" s="10"/>
      <c r="J618" s="30"/>
      <c r="K618" s="200">
        <f t="shared" si="22"/>
        <v>0</v>
      </c>
    </row>
    <row r="619" spans="1:11" x14ac:dyDescent="0.2">
      <c r="A619" s="62"/>
      <c r="B619" s="62"/>
      <c r="C619" s="30"/>
      <c r="D619" s="10"/>
      <c r="E619" s="10"/>
      <c r="F619" s="177"/>
      <c r="G619" s="180"/>
      <c r="H619" s="180"/>
      <c r="I619" s="10"/>
      <c r="J619" s="30"/>
      <c r="K619" s="200">
        <f t="shared" si="22"/>
        <v>0</v>
      </c>
    </row>
    <row r="620" spans="1:11" x14ac:dyDescent="0.2">
      <c r="A620" s="62"/>
      <c r="B620" s="62"/>
      <c r="C620" s="30"/>
      <c r="D620" s="10"/>
      <c r="E620" s="10"/>
      <c r="F620" s="177"/>
      <c r="G620" s="180"/>
      <c r="H620" s="180"/>
      <c r="I620" s="10"/>
      <c r="J620" s="30"/>
      <c r="K620" s="200">
        <f t="shared" si="22"/>
        <v>0</v>
      </c>
    </row>
    <row r="621" spans="1:11" x14ac:dyDescent="0.2">
      <c r="A621" s="62"/>
      <c r="B621" s="62"/>
      <c r="C621" s="30"/>
      <c r="D621" s="10"/>
      <c r="E621" s="10"/>
      <c r="F621" s="177"/>
      <c r="G621" s="180"/>
      <c r="H621" s="180"/>
      <c r="I621" s="10"/>
      <c r="J621" s="30"/>
      <c r="K621" s="200">
        <f t="shared" si="22"/>
        <v>0</v>
      </c>
    </row>
    <row r="622" spans="1:11" x14ac:dyDescent="0.2">
      <c r="A622" s="62"/>
      <c r="B622" s="62"/>
      <c r="C622" s="30"/>
      <c r="D622" s="10"/>
      <c r="E622" s="10"/>
      <c r="F622" s="177"/>
      <c r="G622" s="180"/>
      <c r="H622" s="180"/>
      <c r="I622" s="10"/>
      <c r="J622" s="30"/>
      <c r="K622" s="200">
        <f t="shared" ref="K622:K648" si="23">H622</f>
        <v>0</v>
      </c>
    </row>
    <row r="623" spans="1:11" x14ac:dyDescent="0.2">
      <c r="A623" s="62"/>
      <c r="B623" s="62"/>
      <c r="C623" s="30"/>
      <c r="D623" s="10"/>
      <c r="E623" s="10"/>
      <c r="F623" s="177"/>
      <c r="G623" s="180"/>
      <c r="H623" s="180"/>
      <c r="I623" s="10"/>
      <c r="J623" s="30"/>
      <c r="K623" s="200">
        <f t="shared" si="23"/>
        <v>0</v>
      </c>
    </row>
    <row r="624" spans="1:11" x14ac:dyDescent="0.2">
      <c r="A624" s="62"/>
      <c r="B624" s="62"/>
      <c r="C624" s="30"/>
      <c r="D624" s="10"/>
      <c r="E624" s="10"/>
      <c r="F624" s="177"/>
      <c r="G624" s="180"/>
      <c r="H624" s="180"/>
      <c r="I624" s="10"/>
      <c r="J624" s="30"/>
      <c r="K624" s="200">
        <f t="shared" si="23"/>
        <v>0</v>
      </c>
    </row>
    <row r="625" spans="1:15" x14ac:dyDescent="0.2">
      <c r="A625" s="62"/>
      <c r="B625" s="62"/>
      <c r="C625" s="30"/>
      <c r="D625" s="10"/>
      <c r="E625" s="10"/>
      <c r="F625" s="177"/>
      <c r="G625" s="180"/>
      <c r="H625" s="180"/>
      <c r="I625" s="10"/>
      <c r="J625" s="30"/>
      <c r="K625" s="200">
        <f t="shared" si="23"/>
        <v>0</v>
      </c>
    </row>
    <row r="626" spans="1:15" x14ac:dyDescent="0.2">
      <c r="A626" s="62"/>
      <c r="B626" s="62"/>
      <c r="C626" s="30"/>
      <c r="D626" s="10"/>
      <c r="E626" s="10"/>
      <c r="F626" s="177"/>
      <c r="G626" s="180"/>
      <c r="H626" s="180"/>
      <c r="I626" s="10"/>
      <c r="J626" s="30"/>
      <c r="K626" s="200">
        <f t="shared" si="23"/>
        <v>0</v>
      </c>
    </row>
    <row r="627" spans="1:15" x14ac:dyDescent="0.2">
      <c r="A627" s="62"/>
      <c r="B627" s="62"/>
      <c r="C627" s="30"/>
      <c r="D627" s="10"/>
      <c r="E627" s="10"/>
      <c r="F627" s="177"/>
      <c r="G627" s="180"/>
      <c r="H627" s="180"/>
      <c r="I627" s="10"/>
      <c r="J627" s="30"/>
      <c r="K627" s="200">
        <f t="shared" si="23"/>
        <v>0</v>
      </c>
    </row>
    <row r="628" spans="1:15" x14ac:dyDescent="0.2">
      <c r="A628" s="62"/>
      <c r="B628" s="62"/>
      <c r="C628" s="30"/>
      <c r="D628" s="10"/>
      <c r="E628" s="10"/>
      <c r="F628" s="177"/>
      <c r="G628" s="180"/>
      <c r="H628" s="180"/>
      <c r="I628" s="10"/>
      <c r="J628" s="30"/>
      <c r="K628" s="200">
        <f t="shared" si="23"/>
        <v>0</v>
      </c>
    </row>
    <row r="629" spans="1:15" x14ac:dyDescent="0.2">
      <c r="A629" s="62"/>
      <c r="B629" s="62"/>
      <c r="C629" s="30"/>
      <c r="D629" s="10"/>
      <c r="E629" s="10"/>
      <c r="F629" s="177"/>
      <c r="G629" s="180"/>
      <c r="H629" s="180"/>
      <c r="I629" s="10"/>
      <c r="J629" s="30"/>
      <c r="K629" s="200">
        <f t="shared" si="23"/>
        <v>0</v>
      </c>
      <c r="L629" s="188"/>
      <c r="O629" s="75"/>
    </row>
    <row r="630" spans="1:15" x14ac:dyDescent="0.2">
      <c r="A630" s="62"/>
      <c r="B630" s="62"/>
      <c r="C630" s="30"/>
      <c r="D630" s="10"/>
      <c r="E630" s="10"/>
      <c r="F630" s="177"/>
      <c r="G630" s="180"/>
      <c r="H630" s="180"/>
      <c r="I630" s="10"/>
      <c r="J630" s="30"/>
      <c r="K630" s="200">
        <f t="shared" si="23"/>
        <v>0</v>
      </c>
      <c r="O630" s="182"/>
    </row>
    <row r="631" spans="1:15" x14ac:dyDescent="0.2">
      <c r="A631" s="62"/>
      <c r="B631" s="62"/>
      <c r="C631" s="30"/>
      <c r="D631" s="10"/>
      <c r="E631" s="10"/>
      <c r="F631" s="177"/>
      <c r="G631" s="180"/>
      <c r="H631" s="180"/>
      <c r="I631" s="10"/>
      <c r="J631" s="30"/>
      <c r="K631" s="200">
        <f t="shared" si="23"/>
        <v>0</v>
      </c>
      <c r="O631" s="75"/>
    </row>
    <row r="632" spans="1:15" x14ac:dyDescent="0.2">
      <c r="A632" s="62"/>
      <c r="B632" s="62"/>
      <c r="C632" s="30"/>
      <c r="D632" s="10"/>
      <c r="E632" s="10"/>
      <c r="F632" s="177"/>
      <c r="G632" s="180"/>
      <c r="H632" s="180"/>
      <c r="I632" s="10"/>
      <c r="J632" s="30"/>
      <c r="K632" s="200">
        <f t="shared" si="23"/>
        <v>0</v>
      </c>
      <c r="O632" s="75"/>
    </row>
    <row r="633" spans="1:15" x14ac:dyDescent="0.2">
      <c r="A633" s="62"/>
      <c r="B633" s="62"/>
      <c r="C633" s="30"/>
      <c r="D633" s="10"/>
      <c r="E633" s="10"/>
      <c r="F633" s="177"/>
      <c r="G633" s="180"/>
      <c r="H633" s="180"/>
      <c r="I633" s="10"/>
      <c r="J633" s="30"/>
      <c r="K633" s="200">
        <f t="shared" si="23"/>
        <v>0</v>
      </c>
      <c r="O633" s="182"/>
    </row>
    <row r="634" spans="1:15" x14ac:dyDescent="0.2">
      <c r="A634" s="62"/>
      <c r="B634" s="62"/>
      <c r="C634" s="30"/>
      <c r="D634" s="10"/>
      <c r="E634" s="10"/>
      <c r="F634" s="177"/>
      <c r="G634" s="180"/>
      <c r="H634" s="180"/>
      <c r="I634" s="10"/>
      <c r="J634" s="30"/>
      <c r="K634" s="200">
        <f t="shared" si="23"/>
        <v>0</v>
      </c>
    </row>
    <row r="635" spans="1:15" x14ac:dyDescent="0.2">
      <c r="A635" s="62"/>
      <c r="B635" s="62"/>
      <c r="C635" s="30"/>
      <c r="D635" s="10"/>
      <c r="E635" s="10"/>
      <c r="F635" s="177"/>
      <c r="G635" s="180"/>
      <c r="H635" s="180"/>
      <c r="I635" s="10"/>
      <c r="J635" s="30"/>
      <c r="K635" s="200">
        <f t="shared" si="23"/>
        <v>0</v>
      </c>
    </row>
    <row r="636" spans="1:15" x14ac:dyDescent="0.2">
      <c r="A636" s="62"/>
      <c r="B636" s="62"/>
      <c r="C636" s="30"/>
      <c r="D636" s="10"/>
      <c r="E636" s="10"/>
      <c r="F636" s="177"/>
      <c r="G636" s="180"/>
      <c r="H636" s="180"/>
      <c r="I636" s="10"/>
      <c r="J636" s="30"/>
      <c r="K636" s="200">
        <f t="shared" si="23"/>
        <v>0</v>
      </c>
    </row>
    <row r="637" spans="1:15" x14ac:dyDescent="0.2">
      <c r="A637" s="62"/>
      <c r="B637" s="62"/>
      <c r="C637" s="30"/>
      <c r="D637" s="10"/>
      <c r="E637" s="10"/>
      <c r="F637" s="177"/>
      <c r="G637" s="180"/>
      <c r="H637" s="180"/>
      <c r="I637" s="10"/>
      <c r="J637" s="30"/>
      <c r="K637" s="200">
        <f t="shared" si="23"/>
        <v>0</v>
      </c>
    </row>
    <row r="638" spans="1:15" x14ac:dyDescent="0.2">
      <c r="A638" s="62"/>
      <c r="B638" s="62"/>
      <c r="C638" s="30"/>
      <c r="D638" s="10"/>
      <c r="E638" s="10"/>
      <c r="F638" s="177"/>
      <c r="G638" s="180"/>
      <c r="H638" s="180"/>
      <c r="I638" s="10"/>
      <c r="J638" s="30"/>
      <c r="K638" s="200">
        <f t="shared" si="23"/>
        <v>0</v>
      </c>
    </row>
    <row r="639" spans="1:15" x14ac:dyDescent="0.2">
      <c r="A639" s="62"/>
      <c r="B639" s="62"/>
      <c r="C639" s="30"/>
      <c r="D639" s="10"/>
      <c r="E639" s="10"/>
      <c r="F639" s="177"/>
      <c r="G639" s="180"/>
      <c r="H639" s="180"/>
      <c r="I639" s="10"/>
      <c r="J639" s="30"/>
      <c r="K639" s="200">
        <f t="shared" si="23"/>
        <v>0</v>
      </c>
    </row>
    <row r="640" spans="1:15" x14ac:dyDescent="0.2">
      <c r="A640" s="62"/>
      <c r="B640" s="62"/>
      <c r="C640" s="30"/>
      <c r="D640" s="10"/>
      <c r="E640" s="10"/>
      <c r="F640" s="177"/>
      <c r="G640" s="180"/>
      <c r="H640" s="180"/>
      <c r="I640" s="10"/>
      <c r="J640" s="30"/>
      <c r="K640" s="200">
        <f t="shared" si="23"/>
        <v>0</v>
      </c>
    </row>
    <row r="641" spans="1:11" x14ac:dyDescent="0.2">
      <c r="A641" s="62"/>
      <c r="B641" s="62"/>
      <c r="C641" s="30"/>
      <c r="D641" s="10"/>
      <c r="E641" s="10"/>
      <c r="F641" s="177"/>
      <c r="G641" s="180"/>
      <c r="H641" s="180"/>
      <c r="I641" s="10"/>
      <c r="J641" s="30"/>
      <c r="K641" s="200">
        <f t="shared" si="23"/>
        <v>0</v>
      </c>
    </row>
    <row r="642" spans="1:11" x14ac:dyDescent="0.2">
      <c r="A642" s="62"/>
      <c r="B642" s="62"/>
      <c r="C642" s="30"/>
      <c r="D642" s="10"/>
      <c r="E642" s="10"/>
      <c r="F642" s="177"/>
      <c r="G642" s="180"/>
      <c r="H642" s="180"/>
      <c r="I642" s="10"/>
      <c r="J642" s="30"/>
      <c r="K642" s="200">
        <f t="shared" si="23"/>
        <v>0</v>
      </c>
    </row>
    <row r="643" spans="1:11" x14ac:dyDescent="0.2">
      <c r="A643" s="62"/>
      <c r="B643" s="62"/>
      <c r="C643" s="30"/>
      <c r="D643" s="10"/>
      <c r="E643" s="10"/>
      <c r="F643" s="177"/>
      <c r="G643" s="180"/>
      <c r="H643" s="180"/>
      <c r="I643" s="10"/>
      <c r="J643" s="30"/>
      <c r="K643" s="200">
        <f t="shared" si="23"/>
        <v>0</v>
      </c>
    </row>
    <row r="644" spans="1:11" x14ac:dyDescent="0.2">
      <c r="A644" s="62"/>
      <c r="B644" s="62"/>
      <c r="C644" s="30"/>
      <c r="D644" s="10"/>
      <c r="E644" s="10"/>
      <c r="F644" s="177"/>
      <c r="G644" s="180"/>
      <c r="H644" s="180"/>
      <c r="I644" s="10"/>
      <c r="J644" s="30"/>
      <c r="K644" s="200">
        <f t="shared" si="23"/>
        <v>0</v>
      </c>
    </row>
    <row r="645" spans="1:11" x14ac:dyDescent="0.2">
      <c r="A645" s="62"/>
      <c r="B645" s="62"/>
      <c r="C645" s="30"/>
      <c r="D645" s="10"/>
      <c r="E645" s="10"/>
      <c r="F645" s="177"/>
      <c r="G645" s="180"/>
      <c r="H645" s="180"/>
      <c r="I645" s="10"/>
      <c r="J645" s="30"/>
      <c r="K645" s="200">
        <f t="shared" si="23"/>
        <v>0</v>
      </c>
    </row>
    <row r="646" spans="1:11" x14ac:dyDescent="0.2">
      <c r="A646" s="62"/>
      <c r="B646" s="62"/>
      <c r="C646" s="30"/>
      <c r="D646" s="10"/>
      <c r="E646" s="10"/>
      <c r="F646" s="177"/>
      <c r="G646" s="180"/>
      <c r="H646" s="180"/>
      <c r="I646" s="10"/>
      <c r="J646" s="30"/>
      <c r="K646" s="200">
        <f t="shared" si="23"/>
        <v>0</v>
      </c>
    </row>
    <row r="647" spans="1:11" x14ac:dyDescent="0.2">
      <c r="A647" s="62"/>
      <c r="B647" s="62"/>
      <c r="C647" s="30"/>
      <c r="D647" s="10"/>
      <c r="E647" s="10"/>
      <c r="F647" s="177"/>
      <c r="G647" s="180"/>
      <c r="H647" s="180"/>
      <c r="I647" s="10"/>
      <c r="J647" s="30"/>
      <c r="K647" s="200">
        <f t="shared" si="23"/>
        <v>0</v>
      </c>
    </row>
    <row r="648" spans="1:11" x14ac:dyDescent="0.2">
      <c r="A648" s="62"/>
      <c r="B648" s="62"/>
      <c r="C648" s="30"/>
      <c r="D648" s="10"/>
      <c r="E648" s="10"/>
      <c r="F648" s="177"/>
      <c r="G648" s="180"/>
      <c r="H648" s="180"/>
      <c r="I648" s="10"/>
      <c r="J648" s="30"/>
      <c r="K648" s="200">
        <f t="shared" si="23"/>
        <v>0</v>
      </c>
    </row>
    <row r="649" spans="1:11" ht="12" x14ac:dyDescent="0.2">
      <c r="A649" s="300" t="s">
        <v>3454</v>
      </c>
      <c r="B649" s="301"/>
      <c r="C649" s="301"/>
      <c r="D649" s="301"/>
      <c r="E649" s="301"/>
      <c r="F649" s="301"/>
      <c r="G649" s="302"/>
      <c r="H649" s="205">
        <f>SUM(H557:H648)</f>
        <v>0</v>
      </c>
      <c r="I649" s="303" t="s">
        <v>3454</v>
      </c>
      <c r="J649" s="303"/>
      <c r="K649" s="205">
        <f>SUM(K557:K648)</f>
        <v>0</v>
      </c>
    </row>
    <row r="650" spans="1:11" ht="12" x14ac:dyDescent="0.2">
      <c r="A650" s="300" t="s">
        <v>3455</v>
      </c>
      <c r="B650" s="301"/>
      <c r="C650" s="301"/>
      <c r="D650" s="301"/>
      <c r="E650" s="301"/>
      <c r="F650" s="301"/>
      <c r="G650" s="302"/>
      <c r="H650" s="205">
        <f>H542</f>
        <v>325000</v>
      </c>
      <c r="I650" s="303" t="s">
        <v>3455</v>
      </c>
      <c r="J650" s="303"/>
      <c r="K650" s="205">
        <f>K542</f>
        <v>325000</v>
      </c>
    </row>
    <row r="651" spans="1:11" ht="12.75" thickBot="1" x14ac:dyDescent="0.25">
      <c r="A651" s="304" t="s">
        <v>3456</v>
      </c>
      <c r="B651" s="305"/>
      <c r="C651" s="305"/>
      <c r="D651" s="305"/>
      <c r="E651" s="305"/>
      <c r="F651" s="305"/>
      <c r="G651" s="306"/>
      <c r="H651" s="206">
        <f>SUM(H649:H650)</f>
        <v>325000</v>
      </c>
      <c r="I651" s="307" t="s">
        <v>3456</v>
      </c>
      <c r="J651" s="307"/>
      <c r="K651" s="206">
        <f>SUM(K649:K650)</f>
        <v>325000</v>
      </c>
    </row>
    <row r="652" spans="1:11" x14ac:dyDescent="0.2">
      <c r="A652" s="181"/>
      <c r="B652" s="181"/>
      <c r="C652" s="181"/>
      <c r="D652" s="181"/>
      <c r="E652" s="181"/>
      <c r="F652" s="181"/>
      <c r="G652" s="181"/>
      <c r="H652" s="203"/>
      <c r="I652" s="203"/>
      <c r="J652" s="203"/>
      <c r="K652" s="203"/>
    </row>
    <row r="653" spans="1:11" ht="12" x14ac:dyDescent="0.2">
      <c r="G653" s="183" t="s">
        <v>3459</v>
      </c>
      <c r="H653" s="188">
        <f>26115000+22753978+92126909+398936500+11735500+7399101+6160000+5740000+300000+500000+4438661+2696516+552000+443171015+550000</f>
        <v>1023175180</v>
      </c>
      <c r="I653" s="209"/>
    </row>
    <row r="654" spans="1:11" ht="12" x14ac:dyDescent="0.2">
      <c r="G654" s="183"/>
      <c r="H654" s="188">
        <f>H649-H653</f>
        <v>-1023175180</v>
      </c>
      <c r="I654" s="299" t="s">
        <v>3450</v>
      </c>
      <c r="J654" s="299"/>
      <c r="K654" s="299"/>
    </row>
    <row r="655" spans="1:11" ht="12" x14ac:dyDescent="0.2">
      <c r="G655" s="183"/>
      <c r="H655" s="188"/>
      <c r="I655" s="299" t="s">
        <v>3564</v>
      </c>
      <c r="J655" s="299"/>
      <c r="K655" s="299"/>
    </row>
    <row r="656" spans="1:11" ht="12" x14ac:dyDescent="0.2">
      <c r="G656" s="183"/>
      <c r="H656" s="188"/>
      <c r="I656" s="299"/>
      <c r="J656" s="299"/>
      <c r="K656" s="299"/>
    </row>
    <row r="657" spans="1:11" ht="12" x14ac:dyDescent="0.2">
      <c r="G657" s="183"/>
      <c r="H657" s="188"/>
      <c r="I657" s="299"/>
      <c r="J657" s="299"/>
      <c r="K657" s="299"/>
    </row>
    <row r="658" spans="1:11" ht="12" x14ac:dyDescent="0.2">
      <c r="G658" s="183"/>
      <c r="H658" s="188"/>
      <c r="I658" s="299" t="s">
        <v>3451</v>
      </c>
      <c r="J658" s="299"/>
      <c r="K658" s="299"/>
    </row>
    <row r="659" spans="1:11" x14ac:dyDescent="0.2">
      <c r="A659" s="215"/>
      <c r="B659" s="215"/>
      <c r="F659" s="189"/>
      <c r="G659" s="160"/>
      <c r="H659" s="160"/>
      <c r="K659" s="182"/>
    </row>
    <row r="660" spans="1:11" x14ac:dyDescent="0.2">
      <c r="A660" s="215"/>
      <c r="B660" s="215"/>
      <c r="F660" s="189"/>
      <c r="H660" s="160"/>
      <c r="K660" s="182"/>
    </row>
    <row r="661" spans="1:11" x14ac:dyDescent="0.2">
      <c r="A661" s="215"/>
      <c r="B661" s="215"/>
      <c r="F661" s="189"/>
      <c r="G661" s="160"/>
      <c r="H661" s="160"/>
      <c r="K661" s="182"/>
    </row>
    <row r="662" spans="1:11" x14ac:dyDescent="0.2">
      <c r="A662" s="215"/>
      <c r="B662" s="215"/>
      <c r="F662" s="189"/>
      <c r="G662" s="160"/>
      <c r="H662" s="160"/>
      <c r="K662" s="182"/>
    </row>
    <row r="663" spans="1:11" x14ac:dyDescent="0.2">
      <c r="A663" s="215"/>
      <c r="B663" s="215"/>
      <c r="F663" s="189"/>
      <c r="G663" s="160"/>
      <c r="H663" s="160"/>
      <c r="K663" s="182"/>
    </row>
    <row r="664" spans="1:11" x14ac:dyDescent="0.2">
      <c r="A664" s="215"/>
      <c r="B664" s="215"/>
      <c r="F664" s="189"/>
      <c r="G664" s="160"/>
      <c r="H664" s="160"/>
      <c r="K664" s="182"/>
    </row>
    <row r="665" spans="1:11" x14ac:dyDescent="0.2">
      <c r="A665" s="215"/>
      <c r="B665" s="215"/>
      <c r="F665" s="189"/>
      <c r="G665" s="160"/>
      <c r="H665" s="160"/>
      <c r="K665" s="182"/>
    </row>
    <row r="666" spans="1:11" x14ac:dyDescent="0.2">
      <c r="A666" s="215"/>
      <c r="B666" s="215"/>
      <c r="F666" s="189"/>
      <c r="G666" s="160"/>
      <c r="H666" s="160"/>
      <c r="K666" s="182"/>
    </row>
    <row r="667" spans="1:11" x14ac:dyDescent="0.2">
      <c r="A667" s="215"/>
      <c r="B667" s="215"/>
      <c r="F667" s="189"/>
      <c r="G667" s="160"/>
      <c r="H667" s="160"/>
      <c r="K667" s="182"/>
    </row>
    <row r="668" spans="1:11" x14ac:dyDescent="0.2">
      <c r="A668" s="215"/>
      <c r="B668" s="215"/>
      <c r="F668" s="189"/>
      <c r="G668" s="160"/>
      <c r="H668" s="160"/>
      <c r="K668" s="182"/>
    </row>
    <row r="669" spans="1:11" x14ac:dyDescent="0.2">
      <c r="A669" s="215"/>
      <c r="B669" s="215"/>
      <c r="F669" s="189"/>
      <c r="G669" s="160"/>
      <c r="H669" s="160"/>
      <c r="K669" s="182"/>
    </row>
    <row r="670" spans="1:11" x14ac:dyDescent="0.2">
      <c r="A670" s="215"/>
      <c r="B670" s="215"/>
      <c r="F670" s="189"/>
      <c r="G670" s="160"/>
      <c r="H670" s="160"/>
      <c r="K670" s="182"/>
    </row>
    <row r="671" spans="1:11" x14ac:dyDescent="0.2">
      <c r="A671" s="215"/>
      <c r="B671" s="215"/>
      <c r="F671" s="189"/>
      <c r="G671" s="160"/>
      <c r="H671" s="160"/>
      <c r="K671" s="182"/>
    </row>
    <row r="672" spans="1:11" x14ac:dyDescent="0.2">
      <c r="A672" s="215"/>
      <c r="B672" s="215"/>
      <c r="F672" s="189"/>
      <c r="G672" s="160"/>
      <c r="H672" s="160"/>
      <c r="K672" s="182"/>
    </row>
    <row r="673" spans="1:11" x14ac:dyDescent="0.2">
      <c r="A673" s="215"/>
      <c r="B673" s="215"/>
      <c r="F673" s="189"/>
      <c r="G673" s="160"/>
      <c r="H673" s="160"/>
      <c r="K673" s="182"/>
    </row>
    <row r="674" spans="1:11" x14ac:dyDescent="0.2">
      <c r="A674" s="215"/>
      <c r="B674" s="215"/>
      <c r="F674" s="189"/>
      <c r="G674" s="160"/>
      <c r="H674" s="160"/>
      <c r="K674" s="182"/>
    </row>
    <row r="675" spans="1:11" x14ac:dyDescent="0.2">
      <c r="A675" s="215"/>
      <c r="B675" s="215"/>
      <c r="F675" s="189"/>
      <c r="G675" s="216"/>
      <c r="H675" s="160"/>
      <c r="K675" s="182"/>
    </row>
    <row r="676" spans="1:11" ht="12" x14ac:dyDescent="0.2">
      <c r="A676" s="321"/>
      <c r="B676" s="321"/>
      <c r="C676" s="321"/>
      <c r="D676" s="321"/>
      <c r="E676" s="321"/>
      <c r="F676" s="321"/>
      <c r="G676" s="321"/>
      <c r="H676" s="211"/>
      <c r="I676" s="322"/>
      <c r="J676" s="322"/>
      <c r="K676" s="211"/>
    </row>
    <row r="677" spans="1:11" ht="12" x14ac:dyDescent="0.2">
      <c r="A677" s="321"/>
      <c r="B677" s="321"/>
      <c r="C677" s="321"/>
      <c r="D677" s="321"/>
      <c r="E677" s="321"/>
      <c r="F677" s="321"/>
      <c r="G677" s="321"/>
      <c r="H677" s="211"/>
      <c r="I677" s="322"/>
      <c r="J677" s="322"/>
      <c r="K677" s="211"/>
    </row>
    <row r="678" spans="1:11" ht="12" x14ac:dyDescent="0.2">
      <c r="A678" s="321"/>
      <c r="B678" s="321"/>
      <c r="C678" s="321"/>
      <c r="D678" s="321"/>
      <c r="E678" s="321"/>
      <c r="F678" s="321"/>
      <c r="G678" s="321"/>
      <c r="H678" s="211"/>
      <c r="I678" s="322"/>
      <c r="J678" s="322"/>
      <c r="K678" s="211"/>
    </row>
    <row r="679" spans="1:11" x14ac:dyDescent="0.2">
      <c r="A679" s="181"/>
      <c r="B679" s="181"/>
      <c r="C679" s="181"/>
      <c r="D679" s="181"/>
      <c r="E679" s="181"/>
      <c r="F679" s="181"/>
      <c r="G679" s="181"/>
      <c r="H679" s="203"/>
      <c r="I679" s="203"/>
      <c r="J679" s="203"/>
      <c r="K679" s="203"/>
    </row>
    <row r="680" spans="1:11" ht="12" x14ac:dyDescent="0.2">
      <c r="G680" s="183"/>
      <c r="H680" s="160"/>
      <c r="I680" s="209"/>
    </row>
    <row r="681" spans="1:11" ht="12" x14ac:dyDescent="0.2">
      <c r="G681" s="183"/>
      <c r="H681" s="160"/>
      <c r="I681" s="209"/>
      <c r="K681" s="160"/>
    </row>
    <row r="682" spans="1:11" ht="12" x14ac:dyDescent="0.2">
      <c r="G682" s="183"/>
      <c r="H682" s="160"/>
      <c r="I682" s="209"/>
    </row>
    <row r="683" spans="1:11" ht="12.75" x14ac:dyDescent="0.2">
      <c r="A683" s="1"/>
      <c r="B683" s="192"/>
      <c r="C683" s="128"/>
      <c r="D683" s="192"/>
      <c r="E683" s="192"/>
      <c r="F683" s="192"/>
      <c r="G683" s="128"/>
      <c r="H683" s="128"/>
      <c r="I683" s="192"/>
      <c r="J683" s="128"/>
      <c r="K683" s="128"/>
    </row>
    <row r="684" spans="1:11" ht="12.75" x14ac:dyDescent="0.2">
      <c r="A684" s="199"/>
      <c r="B684" s="192"/>
      <c r="C684" s="128"/>
      <c r="D684" s="192"/>
      <c r="E684" s="192"/>
      <c r="F684" s="192"/>
      <c r="G684" s="128"/>
      <c r="H684" s="128"/>
      <c r="I684" s="192"/>
      <c r="J684" s="128"/>
      <c r="K684" s="128"/>
    </row>
    <row r="685" spans="1:11" ht="12.75" x14ac:dyDescent="0.2">
      <c r="A685" s="199"/>
      <c r="B685" s="192"/>
      <c r="C685" s="128"/>
      <c r="D685" s="192"/>
      <c r="E685" s="192"/>
      <c r="F685" s="192"/>
      <c r="G685" s="128"/>
      <c r="H685" s="128"/>
      <c r="I685" s="192"/>
      <c r="J685" s="128"/>
      <c r="K685" s="128"/>
    </row>
    <row r="686" spans="1:11" ht="12.75" x14ac:dyDescent="0.2">
      <c r="A686" s="199"/>
      <c r="B686" s="192"/>
      <c r="C686" s="128"/>
      <c r="D686" s="192"/>
      <c r="E686" s="192"/>
      <c r="F686" s="192"/>
      <c r="G686" s="128"/>
      <c r="H686" s="128"/>
      <c r="I686" s="192"/>
      <c r="J686" s="128"/>
      <c r="K686" s="128"/>
    </row>
    <row r="687" spans="1:11" ht="12.75" x14ac:dyDescent="0.2">
      <c r="A687" s="199"/>
      <c r="B687" s="192"/>
      <c r="C687" s="128"/>
      <c r="D687" s="192"/>
      <c r="E687" s="192"/>
      <c r="F687" s="192"/>
      <c r="G687" s="128"/>
      <c r="H687" s="128"/>
      <c r="I687" s="192"/>
      <c r="J687" s="128"/>
      <c r="K687" s="128"/>
    </row>
    <row r="688" spans="1:11" ht="12.75" x14ac:dyDescent="0.2">
      <c r="A688" s="199"/>
      <c r="B688" s="192"/>
      <c r="C688" s="128"/>
      <c r="D688" s="192"/>
      <c r="E688" s="192"/>
      <c r="F688" s="192"/>
      <c r="G688" s="128"/>
      <c r="H688" s="128"/>
      <c r="I688" s="192"/>
      <c r="J688" s="128"/>
      <c r="K688" s="128"/>
    </row>
    <row r="689" spans="1:12" ht="12.75" x14ac:dyDescent="0.2">
      <c r="A689" s="199"/>
      <c r="B689" s="192"/>
      <c r="C689" s="128"/>
      <c r="D689" s="192"/>
      <c r="E689" s="192"/>
      <c r="F689" s="192"/>
      <c r="G689" s="128"/>
      <c r="H689" s="128"/>
      <c r="I689" s="192"/>
      <c r="J689" s="128"/>
      <c r="K689" s="128"/>
    </row>
    <row r="690" spans="1:12" ht="12.75" x14ac:dyDescent="0.2">
      <c r="A690" s="199"/>
      <c r="B690" s="192"/>
      <c r="C690" s="128"/>
      <c r="D690" s="192"/>
      <c r="E690" s="192"/>
      <c r="F690" s="192"/>
      <c r="G690" s="128"/>
      <c r="H690" s="128"/>
      <c r="I690" s="192"/>
      <c r="J690" s="128"/>
      <c r="K690" s="128"/>
    </row>
    <row r="691" spans="1:12" ht="12.75" x14ac:dyDescent="0.2">
      <c r="A691" s="199"/>
      <c r="B691" s="192"/>
      <c r="C691" s="128"/>
      <c r="D691" s="192"/>
      <c r="E691" s="192"/>
      <c r="F691" s="192"/>
      <c r="G691" s="128"/>
      <c r="H691" s="128"/>
      <c r="I691" s="192"/>
      <c r="J691" s="128"/>
      <c r="K691" s="128"/>
    </row>
    <row r="692" spans="1:12" ht="12.75" x14ac:dyDescent="0.2">
      <c r="A692" s="199"/>
      <c r="B692" s="192"/>
      <c r="C692" s="128"/>
      <c r="D692" s="192"/>
      <c r="E692" s="192"/>
      <c r="F692" s="192"/>
      <c r="G692" s="128"/>
      <c r="H692" s="128"/>
      <c r="I692" s="192"/>
      <c r="J692" s="128"/>
      <c r="K692" s="128"/>
    </row>
    <row r="693" spans="1:12" ht="12.75" x14ac:dyDescent="0.2">
      <c r="A693" s="313"/>
      <c r="B693" s="313"/>
      <c r="C693" s="313"/>
      <c r="D693" s="313"/>
      <c r="E693" s="313"/>
      <c r="F693" s="313"/>
      <c r="G693" s="313"/>
      <c r="H693" s="313"/>
      <c r="I693" s="313"/>
      <c r="J693" s="313"/>
      <c r="K693" s="313"/>
    </row>
    <row r="694" spans="1:12" ht="12.75" x14ac:dyDescent="0.2">
      <c r="A694" s="313"/>
      <c r="B694" s="313"/>
      <c r="C694" s="313"/>
      <c r="D694" s="313"/>
      <c r="E694" s="313"/>
      <c r="F694" s="313"/>
      <c r="G694" s="313"/>
      <c r="H694" s="313"/>
      <c r="I694" s="313"/>
      <c r="J694" s="313"/>
      <c r="K694" s="313"/>
    </row>
    <row r="695" spans="1:12" x14ac:dyDescent="0.2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</row>
    <row r="696" spans="1:12" x14ac:dyDescent="0.2">
      <c r="A696" s="286"/>
      <c r="B696" s="286"/>
      <c r="C696" s="314"/>
      <c r="D696" s="286"/>
      <c r="E696" s="286"/>
      <c r="F696" s="315"/>
      <c r="G696" s="315"/>
      <c r="H696" s="315"/>
      <c r="I696" s="315"/>
      <c r="J696" s="315"/>
      <c r="K696" s="315"/>
    </row>
    <row r="697" spans="1:12" x14ac:dyDescent="0.2">
      <c r="A697" s="314"/>
      <c r="B697" s="314"/>
      <c r="C697" s="314"/>
      <c r="D697" s="315"/>
      <c r="E697" s="315"/>
      <c r="F697" s="315"/>
      <c r="G697" s="315"/>
      <c r="H697" s="315"/>
      <c r="I697" s="315"/>
      <c r="J697" s="315"/>
      <c r="K697" s="315"/>
    </row>
    <row r="698" spans="1:12" x14ac:dyDescent="0.2">
      <c r="A698" s="314"/>
      <c r="B698" s="314"/>
      <c r="C698" s="314"/>
      <c r="D698" s="315"/>
      <c r="E698" s="315"/>
      <c r="F698" s="315"/>
      <c r="G698" s="315"/>
      <c r="H698" s="315"/>
      <c r="I698" s="315"/>
      <c r="J698" s="315"/>
      <c r="K698" s="315"/>
    </row>
    <row r="699" spans="1:12" ht="12.75" x14ac:dyDescent="0.2">
      <c r="A699" s="199" t="s">
        <v>3550</v>
      </c>
      <c r="B699" s="192"/>
      <c r="C699" s="128"/>
      <c r="D699" s="192"/>
      <c r="E699" s="192"/>
      <c r="F699" s="192"/>
      <c r="G699" s="128"/>
      <c r="H699" s="128"/>
      <c r="I699" s="192"/>
      <c r="J699" s="128"/>
      <c r="K699" s="128"/>
      <c r="L699" s="210"/>
    </row>
    <row r="700" spans="1:12" ht="12.75" x14ac:dyDescent="0.2">
      <c r="A700" s="199" t="s">
        <v>3551</v>
      </c>
      <c r="B700" s="192"/>
      <c r="C700" s="128"/>
      <c r="D700" s="192"/>
      <c r="E700" s="192"/>
      <c r="F700" s="192"/>
      <c r="G700" s="128"/>
      <c r="H700" s="128"/>
      <c r="I700" s="192"/>
      <c r="J700" s="128"/>
      <c r="K700" s="128"/>
    </row>
    <row r="701" spans="1:12" ht="12.75" x14ac:dyDescent="0.2">
      <c r="A701" s="313" t="s">
        <v>3259</v>
      </c>
      <c r="B701" s="313"/>
      <c r="C701" s="313"/>
      <c r="D701" s="313"/>
      <c r="E701" s="313"/>
      <c r="F701" s="313"/>
      <c r="G701" s="313"/>
      <c r="H701" s="313"/>
      <c r="I701" s="313"/>
      <c r="J701" s="313"/>
      <c r="K701" s="313"/>
    </row>
    <row r="702" spans="1:12" ht="12.75" x14ac:dyDescent="0.2">
      <c r="A702" s="313" t="s">
        <v>3462</v>
      </c>
      <c r="B702" s="313"/>
      <c r="C702" s="313"/>
      <c r="D702" s="313"/>
      <c r="E702" s="313"/>
      <c r="F702" s="313"/>
      <c r="G702" s="313"/>
      <c r="H702" s="313"/>
      <c r="I702" s="313"/>
      <c r="J702" s="313"/>
      <c r="K702" s="313"/>
    </row>
    <row r="703" spans="1:12" x14ac:dyDescent="0.2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</row>
    <row r="704" spans="1:12" x14ac:dyDescent="0.2">
      <c r="A704" s="287" t="s">
        <v>3260</v>
      </c>
      <c r="B704" s="288"/>
      <c r="C704" s="289" t="s">
        <v>8</v>
      </c>
      <c r="D704" s="287" t="s">
        <v>3261</v>
      </c>
      <c r="E704" s="288"/>
      <c r="F704" s="308" t="s">
        <v>76</v>
      </c>
      <c r="G704" s="309"/>
      <c r="H704" s="310"/>
      <c r="I704" s="308" t="s">
        <v>5</v>
      </c>
      <c r="J704" s="309"/>
      <c r="K704" s="310"/>
    </row>
    <row r="705" spans="1:11" x14ac:dyDescent="0.2">
      <c r="A705" s="289" t="s">
        <v>7</v>
      </c>
      <c r="B705" s="289" t="s">
        <v>16</v>
      </c>
      <c r="C705" s="290"/>
      <c r="D705" s="292" t="s">
        <v>7</v>
      </c>
      <c r="E705" s="292" t="s">
        <v>3262</v>
      </c>
      <c r="F705" s="292" t="s">
        <v>3252</v>
      </c>
      <c r="G705" s="292" t="s">
        <v>3251</v>
      </c>
      <c r="H705" s="292" t="s">
        <v>3452</v>
      </c>
      <c r="I705" s="292" t="s">
        <v>3252</v>
      </c>
      <c r="J705" s="292" t="s">
        <v>3251</v>
      </c>
      <c r="K705" s="292" t="s">
        <v>3452</v>
      </c>
    </row>
    <row r="706" spans="1:11" x14ac:dyDescent="0.2">
      <c r="A706" s="291"/>
      <c r="B706" s="291"/>
      <c r="C706" s="291"/>
      <c r="D706" s="294"/>
      <c r="E706" s="294"/>
      <c r="F706" s="294"/>
      <c r="G706" s="294"/>
      <c r="H706" s="294"/>
      <c r="I706" s="294"/>
      <c r="J706" s="294"/>
      <c r="K706" s="294"/>
    </row>
    <row r="707" spans="1:11" x14ac:dyDescent="0.2">
      <c r="A707" s="176"/>
      <c r="B707" s="176"/>
      <c r="C707" s="190"/>
      <c r="D707" s="10"/>
      <c r="E707" s="6"/>
      <c r="F707" s="178"/>
      <c r="G707" s="185"/>
      <c r="H707" s="179"/>
      <c r="I707" s="10"/>
      <c r="J707" s="30"/>
      <c r="K707" s="200">
        <f>H707</f>
        <v>0</v>
      </c>
    </row>
    <row r="708" spans="1:11" x14ac:dyDescent="0.2">
      <c r="A708" s="62"/>
      <c r="B708" s="62"/>
      <c r="C708" s="186"/>
      <c r="D708" s="10"/>
      <c r="E708" s="10"/>
      <c r="F708" s="177"/>
      <c r="G708" s="184"/>
      <c r="H708" s="180"/>
      <c r="I708" s="10"/>
      <c r="J708" s="30"/>
      <c r="K708" s="200">
        <f>H708</f>
        <v>0</v>
      </c>
    </row>
    <row r="709" spans="1:11" x14ac:dyDescent="0.2">
      <c r="A709" s="62"/>
      <c r="B709" s="62"/>
      <c r="C709" s="186"/>
      <c r="D709" s="10"/>
      <c r="E709" s="10"/>
      <c r="F709" s="177"/>
      <c r="G709" s="184"/>
      <c r="H709" s="180"/>
      <c r="I709" s="10"/>
      <c r="J709" s="30"/>
      <c r="K709" s="200">
        <f t="shared" ref="K709:K774" si="24">H709</f>
        <v>0</v>
      </c>
    </row>
    <row r="710" spans="1:11" x14ac:dyDescent="0.2">
      <c r="A710" s="62"/>
      <c r="B710" s="62"/>
      <c r="C710" s="186"/>
      <c r="D710" s="10"/>
      <c r="E710" s="10"/>
      <c r="F710" s="177"/>
      <c r="G710" s="184"/>
      <c r="H710" s="180"/>
      <c r="I710" s="10"/>
      <c r="J710" s="30"/>
      <c r="K710" s="200">
        <f t="shared" si="24"/>
        <v>0</v>
      </c>
    </row>
    <row r="711" spans="1:11" x14ac:dyDescent="0.2">
      <c r="A711" s="62"/>
      <c r="B711" s="62"/>
      <c r="C711" s="186"/>
      <c r="D711" s="10"/>
      <c r="E711" s="10"/>
      <c r="F711" s="177"/>
      <c r="G711" s="184"/>
      <c r="H711" s="180"/>
      <c r="I711" s="10"/>
      <c r="J711" s="30"/>
      <c r="K711" s="200">
        <f t="shared" si="24"/>
        <v>0</v>
      </c>
    </row>
    <row r="712" spans="1:11" x14ac:dyDescent="0.2">
      <c r="A712" s="62"/>
      <c r="B712" s="62"/>
      <c r="C712" s="186"/>
      <c r="D712" s="10"/>
      <c r="E712" s="10"/>
      <c r="F712" s="177"/>
      <c r="G712" s="184"/>
      <c r="H712" s="180"/>
      <c r="I712" s="10"/>
      <c r="J712" s="30"/>
      <c r="K712" s="200">
        <f t="shared" si="24"/>
        <v>0</v>
      </c>
    </row>
    <row r="713" spans="1:11" x14ac:dyDescent="0.2">
      <c r="A713" s="62"/>
      <c r="B713" s="62"/>
      <c r="C713" s="186"/>
      <c r="D713" s="10"/>
      <c r="E713" s="10"/>
      <c r="F713" s="177"/>
      <c r="G713" s="184"/>
      <c r="H713" s="180"/>
      <c r="I713" s="10"/>
      <c r="J713" s="30"/>
      <c r="K713" s="200">
        <f t="shared" si="24"/>
        <v>0</v>
      </c>
    </row>
    <row r="714" spans="1:11" x14ac:dyDescent="0.2">
      <c r="A714" s="62"/>
      <c r="B714" s="62"/>
      <c r="C714" s="186"/>
      <c r="D714" s="10"/>
      <c r="E714" s="10"/>
      <c r="F714" s="177"/>
      <c r="G714" s="184"/>
      <c r="H714" s="180"/>
      <c r="I714" s="10"/>
      <c r="J714" s="30"/>
      <c r="K714" s="200">
        <f t="shared" si="24"/>
        <v>0</v>
      </c>
    </row>
    <row r="715" spans="1:11" x14ac:dyDescent="0.2">
      <c r="A715" s="62"/>
      <c r="B715" s="62"/>
      <c r="C715" s="186"/>
      <c r="D715" s="10"/>
      <c r="E715" s="10"/>
      <c r="F715" s="177"/>
      <c r="G715" s="184"/>
      <c r="H715" s="180"/>
      <c r="I715" s="10"/>
      <c r="J715" s="30"/>
      <c r="K715" s="200">
        <f t="shared" si="24"/>
        <v>0</v>
      </c>
    </row>
    <row r="716" spans="1:11" x14ac:dyDescent="0.2">
      <c r="A716" s="62"/>
      <c r="B716" s="62"/>
      <c r="C716" s="186"/>
      <c r="D716" s="10"/>
      <c r="E716" s="10"/>
      <c r="F716" s="177"/>
      <c r="G716" s="184"/>
      <c r="H716" s="180"/>
      <c r="I716" s="10"/>
      <c r="J716" s="30"/>
      <c r="K716" s="200">
        <f t="shared" si="24"/>
        <v>0</v>
      </c>
    </row>
    <row r="717" spans="1:11" x14ac:dyDescent="0.2">
      <c r="A717" s="62"/>
      <c r="B717" s="62"/>
      <c r="C717" s="186"/>
      <c r="D717" s="10"/>
      <c r="E717" s="10"/>
      <c r="F717" s="177"/>
      <c r="G717" s="184"/>
      <c r="H717" s="180"/>
      <c r="I717" s="10"/>
      <c r="J717" s="30"/>
      <c r="K717" s="200">
        <f t="shared" si="24"/>
        <v>0</v>
      </c>
    </row>
    <row r="718" spans="1:11" x14ac:dyDescent="0.2">
      <c r="A718" s="62"/>
      <c r="B718" s="62"/>
      <c r="C718" s="186"/>
      <c r="D718" s="10"/>
      <c r="E718" s="10"/>
      <c r="F718" s="177"/>
      <c r="G718" s="184"/>
      <c r="H718" s="180"/>
      <c r="I718" s="10"/>
      <c r="J718" s="30"/>
      <c r="K718" s="200">
        <f t="shared" si="24"/>
        <v>0</v>
      </c>
    </row>
    <row r="719" spans="1:11" x14ac:dyDescent="0.2">
      <c r="A719" s="62"/>
      <c r="B719" s="62"/>
      <c r="C719" s="186"/>
      <c r="D719" s="10"/>
      <c r="E719" s="10"/>
      <c r="F719" s="177"/>
      <c r="G719" s="184"/>
      <c r="H719" s="180"/>
      <c r="I719" s="10"/>
      <c r="J719" s="30"/>
      <c r="K719" s="200">
        <f t="shared" si="24"/>
        <v>0</v>
      </c>
    </row>
    <row r="720" spans="1:11" x14ac:dyDescent="0.2">
      <c r="A720" s="62"/>
      <c r="B720" s="62"/>
      <c r="C720" s="186"/>
      <c r="D720" s="10"/>
      <c r="E720" s="10"/>
      <c r="F720" s="177"/>
      <c r="G720" s="184"/>
      <c r="H720" s="180"/>
      <c r="I720" s="10"/>
      <c r="J720" s="30"/>
      <c r="K720" s="200">
        <f t="shared" si="24"/>
        <v>0</v>
      </c>
    </row>
    <row r="721" spans="1:12" x14ac:dyDescent="0.2">
      <c r="A721" s="62"/>
      <c r="B721" s="62"/>
      <c r="C721" s="186"/>
      <c r="D721" s="10"/>
      <c r="E721" s="10"/>
      <c r="F721" s="177"/>
      <c r="G721" s="184"/>
      <c r="H721" s="180"/>
      <c r="I721" s="10"/>
      <c r="J721" s="30"/>
      <c r="K721" s="200">
        <f t="shared" si="24"/>
        <v>0</v>
      </c>
    </row>
    <row r="722" spans="1:12" x14ac:dyDescent="0.2">
      <c r="A722" s="62"/>
      <c r="B722" s="62"/>
      <c r="C722" s="186"/>
      <c r="D722" s="10"/>
      <c r="E722" s="10"/>
      <c r="F722" s="177"/>
      <c r="G722" s="184"/>
      <c r="H722" s="180"/>
      <c r="I722" s="10"/>
      <c r="J722" s="30"/>
      <c r="K722" s="200">
        <f t="shared" si="24"/>
        <v>0</v>
      </c>
    </row>
    <row r="723" spans="1:12" x14ac:dyDescent="0.2">
      <c r="A723" s="62"/>
      <c r="B723" s="62"/>
      <c r="C723" s="186"/>
      <c r="D723" s="10"/>
      <c r="E723" s="10"/>
      <c r="F723" s="177"/>
      <c r="G723" s="184"/>
      <c r="H723" s="180"/>
      <c r="I723" s="10"/>
      <c r="J723" s="30"/>
      <c r="K723" s="200">
        <f t="shared" si="24"/>
        <v>0</v>
      </c>
    </row>
    <row r="724" spans="1:12" x14ac:dyDescent="0.2">
      <c r="A724" s="62"/>
      <c r="B724" s="62"/>
      <c r="C724" s="186"/>
      <c r="D724" s="10"/>
      <c r="E724" s="10"/>
      <c r="F724" s="177"/>
      <c r="G724" s="184"/>
      <c r="H724" s="180"/>
      <c r="I724" s="10"/>
      <c r="J724" s="30"/>
      <c r="K724" s="200">
        <f t="shared" si="24"/>
        <v>0</v>
      </c>
    </row>
    <row r="725" spans="1:12" x14ac:dyDescent="0.2">
      <c r="A725" s="62"/>
      <c r="B725" s="62"/>
      <c r="C725" s="186"/>
      <c r="D725" s="10"/>
      <c r="E725" s="10"/>
      <c r="F725" s="177"/>
      <c r="G725" s="184"/>
      <c r="H725" s="180"/>
      <c r="I725" s="10"/>
      <c r="J725" s="30"/>
      <c r="K725" s="200">
        <f t="shared" si="24"/>
        <v>0</v>
      </c>
    </row>
    <row r="726" spans="1:12" x14ac:dyDescent="0.2">
      <c r="A726" s="62"/>
      <c r="B726" s="62"/>
      <c r="C726" s="186"/>
      <c r="D726" s="10"/>
      <c r="E726" s="10"/>
      <c r="F726" s="177"/>
      <c r="G726" s="184"/>
      <c r="H726" s="180"/>
      <c r="I726" s="10"/>
      <c r="J726" s="30"/>
      <c r="K726" s="200">
        <f t="shared" si="24"/>
        <v>0</v>
      </c>
    </row>
    <row r="727" spans="1:12" x14ac:dyDescent="0.2">
      <c r="A727" s="62"/>
      <c r="B727" s="62"/>
      <c r="C727" s="186"/>
      <c r="D727" s="10"/>
      <c r="E727" s="10"/>
      <c r="F727" s="177"/>
      <c r="G727" s="184"/>
      <c r="H727" s="180"/>
      <c r="I727" s="10"/>
      <c r="J727" s="30"/>
      <c r="K727" s="200">
        <f t="shared" si="24"/>
        <v>0</v>
      </c>
    </row>
    <row r="728" spans="1:12" x14ac:dyDescent="0.2">
      <c r="A728" s="62"/>
      <c r="B728" s="62"/>
      <c r="C728" s="186"/>
      <c r="D728" s="10"/>
      <c r="E728" s="10"/>
      <c r="F728" s="177"/>
      <c r="G728" s="184"/>
      <c r="H728" s="180"/>
      <c r="I728" s="10"/>
      <c r="J728" s="30"/>
      <c r="K728" s="200">
        <f t="shared" si="24"/>
        <v>0</v>
      </c>
    </row>
    <row r="729" spans="1:12" x14ac:dyDescent="0.2">
      <c r="A729" s="62"/>
      <c r="B729" s="62"/>
      <c r="C729" s="186"/>
      <c r="D729" s="10"/>
      <c r="E729" s="10"/>
      <c r="F729" s="177"/>
      <c r="G729" s="184"/>
      <c r="H729" s="180"/>
      <c r="I729" s="10"/>
      <c r="J729" s="30"/>
      <c r="K729" s="200">
        <f t="shared" si="24"/>
        <v>0</v>
      </c>
    </row>
    <row r="730" spans="1:12" x14ac:dyDescent="0.2">
      <c r="A730" s="62"/>
      <c r="B730" s="62"/>
      <c r="C730" s="186"/>
      <c r="D730" s="10"/>
      <c r="E730" s="10"/>
      <c r="F730" s="177"/>
      <c r="G730" s="184"/>
      <c r="H730" s="180"/>
      <c r="I730" s="10"/>
      <c r="J730" s="30"/>
      <c r="K730" s="200">
        <f t="shared" si="24"/>
        <v>0</v>
      </c>
    </row>
    <row r="731" spans="1:12" x14ac:dyDescent="0.2">
      <c r="A731" s="62"/>
      <c r="B731" s="62"/>
      <c r="C731" s="186"/>
      <c r="D731" s="10"/>
      <c r="E731" s="10"/>
      <c r="F731" s="177"/>
      <c r="G731" s="184"/>
      <c r="H731" s="180"/>
      <c r="I731" s="10"/>
      <c r="J731" s="30"/>
      <c r="K731" s="200">
        <f t="shared" si="24"/>
        <v>0</v>
      </c>
    </row>
    <row r="732" spans="1:12" x14ac:dyDescent="0.2">
      <c r="A732" s="62"/>
      <c r="B732" s="62"/>
      <c r="C732" s="186"/>
      <c r="D732" s="10"/>
      <c r="E732" s="10"/>
      <c r="F732" s="177"/>
      <c r="G732" s="184"/>
      <c r="H732" s="180"/>
      <c r="I732" s="10"/>
      <c r="J732" s="30"/>
      <c r="K732" s="200">
        <f t="shared" si="24"/>
        <v>0</v>
      </c>
    </row>
    <row r="733" spans="1:12" x14ac:dyDescent="0.2">
      <c r="A733" s="62"/>
      <c r="B733" s="62"/>
      <c r="C733" s="186"/>
      <c r="D733" s="10"/>
      <c r="E733" s="10"/>
      <c r="F733" s="177"/>
      <c r="G733" s="184"/>
      <c r="H733" s="180"/>
      <c r="I733" s="10"/>
      <c r="J733" s="30"/>
      <c r="K733" s="200">
        <f t="shared" si="24"/>
        <v>0</v>
      </c>
      <c r="L733" s="182">
        <f>SUM(K733:K736)</f>
        <v>0</v>
      </c>
    </row>
    <row r="734" spans="1:12" x14ac:dyDescent="0.2">
      <c r="A734" s="62"/>
      <c r="B734" s="62"/>
      <c r="C734" s="186"/>
      <c r="D734" s="10"/>
      <c r="E734" s="10"/>
      <c r="F734" s="177"/>
      <c r="G734" s="184"/>
      <c r="H734" s="180"/>
      <c r="I734" s="10"/>
      <c r="J734" s="30"/>
      <c r="K734" s="200">
        <f t="shared" si="24"/>
        <v>0</v>
      </c>
    </row>
    <row r="735" spans="1:12" x14ac:dyDescent="0.2">
      <c r="A735" s="62"/>
      <c r="B735" s="62"/>
      <c r="C735" s="186"/>
      <c r="D735" s="10"/>
      <c r="E735" s="10"/>
      <c r="F735" s="177"/>
      <c r="G735" s="184"/>
      <c r="H735" s="180"/>
      <c r="I735" s="10"/>
      <c r="J735" s="30"/>
      <c r="K735" s="200">
        <f t="shared" si="24"/>
        <v>0</v>
      </c>
    </row>
    <row r="736" spans="1:12" x14ac:dyDescent="0.2">
      <c r="A736" s="62"/>
      <c r="B736" s="62"/>
      <c r="C736" s="186"/>
      <c r="D736" s="10"/>
      <c r="E736" s="10"/>
      <c r="F736" s="177"/>
      <c r="G736" s="184"/>
      <c r="H736" s="180"/>
      <c r="I736" s="10"/>
      <c r="J736" s="30"/>
      <c r="K736" s="200">
        <f t="shared" si="24"/>
        <v>0</v>
      </c>
    </row>
    <row r="737" spans="1:11" x14ac:dyDescent="0.2">
      <c r="A737" s="62"/>
      <c r="B737" s="62"/>
      <c r="C737" s="186"/>
      <c r="D737" s="10"/>
      <c r="E737" s="10"/>
      <c r="F737" s="177"/>
      <c r="G737" s="184"/>
      <c r="H737" s="180"/>
      <c r="I737" s="10"/>
      <c r="J737" s="30"/>
      <c r="K737" s="200">
        <f t="shared" si="24"/>
        <v>0</v>
      </c>
    </row>
    <row r="738" spans="1:11" x14ac:dyDescent="0.2">
      <c r="A738" s="62"/>
      <c r="B738" s="62"/>
      <c r="C738" s="186"/>
      <c r="D738" s="10"/>
      <c r="E738" s="10"/>
      <c r="F738" s="177"/>
      <c r="G738" s="184"/>
      <c r="H738" s="180"/>
      <c r="I738" s="10"/>
      <c r="J738" s="30"/>
      <c r="K738" s="200">
        <f t="shared" si="24"/>
        <v>0</v>
      </c>
    </row>
    <row r="739" spans="1:11" x14ac:dyDescent="0.2">
      <c r="A739" s="62"/>
      <c r="B739" s="62"/>
      <c r="C739" s="186"/>
      <c r="D739" s="10"/>
      <c r="E739" s="10"/>
      <c r="F739" s="177"/>
      <c r="G739" s="184"/>
      <c r="H739" s="180"/>
      <c r="I739" s="10"/>
      <c r="J739" s="30"/>
      <c r="K739" s="200">
        <f t="shared" si="24"/>
        <v>0</v>
      </c>
    </row>
    <row r="740" spans="1:11" x14ac:dyDescent="0.2">
      <c r="A740" s="62"/>
      <c r="B740" s="62"/>
      <c r="C740" s="186"/>
      <c r="D740" s="10"/>
      <c r="E740" s="10"/>
      <c r="F740" s="177"/>
      <c r="G740" s="184"/>
      <c r="H740" s="180"/>
      <c r="I740" s="10"/>
      <c r="J740" s="30"/>
      <c r="K740" s="200">
        <f t="shared" si="24"/>
        <v>0</v>
      </c>
    </row>
    <row r="741" spans="1:11" x14ac:dyDescent="0.2">
      <c r="A741" s="62"/>
      <c r="B741" s="62"/>
      <c r="C741" s="186"/>
      <c r="D741" s="10"/>
      <c r="E741" s="10"/>
      <c r="F741" s="177"/>
      <c r="G741" s="184"/>
      <c r="H741" s="180"/>
      <c r="I741" s="10"/>
      <c r="J741" s="30"/>
      <c r="K741" s="200">
        <f t="shared" si="24"/>
        <v>0</v>
      </c>
    </row>
    <row r="742" spans="1:11" x14ac:dyDescent="0.2">
      <c r="A742" s="62"/>
      <c r="B742" s="62"/>
      <c r="C742" s="186"/>
      <c r="D742" s="10"/>
      <c r="E742" s="10"/>
      <c r="F742" s="177"/>
      <c r="G742" s="184"/>
      <c r="H742" s="180"/>
      <c r="I742" s="10"/>
      <c r="J742" s="30"/>
      <c r="K742" s="200">
        <f t="shared" si="24"/>
        <v>0</v>
      </c>
    </row>
    <row r="743" spans="1:11" x14ac:dyDescent="0.2">
      <c r="A743" s="62"/>
      <c r="B743" s="62"/>
      <c r="C743" s="186"/>
      <c r="D743" s="10"/>
      <c r="E743" s="10"/>
      <c r="F743" s="177"/>
      <c r="G743" s="184"/>
      <c r="H743" s="180"/>
      <c r="I743" s="10"/>
      <c r="J743" s="30"/>
      <c r="K743" s="200">
        <f t="shared" si="24"/>
        <v>0</v>
      </c>
    </row>
    <row r="744" spans="1:11" x14ac:dyDescent="0.2">
      <c r="A744" s="62"/>
      <c r="B744" s="62"/>
      <c r="C744" s="186"/>
      <c r="D744" s="10"/>
      <c r="E744" s="10"/>
      <c r="F744" s="177"/>
      <c r="G744" s="184"/>
      <c r="H744" s="180"/>
      <c r="I744" s="10"/>
      <c r="J744" s="30"/>
      <c r="K744" s="200">
        <f t="shared" si="24"/>
        <v>0</v>
      </c>
    </row>
    <row r="745" spans="1:11" x14ac:dyDescent="0.2">
      <c r="A745" s="62"/>
      <c r="B745" s="62"/>
      <c r="C745" s="186"/>
      <c r="D745" s="10"/>
      <c r="E745" s="10"/>
      <c r="F745" s="177"/>
      <c r="G745" s="184"/>
      <c r="H745" s="180"/>
      <c r="I745" s="10"/>
      <c r="J745" s="30"/>
      <c r="K745" s="200">
        <f t="shared" si="24"/>
        <v>0</v>
      </c>
    </row>
    <row r="746" spans="1:11" x14ac:dyDescent="0.2">
      <c r="A746" s="62"/>
      <c r="B746" s="62"/>
      <c r="C746" s="186"/>
      <c r="D746" s="10"/>
      <c r="E746" s="10"/>
      <c r="F746" s="177"/>
      <c r="G746" s="184"/>
      <c r="H746" s="180"/>
      <c r="I746" s="10"/>
      <c r="J746" s="30"/>
      <c r="K746" s="200">
        <f t="shared" si="24"/>
        <v>0</v>
      </c>
    </row>
    <row r="747" spans="1:11" x14ac:dyDescent="0.2">
      <c r="A747" s="62"/>
      <c r="B747" s="62"/>
      <c r="C747" s="186"/>
      <c r="D747" s="10"/>
      <c r="E747" s="10"/>
      <c r="F747" s="177"/>
      <c r="G747" s="184"/>
      <c r="H747" s="180"/>
      <c r="I747" s="10"/>
      <c r="J747" s="30"/>
      <c r="K747" s="200">
        <f t="shared" si="24"/>
        <v>0</v>
      </c>
    </row>
    <row r="748" spans="1:11" x14ac:dyDescent="0.2">
      <c r="A748" s="62"/>
      <c r="B748" s="62"/>
      <c r="C748" s="186"/>
      <c r="D748" s="10"/>
      <c r="E748" s="10"/>
      <c r="F748" s="177"/>
      <c r="G748" s="184"/>
      <c r="H748" s="180"/>
      <c r="I748" s="10"/>
      <c r="J748" s="30"/>
      <c r="K748" s="200">
        <f t="shared" si="24"/>
        <v>0</v>
      </c>
    </row>
    <row r="749" spans="1:11" x14ac:dyDescent="0.2">
      <c r="A749" s="62"/>
      <c r="B749" s="62"/>
      <c r="C749" s="186"/>
      <c r="D749" s="10"/>
      <c r="E749" s="10"/>
      <c r="F749" s="177"/>
      <c r="G749" s="184"/>
      <c r="H749" s="180"/>
      <c r="I749" s="10"/>
      <c r="J749" s="30"/>
      <c r="K749" s="200">
        <f t="shared" si="24"/>
        <v>0</v>
      </c>
    </row>
    <row r="750" spans="1:11" x14ac:dyDescent="0.2">
      <c r="A750" s="62"/>
      <c r="B750" s="62"/>
      <c r="C750" s="186"/>
      <c r="D750" s="10"/>
      <c r="E750" s="10"/>
      <c r="F750" s="177"/>
      <c r="G750" s="184"/>
      <c r="H750" s="180"/>
      <c r="I750" s="10"/>
      <c r="J750" s="30"/>
      <c r="K750" s="200">
        <f t="shared" si="24"/>
        <v>0</v>
      </c>
    </row>
    <row r="751" spans="1:11" x14ac:dyDescent="0.2">
      <c r="A751" s="62"/>
      <c r="B751" s="62"/>
      <c r="C751" s="186"/>
      <c r="D751" s="10"/>
      <c r="E751" s="10"/>
      <c r="F751" s="177"/>
      <c r="G751" s="184"/>
      <c r="H751" s="180"/>
      <c r="I751" s="10"/>
      <c r="J751" s="30"/>
      <c r="K751" s="200">
        <f t="shared" si="24"/>
        <v>0</v>
      </c>
    </row>
    <row r="752" spans="1:11" x14ac:dyDescent="0.2">
      <c r="A752" s="62"/>
      <c r="B752" s="62"/>
      <c r="C752" s="186"/>
      <c r="D752" s="10"/>
      <c r="E752" s="10"/>
      <c r="F752" s="177"/>
      <c r="G752" s="184"/>
      <c r="H752" s="180"/>
      <c r="I752" s="10"/>
      <c r="J752" s="30"/>
      <c r="K752" s="200">
        <f t="shared" si="24"/>
        <v>0</v>
      </c>
    </row>
    <row r="753" spans="1:11" x14ac:dyDescent="0.2">
      <c r="A753" s="62"/>
      <c r="B753" s="62"/>
      <c r="C753" s="186"/>
      <c r="D753" s="10"/>
      <c r="E753" s="10"/>
      <c r="F753" s="177"/>
      <c r="G753" s="184"/>
      <c r="H753" s="180"/>
      <c r="I753" s="10"/>
      <c r="J753" s="30"/>
      <c r="K753" s="200">
        <f t="shared" si="24"/>
        <v>0</v>
      </c>
    </row>
    <row r="754" spans="1:11" x14ac:dyDescent="0.2">
      <c r="A754" s="62"/>
      <c r="B754" s="62"/>
      <c r="C754" s="186"/>
      <c r="D754" s="10"/>
      <c r="E754" s="10"/>
      <c r="F754" s="177"/>
      <c r="G754" s="184"/>
      <c r="H754" s="180"/>
      <c r="I754" s="10"/>
      <c r="J754" s="30"/>
      <c r="K754" s="200">
        <f t="shared" si="24"/>
        <v>0</v>
      </c>
    </row>
    <row r="755" spans="1:11" x14ac:dyDescent="0.2">
      <c r="A755" s="62"/>
      <c r="B755" s="62"/>
      <c r="C755" s="186"/>
      <c r="D755" s="10"/>
      <c r="E755" s="10"/>
      <c r="F755" s="177"/>
      <c r="G755" s="184"/>
      <c r="H755" s="180"/>
      <c r="I755" s="10"/>
      <c r="J755" s="30"/>
      <c r="K755" s="200">
        <f t="shared" si="24"/>
        <v>0</v>
      </c>
    </row>
    <row r="756" spans="1:11" x14ac:dyDescent="0.2">
      <c r="A756" s="62"/>
      <c r="B756" s="62"/>
      <c r="C756" s="186"/>
      <c r="D756" s="10"/>
      <c r="E756" s="10"/>
      <c r="F756" s="177"/>
      <c r="G756" s="184"/>
      <c r="H756" s="180"/>
      <c r="I756" s="10"/>
      <c r="J756" s="30"/>
      <c r="K756" s="200">
        <f t="shared" si="24"/>
        <v>0</v>
      </c>
    </row>
    <row r="757" spans="1:11" x14ac:dyDescent="0.2">
      <c r="A757" s="62"/>
      <c r="B757" s="62"/>
      <c r="C757" s="186"/>
      <c r="D757" s="10"/>
      <c r="E757" s="10"/>
      <c r="F757" s="177"/>
      <c r="G757" s="184"/>
      <c r="H757" s="180"/>
      <c r="I757" s="10"/>
      <c r="J757" s="30"/>
      <c r="K757" s="200">
        <f t="shared" si="24"/>
        <v>0</v>
      </c>
    </row>
    <row r="758" spans="1:11" x14ac:dyDescent="0.2">
      <c r="A758" s="62"/>
      <c r="B758" s="62"/>
      <c r="C758" s="186"/>
      <c r="D758" s="10"/>
      <c r="E758" s="10"/>
      <c r="F758" s="177"/>
      <c r="G758" s="184"/>
      <c r="H758" s="180"/>
      <c r="I758" s="10"/>
      <c r="J758" s="30"/>
      <c r="K758" s="200">
        <f t="shared" si="24"/>
        <v>0</v>
      </c>
    </row>
    <row r="759" spans="1:11" x14ac:dyDescent="0.2">
      <c r="A759" s="62"/>
      <c r="B759" s="62"/>
      <c r="C759" s="186"/>
      <c r="D759" s="10"/>
      <c r="E759" s="10"/>
      <c r="F759" s="177"/>
      <c r="G759" s="184"/>
      <c r="H759" s="180"/>
      <c r="I759" s="10"/>
      <c r="J759" s="30"/>
      <c r="K759" s="200">
        <f t="shared" si="24"/>
        <v>0</v>
      </c>
    </row>
    <row r="760" spans="1:11" x14ac:dyDescent="0.2">
      <c r="A760" s="62"/>
      <c r="B760" s="62"/>
      <c r="C760" s="186"/>
      <c r="D760" s="10"/>
      <c r="E760" s="10"/>
      <c r="F760" s="177"/>
      <c r="G760" s="184"/>
      <c r="H760" s="180"/>
      <c r="I760" s="10"/>
      <c r="J760" s="30"/>
      <c r="K760" s="200">
        <f t="shared" si="24"/>
        <v>0</v>
      </c>
    </row>
    <row r="761" spans="1:11" x14ac:dyDescent="0.2">
      <c r="A761" s="62"/>
      <c r="B761" s="62"/>
      <c r="C761" s="186"/>
      <c r="D761" s="10"/>
      <c r="E761" s="10"/>
      <c r="F761" s="177"/>
      <c r="G761" s="184"/>
      <c r="H761" s="180"/>
      <c r="I761" s="10"/>
      <c r="J761" s="30"/>
      <c r="K761" s="200">
        <f t="shared" si="24"/>
        <v>0</v>
      </c>
    </row>
    <row r="762" spans="1:11" x14ac:dyDescent="0.2">
      <c r="A762" s="62"/>
      <c r="B762" s="62"/>
      <c r="C762" s="186"/>
      <c r="D762" s="10"/>
      <c r="E762" s="10"/>
      <c r="F762" s="177"/>
      <c r="G762" s="184"/>
      <c r="H762" s="180"/>
      <c r="I762" s="10"/>
      <c r="J762" s="30"/>
      <c r="K762" s="200">
        <f t="shared" si="24"/>
        <v>0</v>
      </c>
    </row>
    <row r="763" spans="1:11" x14ac:dyDescent="0.2">
      <c r="A763" s="62"/>
      <c r="B763" s="62"/>
      <c r="C763" s="186"/>
      <c r="D763" s="10"/>
      <c r="E763" s="10"/>
      <c r="F763" s="177"/>
      <c r="G763" s="184"/>
      <c r="H763" s="180"/>
      <c r="I763" s="10"/>
      <c r="J763" s="30"/>
      <c r="K763" s="200">
        <f t="shared" si="24"/>
        <v>0</v>
      </c>
    </row>
    <row r="764" spans="1:11" x14ac:dyDescent="0.2">
      <c r="A764" s="62"/>
      <c r="B764" s="62"/>
      <c r="C764" s="186"/>
      <c r="D764" s="10"/>
      <c r="E764" s="10"/>
      <c r="F764" s="177"/>
      <c r="G764" s="184"/>
      <c r="H764" s="180"/>
      <c r="I764" s="10"/>
      <c r="J764" s="30"/>
      <c r="K764" s="200">
        <f t="shared" si="24"/>
        <v>0</v>
      </c>
    </row>
    <row r="765" spans="1:11" x14ac:dyDescent="0.2">
      <c r="A765" s="62"/>
      <c r="B765" s="62"/>
      <c r="C765" s="186"/>
      <c r="D765" s="10"/>
      <c r="E765" s="10"/>
      <c r="F765" s="177"/>
      <c r="G765" s="184"/>
      <c r="H765" s="180"/>
      <c r="I765" s="10"/>
      <c r="J765" s="30"/>
      <c r="K765" s="200">
        <f>H765</f>
        <v>0</v>
      </c>
    </row>
    <row r="766" spans="1:11" x14ac:dyDescent="0.2">
      <c r="A766" s="62"/>
      <c r="B766" s="62"/>
      <c r="C766" s="186"/>
      <c r="D766" s="10"/>
      <c r="E766" s="10"/>
      <c r="F766" s="177"/>
      <c r="G766" s="184"/>
      <c r="H766" s="180"/>
      <c r="I766" s="10"/>
      <c r="J766" s="30"/>
      <c r="K766" s="200">
        <f t="shared" si="24"/>
        <v>0</v>
      </c>
    </row>
    <row r="767" spans="1:11" x14ac:dyDescent="0.2">
      <c r="A767" s="62"/>
      <c r="B767" s="62"/>
      <c r="C767" s="186"/>
      <c r="D767" s="10"/>
      <c r="E767" s="10"/>
      <c r="F767" s="177"/>
      <c r="G767" s="184"/>
      <c r="H767" s="180"/>
      <c r="I767" s="10"/>
      <c r="J767" s="30"/>
      <c r="K767" s="200">
        <f>H767</f>
        <v>0</v>
      </c>
    </row>
    <row r="768" spans="1:11" x14ac:dyDescent="0.2">
      <c r="A768" s="62"/>
      <c r="B768" s="62"/>
      <c r="C768" s="186"/>
      <c r="D768" s="10"/>
      <c r="E768" s="10"/>
      <c r="F768" s="177"/>
      <c r="G768" s="184"/>
      <c r="H768" s="180"/>
      <c r="I768" s="10"/>
      <c r="J768" s="30"/>
      <c r="K768" s="200">
        <f t="shared" si="24"/>
        <v>0</v>
      </c>
    </row>
    <row r="769" spans="1:11" x14ac:dyDescent="0.2">
      <c r="A769" s="62"/>
      <c r="B769" s="62"/>
      <c r="C769" s="186"/>
      <c r="D769" s="10"/>
      <c r="E769" s="10"/>
      <c r="F769" s="177"/>
      <c r="G769" s="184"/>
      <c r="H769" s="180"/>
      <c r="I769" s="10"/>
      <c r="J769" s="30"/>
      <c r="K769" s="200">
        <f>H769</f>
        <v>0</v>
      </c>
    </row>
    <row r="770" spans="1:11" x14ac:dyDescent="0.2">
      <c r="A770" s="62"/>
      <c r="B770" s="62"/>
      <c r="C770" s="186"/>
      <c r="D770" s="10"/>
      <c r="E770" s="10"/>
      <c r="F770" s="177"/>
      <c r="G770" s="184"/>
      <c r="H770" s="180"/>
      <c r="I770" s="10"/>
      <c r="J770" s="30"/>
      <c r="K770" s="200">
        <f t="shared" si="24"/>
        <v>0</v>
      </c>
    </row>
    <row r="771" spans="1:11" x14ac:dyDescent="0.2">
      <c r="A771" s="62"/>
      <c r="B771" s="62"/>
      <c r="C771" s="186"/>
      <c r="D771" s="10"/>
      <c r="E771" s="10"/>
      <c r="F771" s="177"/>
      <c r="G771" s="184"/>
      <c r="H771" s="180"/>
      <c r="I771" s="10"/>
      <c r="J771" s="30"/>
      <c r="K771" s="200">
        <f t="shared" si="24"/>
        <v>0</v>
      </c>
    </row>
    <row r="772" spans="1:11" x14ac:dyDescent="0.2">
      <c r="A772" s="62"/>
      <c r="B772" s="62"/>
      <c r="C772" s="186"/>
      <c r="D772" s="10"/>
      <c r="E772" s="10"/>
      <c r="F772" s="177"/>
      <c r="G772" s="184"/>
      <c r="H772" s="180"/>
      <c r="I772" s="10"/>
      <c r="J772" s="30"/>
      <c r="K772" s="200">
        <f t="shared" si="24"/>
        <v>0</v>
      </c>
    </row>
    <row r="773" spans="1:11" x14ac:dyDescent="0.2">
      <c r="A773" s="62"/>
      <c r="B773" s="62"/>
      <c r="C773" s="186"/>
      <c r="D773" s="10"/>
      <c r="E773" s="10"/>
      <c r="F773" s="177"/>
      <c r="G773" s="184"/>
      <c r="H773" s="180"/>
      <c r="I773" s="10"/>
      <c r="J773" s="30"/>
      <c r="K773" s="200">
        <f t="shared" si="24"/>
        <v>0</v>
      </c>
    </row>
    <row r="774" spans="1:11" x14ac:dyDescent="0.2">
      <c r="A774" s="62"/>
      <c r="B774" s="62"/>
      <c r="C774" s="186"/>
      <c r="D774" s="10"/>
      <c r="E774" s="10"/>
      <c r="F774" s="177"/>
      <c r="G774" s="184"/>
      <c r="H774" s="180"/>
      <c r="I774" s="10"/>
      <c r="J774" s="30"/>
      <c r="K774" s="200">
        <f t="shared" si="24"/>
        <v>0</v>
      </c>
    </row>
    <row r="775" spans="1:11" x14ac:dyDescent="0.2">
      <c r="A775" s="62"/>
      <c r="B775" s="62"/>
      <c r="C775" s="186"/>
      <c r="D775" s="10"/>
      <c r="E775" s="10"/>
      <c r="F775" s="177"/>
      <c r="G775" s="184"/>
      <c r="H775" s="180"/>
      <c r="I775" s="10"/>
      <c r="J775" s="30"/>
      <c r="K775" s="200">
        <f>H775</f>
        <v>0</v>
      </c>
    </row>
    <row r="776" spans="1:11" x14ac:dyDescent="0.2">
      <c r="A776" s="62"/>
      <c r="B776" s="62"/>
      <c r="C776" s="186"/>
      <c r="D776" s="10"/>
      <c r="E776" s="10"/>
      <c r="F776" s="177"/>
      <c r="G776" s="184"/>
      <c r="H776" s="180"/>
      <c r="I776" s="10"/>
      <c r="J776" s="30"/>
      <c r="K776" s="200">
        <f>H776</f>
        <v>0</v>
      </c>
    </row>
    <row r="777" spans="1:11" x14ac:dyDescent="0.2">
      <c r="A777" s="62"/>
      <c r="B777" s="62"/>
      <c r="C777" s="186"/>
      <c r="D777" s="10"/>
      <c r="E777" s="10"/>
      <c r="F777" s="177"/>
      <c r="G777" s="184"/>
      <c r="H777" s="180"/>
      <c r="I777" s="10"/>
      <c r="J777" s="30"/>
      <c r="K777" s="200">
        <f>H777</f>
        <v>0</v>
      </c>
    </row>
    <row r="778" spans="1:11" x14ac:dyDescent="0.2">
      <c r="A778" s="62"/>
      <c r="B778" s="62"/>
      <c r="C778" s="186"/>
      <c r="D778" s="10"/>
      <c r="E778" s="10"/>
      <c r="F778" s="177"/>
      <c r="G778" s="184"/>
      <c r="H778" s="180"/>
      <c r="I778" s="10"/>
      <c r="J778" s="30"/>
      <c r="K778" s="200">
        <f t="shared" ref="K778:K796" si="25">H778</f>
        <v>0</v>
      </c>
    </row>
    <row r="779" spans="1:11" x14ac:dyDescent="0.2">
      <c r="A779" s="62"/>
      <c r="B779" s="62"/>
      <c r="C779" s="186"/>
      <c r="D779" s="10"/>
      <c r="E779" s="10"/>
      <c r="F779" s="177"/>
      <c r="G779" s="184"/>
      <c r="H779" s="180"/>
      <c r="I779" s="10"/>
      <c r="J779" s="30"/>
      <c r="K779" s="200">
        <f t="shared" si="25"/>
        <v>0</v>
      </c>
    </row>
    <row r="780" spans="1:11" x14ac:dyDescent="0.2">
      <c r="A780" s="62"/>
      <c r="B780" s="62"/>
      <c r="C780" s="186"/>
      <c r="D780" s="10"/>
      <c r="E780" s="10"/>
      <c r="F780" s="177"/>
      <c r="G780" s="184"/>
      <c r="H780" s="180"/>
      <c r="I780" s="10"/>
      <c r="J780" s="30"/>
      <c r="K780" s="200">
        <f t="shared" si="25"/>
        <v>0</v>
      </c>
    </row>
    <row r="781" spans="1:11" x14ac:dyDescent="0.2">
      <c r="A781" s="62"/>
      <c r="B781" s="62"/>
      <c r="C781" s="186"/>
      <c r="D781" s="10"/>
      <c r="E781" s="10"/>
      <c r="F781" s="177"/>
      <c r="G781" s="184"/>
      <c r="H781" s="180"/>
      <c r="I781" s="10"/>
      <c r="J781" s="30"/>
      <c r="K781" s="200">
        <f t="shared" si="25"/>
        <v>0</v>
      </c>
    </row>
    <row r="782" spans="1:11" x14ac:dyDescent="0.2">
      <c r="A782" s="62"/>
      <c r="B782" s="62"/>
      <c r="C782" s="186"/>
      <c r="D782" s="10"/>
      <c r="E782" s="10"/>
      <c r="F782" s="177"/>
      <c r="G782" s="184"/>
      <c r="H782" s="180"/>
      <c r="I782" s="10"/>
      <c r="J782" s="30"/>
      <c r="K782" s="200">
        <f t="shared" si="25"/>
        <v>0</v>
      </c>
    </row>
    <row r="783" spans="1:11" x14ac:dyDescent="0.2">
      <c r="A783" s="62"/>
      <c r="B783" s="62"/>
      <c r="C783" s="186"/>
      <c r="D783" s="10"/>
      <c r="E783" s="10"/>
      <c r="F783" s="177"/>
      <c r="G783" s="184"/>
      <c r="H783" s="180"/>
      <c r="I783" s="10"/>
      <c r="J783" s="30"/>
      <c r="K783" s="200">
        <f t="shared" si="25"/>
        <v>0</v>
      </c>
    </row>
    <row r="784" spans="1:11" x14ac:dyDescent="0.2">
      <c r="A784" s="62"/>
      <c r="B784" s="62"/>
      <c r="C784" s="186"/>
      <c r="D784" s="10"/>
      <c r="E784" s="10"/>
      <c r="F784" s="177"/>
      <c r="G784" s="184"/>
      <c r="H784" s="180"/>
      <c r="I784" s="10"/>
      <c r="J784" s="30"/>
      <c r="K784" s="200">
        <f t="shared" si="25"/>
        <v>0</v>
      </c>
    </row>
    <row r="785" spans="1:11" x14ac:dyDescent="0.2">
      <c r="A785" s="62"/>
      <c r="B785" s="62"/>
      <c r="C785" s="186"/>
      <c r="D785" s="10"/>
      <c r="E785" s="10"/>
      <c r="F785" s="177"/>
      <c r="G785" s="184"/>
      <c r="H785" s="180"/>
      <c r="I785" s="10"/>
      <c r="J785" s="30"/>
      <c r="K785" s="200">
        <f t="shared" si="25"/>
        <v>0</v>
      </c>
    </row>
    <row r="786" spans="1:11" x14ac:dyDescent="0.2">
      <c r="A786" s="62"/>
      <c r="B786" s="62"/>
      <c r="C786" s="186"/>
      <c r="D786" s="10"/>
      <c r="E786" s="10"/>
      <c r="F786" s="177"/>
      <c r="G786" s="184"/>
      <c r="H786" s="180"/>
      <c r="I786" s="10"/>
      <c r="J786" s="30"/>
      <c r="K786" s="200">
        <f t="shared" si="25"/>
        <v>0</v>
      </c>
    </row>
    <row r="787" spans="1:11" x14ac:dyDescent="0.2">
      <c r="A787" s="62"/>
      <c r="B787" s="62"/>
      <c r="C787" s="186"/>
      <c r="D787" s="10"/>
      <c r="E787" s="10"/>
      <c r="F787" s="177"/>
      <c r="G787" s="184"/>
      <c r="H787" s="180"/>
      <c r="I787" s="10"/>
      <c r="J787" s="30"/>
      <c r="K787" s="200">
        <f t="shared" si="25"/>
        <v>0</v>
      </c>
    </row>
    <row r="788" spans="1:11" x14ac:dyDescent="0.2">
      <c r="A788" s="62"/>
      <c r="B788" s="62"/>
      <c r="C788" s="186"/>
      <c r="D788" s="10"/>
      <c r="E788" s="10"/>
      <c r="F788" s="177"/>
      <c r="G788" s="184"/>
      <c r="H788" s="180"/>
      <c r="I788" s="10"/>
      <c r="J788" s="30"/>
      <c r="K788" s="200">
        <f t="shared" si="25"/>
        <v>0</v>
      </c>
    </row>
    <row r="789" spans="1:11" x14ac:dyDescent="0.2">
      <c r="A789" s="62"/>
      <c r="B789" s="62"/>
      <c r="C789" s="186"/>
      <c r="D789" s="10"/>
      <c r="E789" s="10"/>
      <c r="F789" s="177"/>
      <c r="G789" s="184"/>
      <c r="H789" s="180"/>
      <c r="I789" s="10"/>
      <c r="J789" s="30"/>
      <c r="K789" s="200">
        <f t="shared" si="25"/>
        <v>0</v>
      </c>
    </row>
    <row r="790" spans="1:11" x14ac:dyDescent="0.2">
      <c r="A790" s="62"/>
      <c r="B790" s="62"/>
      <c r="C790" s="186"/>
      <c r="D790" s="10"/>
      <c r="E790" s="10"/>
      <c r="F790" s="177"/>
      <c r="G790" s="184"/>
      <c r="H790" s="180"/>
      <c r="I790" s="10"/>
      <c r="J790" s="30"/>
      <c r="K790" s="200">
        <f t="shared" si="25"/>
        <v>0</v>
      </c>
    </row>
    <row r="791" spans="1:11" x14ac:dyDescent="0.2">
      <c r="A791" s="62"/>
      <c r="B791" s="62"/>
      <c r="C791" s="186"/>
      <c r="D791" s="10"/>
      <c r="E791" s="10"/>
      <c r="F791" s="177"/>
      <c r="G791" s="184"/>
      <c r="H791" s="180"/>
      <c r="I791" s="10"/>
      <c r="J791" s="30"/>
      <c r="K791" s="200">
        <f t="shared" si="25"/>
        <v>0</v>
      </c>
    </row>
    <row r="792" spans="1:11" x14ac:dyDescent="0.2">
      <c r="A792" s="62"/>
      <c r="B792" s="62"/>
      <c r="C792" s="186"/>
      <c r="D792" s="10"/>
      <c r="E792" s="10"/>
      <c r="F792" s="177"/>
      <c r="G792" s="184"/>
      <c r="H792" s="180"/>
      <c r="I792" s="10"/>
      <c r="J792" s="30"/>
      <c r="K792" s="200">
        <f t="shared" si="25"/>
        <v>0</v>
      </c>
    </row>
    <row r="793" spans="1:11" x14ac:dyDescent="0.2">
      <c r="A793" s="62"/>
      <c r="B793" s="62"/>
      <c r="C793" s="186"/>
      <c r="D793" s="10"/>
      <c r="E793" s="10"/>
      <c r="F793" s="177"/>
      <c r="G793" s="184"/>
      <c r="H793" s="180"/>
      <c r="I793" s="10"/>
      <c r="J793" s="30"/>
      <c r="K793" s="200">
        <f t="shared" si="25"/>
        <v>0</v>
      </c>
    </row>
    <row r="794" spans="1:11" x14ac:dyDescent="0.2">
      <c r="A794" s="62"/>
      <c r="B794" s="62"/>
      <c r="C794" s="186"/>
      <c r="D794" s="10"/>
      <c r="E794" s="10"/>
      <c r="F794" s="177"/>
      <c r="G794" s="184"/>
      <c r="H794" s="180"/>
      <c r="I794" s="10"/>
      <c r="J794" s="30"/>
      <c r="K794" s="200">
        <f t="shared" si="25"/>
        <v>0</v>
      </c>
    </row>
    <row r="795" spans="1:11" x14ac:dyDescent="0.2">
      <c r="A795" s="62"/>
      <c r="B795" s="62"/>
      <c r="C795" s="186"/>
      <c r="D795" s="10"/>
      <c r="E795" s="10"/>
      <c r="F795" s="177"/>
      <c r="G795" s="184"/>
      <c r="H795" s="180"/>
      <c r="I795" s="10"/>
      <c r="J795" s="30"/>
      <c r="K795" s="200">
        <f t="shared" si="25"/>
        <v>0</v>
      </c>
    </row>
    <row r="796" spans="1:11" x14ac:dyDescent="0.2">
      <c r="A796" s="62"/>
      <c r="B796" s="62"/>
      <c r="C796" s="186"/>
      <c r="D796" s="10"/>
      <c r="E796" s="10"/>
      <c r="F796" s="177"/>
      <c r="G796" s="184"/>
      <c r="H796" s="180"/>
      <c r="I796" s="10"/>
      <c r="J796" s="30"/>
      <c r="K796" s="200">
        <f t="shared" si="25"/>
        <v>0</v>
      </c>
    </row>
    <row r="797" spans="1:11" ht="12" x14ac:dyDescent="0.2">
      <c r="A797" s="300" t="s">
        <v>3454</v>
      </c>
      <c r="B797" s="301"/>
      <c r="C797" s="301"/>
      <c r="D797" s="301"/>
      <c r="E797" s="301"/>
      <c r="F797" s="301"/>
      <c r="G797" s="302"/>
      <c r="H797" s="205">
        <f>SUM(H707:H796)</f>
        <v>0</v>
      </c>
      <c r="I797" s="303" t="s">
        <v>3454</v>
      </c>
      <c r="J797" s="303"/>
      <c r="K797" s="205">
        <f>SUM(K707:K796)</f>
        <v>0</v>
      </c>
    </row>
    <row r="798" spans="1:11" ht="12" x14ac:dyDescent="0.2">
      <c r="A798" s="300" t="s">
        <v>3455</v>
      </c>
      <c r="B798" s="301"/>
      <c r="C798" s="301"/>
      <c r="D798" s="301"/>
      <c r="E798" s="301"/>
      <c r="F798" s="301"/>
      <c r="G798" s="302"/>
      <c r="H798" s="205">
        <f>H651</f>
        <v>325000</v>
      </c>
      <c r="I798" s="303" t="s">
        <v>3455</v>
      </c>
      <c r="J798" s="303"/>
      <c r="K798" s="205">
        <f>K651</f>
        <v>325000</v>
      </c>
    </row>
    <row r="799" spans="1:11" ht="12.75" thickBot="1" x14ac:dyDescent="0.25">
      <c r="A799" s="304" t="s">
        <v>3456</v>
      </c>
      <c r="B799" s="305"/>
      <c r="C799" s="305"/>
      <c r="D799" s="305"/>
      <c r="E799" s="305"/>
      <c r="F799" s="305"/>
      <c r="G799" s="306"/>
      <c r="H799" s="206">
        <f>SUM(H797:H798)</f>
        <v>325000</v>
      </c>
      <c r="I799" s="307" t="s">
        <v>3456</v>
      </c>
      <c r="J799" s="307"/>
      <c r="K799" s="206">
        <f>SUM(K797:K798)</f>
        <v>325000</v>
      </c>
    </row>
    <row r="800" spans="1:11" ht="12" x14ac:dyDescent="0.2">
      <c r="A800" s="82"/>
      <c r="B800" s="82"/>
      <c r="C800" s="82"/>
      <c r="D800" s="82"/>
      <c r="E800" s="82"/>
      <c r="F800" s="82"/>
      <c r="G800" s="82"/>
      <c r="H800" s="211"/>
      <c r="I800" s="211"/>
      <c r="J800" s="211"/>
      <c r="K800" s="211"/>
    </row>
    <row r="801" spans="1:11" ht="12" x14ac:dyDescent="0.2">
      <c r="A801" s="82"/>
      <c r="B801" s="82"/>
      <c r="C801" s="82"/>
      <c r="D801" s="82"/>
      <c r="E801" s="82"/>
      <c r="F801" s="82"/>
      <c r="G801" s="82"/>
      <c r="H801" s="211"/>
      <c r="I801" s="211"/>
      <c r="J801" s="211"/>
      <c r="K801" s="211"/>
    </row>
    <row r="802" spans="1:11" ht="12" x14ac:dyDescent="0.2">
      <c r="A802" s="181"/>
      <c r="B802" s="181"/>
      <c r="C802" s="181"/>
      <c r="D802" s="181"/>
      <c r="E802" s="181"/>
      <c r="F802" s="181"/>
      <c r="G802" s="183"/>
      <c r="H802" s="204"/>
      <c r="I802" s="299" t="s">
        <v>3450</v>
      </c>
      <c r="J802" s="299"/>
      <c r="K802" s="299"/>
    </row>
    <row r="803" spans="1:11" ht="12" x14ac:dyDescent="0.2">
      <c r="G803" s="183" t="s">
        <v>3459</v>
      </c>
      <c r="H803" s="187"/>
      <c r="I803" s="299" t="s">
        <v>3623</v>
      </c>
      <c r="J803" s="299"/>
      <c r="K803" s="299"/>
    </row>
    <row r="804" spans="1:11" ht="12" x14ac:dyDescent="0.2">
      <c r="A804" s="299"/>
      <c r="B804" s="299"/>
      <c r="C804" s="299"/>
      <c r="D804" s="299"/>
      <c r="E804" s="191"/>
      <c r="F804" s="191"/>
      <c r="H804" s="182">
        <f>H797-H803</f>
        <v>0</v>
      </c>
      <c r="I804" s="1"/>
    </row>
    <row r="805" spans="1:11" ht="12" x14ac:dyDescent="0.2">
      <c r="A805" s="191"/>
      <c r="B805" s="191"/>
      <c r="C805" s="191"/>
      <c r="D805" s="191"/>
      <c r="E805" s="191"/>
      <c r="F805" s="191"/>
      <c r="H805" s="182"/>
      <c r="I805" s="1"/>
    </row>
    <row r="806" spans="1:11" ht="12" x14ac:dyDescent="0.2">
      <c r="A806" s="191"/>
      <c r="B806" s="191"/>
      <c r="C806" s="191"/>
      <c r="D806" s="191"/>
      <c r="E806" s="191"/>
      <c r="F806" s="191"/>
      <c r="H806" s="182"/>
      <c r="I806" s="1"/>
    </row>
    <row r="807" spans="1:11" ht="12.75" x14ac:dyDescent="0.2">
      <c r="A807" s="191"/>
      <c r="B807" s="191"/>
      <c r="C807" s="191"/>
      <c r="D807" s="191"/>
      <c r="E807" s="191"/>
      <c r="F807" s="191"/>
      <c r="H807" s="182"/>
      <c r="I807" s="1"/>
      <c r="J807" s="193" t="s">
        <v>3451</v>
      </c>
    </row>
    <row r="808" spans="1:11" ht="12" x14ac:dyDescent="0.2">
      <c r="A808" s="191"/>
      <c r="B808" s="191"/>
      <c r="C808" s="191"/>
      <c r="D808" s="191"/>
      <c r="E808" s="191"/>
      <c r="F808" s="191"/>
      <c r="H808" s="182"/>
      <c r="I808" s="1"/>
    </row>
    <row r="809" spans="1:11" ht="12" x14ac:dyDescent="0.2">
      <c r="A809" s="191"/>
      <c r="B809" s="191"/>
      <c r="C809" s="191"/>
      <c r="D809" s="191"/>
      <c r="E809" s="191"/>
      <c r="F809" s="191"/>
      <c r="H809" s="182"/>
      <c r="I809" s="1"/>
    </row>
    <row r="810" spans="1:11" ht="12" x14ac:dyDescent="0.2">
      <c r="A810" s="191"/>
      <c r="B810" s="191"/>
      <c r="C810" s="191"/>
      <c r="D810" s="191"/>
      <c r="E810" s="191"/>
      <c r="F810" s="191"/>
      <c r="H810" s="182"/>
      <c r="I810" s="1"/>
    </row>
    <row r="811" spans="1:11" ht="12" x14ac:dyDescent="0.2">
      <c r="A811" s="191"/>
      <c r="B811" s="191"/>
      <c r="C811" s="191"/>
      <c r="D811" s="191"/>
      <c r="E811" s="191"/>
      <c r="F811" s="191"/>
      <c r="H811" s="182"/>
      <c r="I811" s="1"/>
    </row>
    <row r="812" spans="1:11" ht="12" x14ac:dyDescent="0.2">
      <c r="A812" s="191"/>
      <c r="B812" s="191"/>
      <c r="C812" s="191"/>
      <c r="D812" s="191"/>
      <c r="E812" s="191"/>
      <c r="F812" s="191"/>
      <c r="H812" s="182"/>
      <c r="I812" s="1"/>
    </row>
    <row r="813" spans="1:11" ht="12" x14ac:dyDescent="0.2">
      <c r="A813" s="191"/>
      <c r="B813" s="191"/>
      <c r="C813" s="191"/>
      <c r="D813" s="191"/>
      <c r="E813" s="191"/>
      <c r="F813" s="191"/>
      <c r="H813" s="182"/>
      <c r="I813" s="1"/>
    </row>
    <row r="814" spans="1:11" ht="12" x14ac:dyDescent="0.2">
      <c r="A814" s="191"/>
      <c r="B814" s="191"/>
      <c r="C814" s="191"/>
      <c r="D814" s="191"/>
      <c r="E814" s="191"/>
      <c r="F814" s="191"/>
      <c r="H814" s="182"/>
      <c r="I814" s="1"/>
    </row>
    <row r="815" spans="1:11" ht="12" x14ac:dyDescent="0.2">
      <c r="A815" s="191"/>
      <c r="B815" s="191"/>
      <c r="C815" s="191"/>
      <c r="D815" s="191"/>
      <c r="E815" s="191"/>
      <c r="F815" s="191"/>
      <c r="H815" s="182"/>
      <c r="I815" s="1"/>
    </row>
    <row r="816" spans="1:11" ht="12" x14ac:dyDescent="0.2">
      <c r="A816" s="191"/>
      <c r="B816" s="191"/>
      <c r="C816" s="191"/>
      <c r="D816" s="191"/>
      <c r="E816" s="191"/>
      <c r="F816" s="191"/>
      <c r="H816" s="182"/>
      <c r="I816" s="1"/>
    </row>
    <row r="817" spans="1:9" ht="12" x14ac:dyDescent="0.2">
      <c r="A817" s="191"/>
      <c r="B817" s="191"/>
      <c r="C817" s="191"/>
      <c r="D817" s="191"/>
      <c r="E817" s="191"/>
      <c r="F817" s="191"/>
      <c r="H817" s="182"/>
      <c r="I817" s="1"/>
    </row>
    <row r="818" spans="1:9" ht="12" x14ac:dyDescent="0.2">
      <c r="A818" s="191"/>
      <c r="B818" s="191"/>
      <c r="C818" s="191"/>
      <c r="D818" s="191"/>
      <c r="E818" s="191"/>
      <c r="F818" s="191"/>
      <c r="H818" s="182"/>
      <c r="I818" s="1"/>
    </row>
    <row r="819" spans="1:9" ht="12" x14ac:dyDescent="0.2">
      <c r="A819" s="191"/>
      <c r="B819" s="191"/>
      <c r="C819" s="191"/>
      <c r="D819" s="191"/>
      <c r="E819" s="191"/>
      <c r="F819" s="191"/>
      <c r="H819" s="182"/>
      <c r="I819" s="1"/>
    </row>
    <row r="820" spans="1:9" ht="12" x14ac:dyDescent="0.2">
      <c r="A820" s="191"/>
      <c r="B820" s="191"/>
      <c r="C820" s="191"/>
      <c r="D820" s="191"/>
      <c r="E820" s="191"/>
      <c r="F820" s="191"/>
      <c r="H820" s="182"/>
      <c r="I820" s="1"/>
    </row>
    <row r="821" spans="1:9" ht="12" x14ac:dyDescent="0.2">
      <c r="A821" s="191"/>
      <c r="B821" s="191"/>
      <c r="C821" s="191"/>
      <c r="D821" s="191"/>
      <c r="E821" s="191"/>
      <c r="F821" s="191"/>
      <c r="H821" s="182"/>
      <c r="I821" s="1"/>
    </row>
    <row r="822" spans="1:9" ht="12" x14ac:dyDescent="0.2">
      <c r="A822" s="191"/>
      <c r="B822" s="191"/>
      <c r="C822" s="191"/>
      <c r="D822" s="191"/>
      <c r="E822" s="191"/>
      <c r="F822" s="191"/>
      <c r="H822" s="182"/>
      <c r="I822" s="1"/>
    </row>
    <row r="823" spans="1:9" ht="12" x14ac:dyDescent="0.2">
      <c r="A823" s="191"/>
      <c r="B823" s="191"/>
      <c r="C823" s="191"/>
      <c r="D823" s="191"/>
      <c r="E823" s="191"/>
      <c r="F823" s="191"/>
      <c r="H823" s="182"/>
      <c r="I823" s="1"/>
    </row>
    <row r="824" spans="1:9" ht="12" x14ac:dyDescent="0.2">
      <c r="A824" s="191"/>
      <c r="B824" s="191"/>
      <c r="C824" s="191"/>
      <c r="D824" s="191"/>
      <c r="E824" s="191"/>
      <c r="F824" s="191"/>
      <c r="H824" s="182"/>
      <c r="I824" s="1"/>
    </row>
    <row r="825" spans="1:9" ht="12" x14ac:dyDescent="0.2">
      <c r="A825" s="191"/>
      <c r="B825" s="191"/>
      <c r="C825" s="191"/>
      <c r="D825" s="191"/>
      <c r="E825" s="191"/>
      <c r="F825" s="191"/>
      <c r="H825" s="182"/>
      <c r="I825" s="1"/>
    </row>
    <row r="826" spans="1:9" ht="12" x14ac:dyDescent="0.2">
      <c r="A826" s="191"/>
      <c r="B826" s="191"/>
      <c r="C826" s="191"/>
      <c r="D826" s="191"/>
      <c r="E826" s="191"/>
      <c r="F826" s="191"/>
      <c r="H826" s="182"/>
      <c r="I826" s="1"/>
    </row>
    <row r="827" spans="1:9" ht="12" x14ac:dyDescent="0.2">
      <c r="A827" s="191"/>
      <c r="B827" s="191"/>
      <c r="C827" s="191"/>
      <c r="D827" s="191"/>
      <c r="E827" s="191"/>
      <c r="F827" s="191"/>
      <c r="H827" s="182"/>
      <c r="I827" s="1"/>
    </row>
    <row r="828" spans="1:9" ht="12" x14ac:dyDescent="0.2">
      <c r="A828" s="191"/>
      <c r="B828" s="191"/>
      <c r="C828" s="191"/>
      <c r="D828" s="191"/>
      <c r="E828" s="191"/>
      <c r="F828" s="191"/>
      <c r="H828" s="182"/>
      <c r="I828" s="1"/>
    </row>
    <row r="829" spans="1:9" ht="12" x14ac:dyDescent="0.2">
      <c r="A829" s="191"/>
      <c r="B829" s="191"/>
      <c r="C829" s="191"/>
      <c r="D829" s="191"/>
      <c r="E829" s="191"/>
      <c r="F829" s="191"/>
      <c r="H829" s="182"/>
      <c r="I829" s="1"/>
    </row>
    <row r="830" spans="1:9" ht="12" x14ac:dyDescent="0.2">
      <c r="A830" s="191"/>
      <c r="B830" s="191"/>
      <c r="C830" s="191"/>
      <c r="D830" s="191"/>
      <c r="E830" s="191"/>
      <c r="F830" s="191"/>
      <c r="H830" s="182"/>
      <c r="I830" s="1"/>
    </row>
    <row r="831" spans="1:9" ht="12" x14ac:dyDescent="0.2">
      <c r="A831" s="191"/>
      <c r="B831" s="191"/>
      <c r="C831" s="191"/>
      <c r="D831" s="191"/>
      <c r="E831" s="191"/>
      <c r="F831" s="191"/>
      <c r="H831" s="182"/>
      <c r="I831" s="1"/>
    </row>
    <row r="832" spans="1:9" ht="12" x14ac:dyDescent="0.2">
      <c r="A832" s="191"/>
      <c r="B832" s="191"/>
      <c r="C832" s="191"/>
      <c r="D832" s="191"/>
      <c r="E832" s="191"/>
      <c r="F832" s="191"/>
      <c r="H832" s="182"/>
      <c r="I832" s="1"/>
    </row>
    <row r="833" spans="1:9" ht="12" x14ac:dyDescent="0.2">
      <c r="A833" s="191"/>
      <c r="B833" s="191"/>
      <c r="C833" s="191"/>
      <c r="D833" s="191"/>
      <c r="E833" s="191"/>
      <c r="F833" s="191"/>
      <c r="H833" s="182"/>
      <c r="I833" s="1"/>
    </row>
    <row r="834" spans="1:9" ht="12" x14ac:dyDescent="0.2">
      <c r="A834" s="191"/>
      <c r="B834" s="191"/>
      <c r="C834" s="191"/>
      <c r="D834" s="191"/>
      <c r="E834" s="191"/>
      <c r="F834" s="191"/>
      <c r="H834" s="182"/>
      <c r="I834" s="1"/>
    </row>
    <row r="835" spans="1:9" ht="12" x14ac:dyDescent="0.2">
      <c r="A835" s="191"/>
      <c r="B835" s="191"/>
      <c r="C835" s="191"/>
      <c r="D835" s="191"/>
      <c r="E835" s="191"/>
      <c r="F835" s="191"/>
      <c r="H835" s="182"/>
      <c r="I835" s="1"/>
    </row>
    <row r="836" spans="1:9" ht="12" x14ac:dyDescent="0.2">
      <c r="A836" s="191"/>
      <c r="B836" s="191"/>
      <c r="C836" s="191"/>
      <c r="D836" s="191"/>
      <c r="E836" s="191"/>
      <c r="F836" s="191"/>
      <c r="H836" s="182"/>
      <c r="I836" s="1"/>
    </row>
    <row r="837" spans="1:9" ht="12" x14ac:dyDescent="0.2">
      <c r="A837" s="191"/>
      <c r="B837" s="191"/>
      <c r="C837" s="191"/>
      <c r="D837" s="191"/>
      <c r="E837" s="191"/>
      <c r="F837" s="191"/>
      <c r="H837" s="182"/>
      <c r="I837" s="1"/>
    </row>
    <row r="838" spans="1:9" ht="12" x14ac:dyDescent="0.2">
      <c r="A838" s="191"/>
      <c r="B838" s="191"/>
      <c r="C838" s="191"/>
      <c r="D838" s="191"/>
      <c r="E838" s="191"/>
      <c r="F838" s="191"/>
      <c r="H838" s="182"/>
      <c r="I838" s="1"/>
    </row>
    <row r="839" spans="1:9" ht="12" x14ac:dyDescent="0.2">
      <c r="A839" s="191"/>
      <c r="B839" s="191"/>
      <c r="C839" s="191"/>
      <c r="D839" s="191"/>
      <c r="E839" s="191"/>
      <c r="F839" s="191"/>
      <c r="H839" s="182"/>
      <c r="I839" s="1"/>
    </row>
    <row r="840" spans="1:9" ht="12" x14ac:dyDescent="0.2">
      <c r="A840" s="191"/>
      <c r="B840" s="191"/>
      <c r="C840" s="191"/>
      <c r="D840" s="191"/>
      <c r="E840" s="191"/>
      <c r="F840" s="191"/>
      <c r="H840" s="182"/>
      <c r="I840" s="1"/>
    </row>
    <row r="841" spans="1:9" ht="12" x14ac:dyDescent="0.2">
      <c r="A841" s="191"/>
      <c r="B841" s="191"/>
      <c r="C841" s="191"/>
      <c r="D841" s="191"/>
      <c r="E841" s="191"/>
      <c r="F841" s="191"/>
      <c r="H841" s="182"/>
      <c r="I841" s="1"/>
    </row>
    <row r="842" spans="1:9" ht="12" x14ac:dyDescent="0.2">
      <c r="A842" s="191"/>
      <c r="B842" s="191"/>
      <c r="C842" s="191"/>
      <c r="D842" s="191"/>
      <c r="E842" s="191"/>
      <c r="F842" s="191"/>
      <c r="H842" s="182"/>
      <c r="I842" s="1"/>
    </row>
    <row r="843" spans="1:9" ht="12" x14ac:dyDescent="0.2">
      <c r="A843" s="191"/>
      <c r="B843" s="191"/>
      <c r="C843" s="191"/>
      <c r="D843" s="191"/>
      <c r="E843" s="191"/>
      <c r="F843" s="191"/>
      <c r="H843" s="182"/>
      <c r="I843" s="1"/>
    </row>
    <row r="844" spans="1:9" ht="12" x14ac:dyDescent="0.2">
      <c r="A844" s="191"/>
      <c r="B844" s="191"/>
      <c r="C844" s="191"/>
      <c r="D844" s="191"/>
      <c r="E844" s="191"/>
      <c r="F844" s="191"/>
      <c r="H844" s="182"/>
      <c r="I844" s="1"/>
    </row>
    <row r="845" spans="1:9" ht="12" x14ac:dyDescent="0.2">
      <c r="A845" s="191"/>
      <c r="B845" s="191"/>
      <c r="C845" s="191"/>
      <c r="D845" s="191"/>
      <c r="E845" s="191"/>
      <c r="F845" s="191"/>
      <c r="H845" s="182"/>
      <c r="I845" s="1"/>
    </row>
    <row r="846" spans="1:9" ht="12" x14ac:dyDescent="0.2">
      <c r="A846" s="191"/>
      <c r="B846" s="191"/>
      <c r="C846" s="191"/>
      <c r="D846" s="191"/>
      <c r="E846" s="191"/>
      <c r="F846" s="191"/>
      <c r="H846" s="182"/>
      <c r="I846" s="1"/>
    </row>
    <row r="847" spans="1:9" ht="12" x14ac:dyDescent="0.2">
      <c r="A847" s="191"/>
      <c r="B847" s="191"/>
      <c r="C847" s="191"/>
      <c r="D847" s="191"/>
      <c r="E847" s="191"/>
      <c r="F847" s="191"/>
      <c r="H847" s="182"/>
      <c r="I847" s="1"/>
    </row>
    <row r="848" spans="1:9" ht="12" x14ac:dyDescent="0.2">
      <c r="A848" s="191"/>
      <c r="B848" s="191"/>
      <c r="C848" s="191"/>
      <c r="D848" s="191"/>
      <c r="E848" s="191"/>
      <c r="F848" s="191"/>
      <c r="H848" s="182"/>
      <c r="I848" s="1"/>
    </row>
    <row r="849" spans="1:11" ht="12.75" x14ac:dyDescent="0.2">
      <c r="A849" s="199" t="s">
        <v>3550</v>
      </c>
      <c r="B849" s="192"/>
      <c r="C849" s="128"/>
      <c r="D849" s="192"/>
      <c r="E849" s="192"/>
      <c r="F849" s="192"/>
      <c r="G849" s="128"/>
      <c r="H849" s="128"/>
      <c r="I849" s="192"/>
      <c r="J849" s="128"/>
      <c r="K849" s="128"/>
    </row>
    <row r="850" spans="1:11" ht="12.75" x14ac:dyDescent="0.2">
      <c r="A850" s="199" t="s">
        <v>3551</v>
      </c>
      <c r="B850" s="192"/>
      <c r="C850" s="128"/>
      <c r="D850" s="192"/>
      <c r="E850" s="192"/>
      <c r="F850" s="192"/>
      <c r="G850" s="128"/>
      <c r="H850" s="128"/>
      <c r="I850" s="192"/>
      <c r="J850" s="128"/>
      <c r="K850" s="128"/>
    </row>
    <row r="851" spans="1:11" ht="12.75" x14ac:dyDescent="0.2">
      <c r="A851" s="313" t="s">
        <v>3259</v>
      </c>
      <c r="B851" s="313"/>
      <c r="C851" s="313"/>
      <c r="D851" s="313"/>
      <c r="E851" s="313"/>
      <c r="F851" s="313"/>
      <c r="G851" s="313"/>
      <c r="H851" s="313"/>
      <c r="I851" s="313"/>
      <c r="J851" s="313"/>
      <c r="K851" s="313"/>
    </row>
    <row r="852" spans="1:11" ht="12.75" x14ac:dyDescent="0.2">
      <c r="A852" s="313" t="s">
        <v>3463</v>
      </c>
      <c r="B852" s="313"/>
      <c r="C852" s="313"/>
      <c r="D852" s="313"/>
      <c r="E852" s="313"/>
      <c r="F852" s="313"/>
      <c r="G852" s="313"/>
      <c r="H852" s="313"/>
      <c r="I852" s="313"/>
      <c r="J852" s="313"/>
      <c r="K852" s="313"/>
    </row>
    <row r="853" spans="1:11" x14ac:dyDescent="0.2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</row>
    <row r="854" spans="1:11" x14ac:dyDescent="0.2">
      <c r="A854" s="287" t="s">
        <v>3260</v>
      </c>
      <c r="B854" s="288"/>
      <c r="C854" s="289" t="s">
        <v>8</v>
      </c>
      <c r="D854" s="287" t="s">
        <v>3261</v>
      </c>
      <c r="E854" s="288"/>
      <c r="F854" s="308" t="s">
        <v>76</v>
      </c>
      <c r="G854" s="309"/>
      <c r="H854" s="310"/>
      <c r="I854" s="308" t="s">
        <v>5</v>
      </c>
      <c r="J854" s="309"/>
      <c r="K854" s="310"/>
    </row>
    <row r="855" spans="1:11" ht="11.25" customHeight="1" x14ac:dyDescent="0.2">
      <c r="A855" s="289" t="s">
        <v>7</v>
      </c>
      <c r="B855" s="289" t="s">
        <v>16</v>
      </c>
      <c r="C855" s="290"/>
      <c r="D855" s="292" t="s">
        <v>7</v>
      </c>
      <c r="E855" s="292" t="s">
        <v>3262</v>
      </c>
      <c r="F855" s="292" t="s">
        <v>3252</v>
      </c>
      <c r="G855" s="292" t="s">
        <v>3251</v>
      </c>
      <c r="H855" s="292" t="s">
        <v>3452</v>
      </c>
      <c r="I855" s="292" t="s">
        <v>3252</v>
      </c>
      <c r="J855" s="292" t="s">
        <v>3251</v>
      </c>
      <c r="K855" s="292" t="s">
        <v>3452</v>
      </c>
    </row>
    <row r="856" spans="1:11" x14ac:dyDescent="0.2">
      <c r="A856" s="291"/>
      <c r="B856" s="291"/>
      <c r="C856" s="291"/>
      <c r="D856" s="294"/>
      <c r="E856" s="294"/>
      <c r="F856" s="294"/>
      <c r="G856" s="294"/>
      <c r="H856" s="294"/>
      <c r="I856" s="294"/>
      <c r="J856" s="294"/>
      <c r="K856" s="294"/>
    </row>
    <row r="857" spans="1:11" x14ac:dyDescent="0.2">
      <c r="A857" s="198"/>
      <c r="B857" s="176"/>
      <c r="C857" s="55"/>
      <c r="D857" s="10"/>
      <c r="E857" s="6"/>
      <c r="F857" s="178"/>
      <c r="G857" s="185"/>
      <c r="H857" s="179"/>
      <c r="I857" s="10"/>
      <c r="J857" s="30"/>
      <c r="K857" s="200">
        <f>H857</f>
        <v>0</v>
      </c>
    </row>
    <row r="858" spans="1:11" x14ac:dyDescent="0.2">
      <c r="A858" s="62"/>
      <c r="B858" s="62"/>
      <c r="C858" s="30"/>
      <c r="D858" s="10"/>
      <c r="E858" s="10"/>
      <c r="F858" s="177"/>
      <c r="G858" s="184"/>
      <c r="H858" s="180"/>
      <c r="I858" s="10"/>
      <c r="J858" s="30"/>
      <c r="K858" s="200">
        <f t="shared" ref="K858:K947" si="26">H858</f>
        <v>0</v>
      </c>
    </row>
    <row r="859" spans="1:11" x14ac:dyDescent="0.2">
      <c r="A859" s="62"/>
      <c r="B859" s="62"/>
      <c r="C859" s="30"/>
      <c r="D859" s="10"/>
      <c r="E859" s="10"/>
      <c r="F859" s="177"/>
      <c r="G859" s="184"/>
      <c r="H859" s="180"/>
      <c r="I859" s="10"/>
      <c r="J859" s="30"/>
      <c r="K859" s="200">
        <f t="shared" si="26"/>
        <v>0</v>
      </c>
    </row>
    <row r="860" spans="1:11" x14ac:dyDescent="0.2">
      <c r="A860" s="62"/>
      <c r="B860" s="62"/>
      <c r="C860" s="30"/>
      <c r="D860" s="10"/>
      <c r="E860" s="10"/>
      <c r="F860" s="177"/>
      <c r="G860" s="184"/>
      <c r="H860" s="180"/>
      <c r="I860" s="10"/>
      <c r="J860" s="30"/>
      <c r="K860" s="200">
        <f t="shared" si="26"/>
        <v>0</v>
      </c>
    </row>
    <row r="861" spans="1:11" x14ac:dyDescent="0.2">
      <c r="A861" s="62"/>
      <c r="B861" s="62"/>
      <c r="C861" s="30"/>
      <c r="D861" s="10"/>
      <c r="E861" s="10"/>
      <c r="F861" s="177"/>
      <c r="G861" s="184"/>
      <c r="H861" s="180"/>
      <c r="I861" s="10"/>
      <c r="J861" s="30"/>
      <c r="K861" s="200">
        <f t="shared" si="26"/>
        <v>0</v>
      </c>
    </row>
    <row r="862" spans="1:11" x14ac:dyDescent="0.2">
      <c r="A862" s="62"/>
      <c r="B862" s="62"/>
      <c r="C862" s="30"/>
      <c r="D862" s="10"/>
      <c r="E862" s="10"/>
      <c r="F862" s="177"/>
      <c r="G862" s="184"/>
      <c r="H862" s="180"/>
      <c r="I862" s="10"/>
      <c r="J862" s="30"/>
      <c r="K862" s="200">
        <f t="shared" si="26"/>
        <v>0</v>
      </c>
    </row>
    <row r="863" spans="1:11" x14ac:dyDescent="0.2">
      <c r="A863" s="62"/>
      <c r="B863" s="62"/>
      <c r="C863" s="30"/>
      <c r="D863" s="10"/>
      <c r="E863" s="10"/>
      <c r="F863" s="177"/>
      <c r="G863" s="184"/>
      <c r="H863" s="180"/>
      <c r="I863" s="10"/>
      <c r="J863" s="30"/>
      <c r="K863" s="200">
        <f t="shared" si="26"/>
        <v>0</v>
      </c>
    </row>
    <row r="864" spans="1:11" x14ac:dyDescent="0.2">
      <c r="A864" s="62"/>
      <c r="B864" s="62"/>
      <c r="C864" s="30"/>
      <c r="D864" s="10"/>
      <c r="E864" s="10"/>
      <c r="F864" s="177"/>
      <c r="G864" s="184"/>
      <c r="H864" s="180"/>
      <c r="I864" s="10"/>
      <c r="J864" s="30"/>
      <c r="K864" s="200">
        <f t="shared" si="26"/>
        <v>0</v>
      </c>
    </row>
    <row r="865" spans="1:11" x14ac:dyDescent="0.2">
      <c r="A865" s="62"/>
      <c r="B865" s="62"/>
      <c r="C865" s="30"/>
      <c r="D865" s="10"/>
      <c r="E865" s="10"/>
      <c r="F865" s="177"/>
      <c r="G865" s="184"/>
      <c r="H865" s="180"/>
      <c r="I865" s="10"/>
      <c r="J865" s="30"/>
      <c r="K865" s="200">
        <f>H865</f>
        <v>0</v>
      </c>
    </row>
    <row r="866" spans="1:11" x14ac:dyDescent="0.2">
      <c r="A866" s="62"/>
      <c r="B866" s="62"/>
      <c r="C866" s="30"/>
      <c r="D866" s="10"/>
      <c r="E866" s="10"/>
      <c r="F866" s="177"/>
      <c r="G866" s="184"/>
      <c r="H866" s="180"/>
      <c r="I866" s="10"/>
      <c r="J866" s="30"/>
      <c r="K866" s="200">
        <f t="shared" si="26"/>
        <v>0</v>
      </c>
    </row>
    <row r="867" spans="1:11" x14ac:dyDescent="0.2">
      <c r="A867" s="62"/>
      <c r="B867" s="62"/>
      <c r="C867" s="30"/>
      <c r="D867" s="10"/>
      <c r="E867" s="10"/>
      <c r="F867" s="177"/>
      <c r="G867" s="184"/>
      <c r="H867" s="180"/>
      <c r="I867" s="10"/>
      <c r="J867" s="30"/>
      <c r="K867" s="200">
        <f t="shared" si="26"/>
        <v>0</v>
      </c>
    </row>
    <row r="868" spans="1:11" x14ac:dyDescent="0.2">
      <c r="A868" s="62"/>
      <c r="B868" s="62"/>
      <c r="C868" s="30"/>
      <c r="D868" s="10"/>
      <c r="E868" s="10"/>
      <c r="F868" s="177"/>
      <c r="G868" s="184"/>
      <c r="H868" s="180"/>
      <c r="I868" s="10"/>
      <c r="J868" s="30"/>
      <c r="K868" s="200">
        <f t="shared" si="26"/>
        <v>0</v>
      </c>
    </row>
    <row r="869" spans="1:11" x14ac:dyDescent="0.2">
      <c r="A869" s="62"/>
      <c r="B869" s="62"/>
      <c r="C869" s="30"/>
      <c r="D869" s="10"/>
      <c r="E869" s="10"/>
      <c r="F869" s="177"/>
      <c r="G869" s="184"/>
      <c r="H869" s="180"/>
      <c r="I869" s="10"/>
      <c r="J869" s="30"/>
      <c r="K869" s="200">
        <f t="shared" si="26"/>
        <v>0</v>
      </c>
    </row>
    <row r="870" spans="1:11" x14ac:dyDescent="0.2">
      <c r="A870" s="62"/>
      <c r="B870" s="62"/>
      <c r="C870" s="30"/>
      <c r="D870" s="10"/>
      <c r="E870" s="10"/>
      <c r="F870" s="177"/>
      <c r="G870" s="184"/>
      <c r="H870" s="180"/>
      <c r="I870" s="10"/>
      <c r="J870" s="30"/>
      <c r="K870" s="200">
        <f t="shared" si="26"/>
        <v>0</v>
      </c>
    </row>
    <row r="871" spans="1:11" x14ac:dyDescent="0.2">
      <c r="A871" s="62"/>
      <c r="B871" s="62"/>
      <c r="C871" s="30"/>
      <c r="D871" s="10"/>
      <c r="E871" s="10"/>
      <c r="F871" s="177"/>
      <c r="G871" s="184"/>
      <c r="H871" s="180"/>
      <c r="I871" s="10"/>
      <c r="J871" s="30"/>
      <c r="K871" s="200">
        <f t="shared" si="26"/>
        <v>0</v>
      </c>
    </row>
    <row r="872" spans="1:11" x14ac:dyDescent="0.2">
      <c r="A872" s="62"/>
      <c r="B872" s="62"/>
      <c r="C872" s="30"/>
      <c r="D872" s="10"/>
      <c r="E872" s="10"/>
      <c r="F872" s="177"/>
      <c r="G872" s="184"/>
      <c r="H872" s="180"/>
      <c r="I872" s="10"/>
      <c r="J872" s="30"/>
      <c r="K872" s="200">
        <f t="shared" si="26"/>
        <v>0</v>
      </c>
    </row>
    <row r="873" spans="1:11" x14ac:dyDescent="0.2">
      <c r="A873" s="62"/>
      <c r="B873" s="62"/>
      <c r="C873" s="30"/>
      <c r="D873" s="10"/>
      <c r="E873" s="10"/>
      <c r="F873" s="177"/>
      <c r="G873" s="184"/>
      <c r="H873" s="180"/>
      <c r="I873" s="10"/>
      <c r="J873" s="30"/>
      <c r="K873" s="200">
        <f t="shared" si="26"/>
        <v>0</v>
      </c>
    </row>
    <row r="874" spans="1:11" x14ac:dyDescent="0.2">
      <c r="A874" s="62"/>
      <c r="B874" s="62"/>
      <c r="C874" s="30"/>
      <c r="D874" s="10"/>
      <c r="E874" s="10"/>
      <c r="F874" s="177"/>
      <c r="G874" s="184"/>
      <c r="H874" s="180"/>
      <c r="I874" s="10"/>
      <c r="J874" s="30"/>
      <c r="K874" s="200">
        <f t="shared" si="26"/>
        <v>0</v>
      </c>
    </row>
    <row r="875" spans="1:11" x14ac:dyDescent="0.2">
      <c r="A875" s="62"/>
      <c r="B875" s="62"/>
      <c r="C875" s="30"/>
      <c r="D875" s="10"/>
      <c r="E875" s="10"/>
      <c r="F875" s="177"/>
      <c r="G875" s="184"/>
      <c r="H875" s="180"/>
      <c r="I875" s="10"/>
      <c r="J875" s="30"/>
      <c r="K875" s="200">
        <f t="shared" si="26"/>
        <v>0</v>
      </c>
    </row>
    <row r="876" spans="1:11" x14ac:dyDescent="0.2">
      <c r="A876" s="62"/>
      <c r="B876" s="62"/>
      <c r="C876" s="30"/>
      <c r="D876" s="10"/>
      <c r="E876" s="10"/>
      <c r="F876" s="177"/>
      <c r="G876" s="184"/>
      <c r="H876" s="180"/>
      <c r="I876" s="10"/>
      <c r="J876" s="30"/>
      <c r="K876" s="200">
        <f t="shared" si="26"/>
        <v>0</v>
      </c>
    </row>
    <row r="877" spans="1:11" x14ac:dyDescent="0.2">
      <c r="A877" s="62"/>
      <c r="B877" s="62"/>
      <c r="C877" s="30"/>
      <c r="D877" s="10"/>
      <c r="E877" s="10"/>
      <c r="F877" s="177"/>
      <c r="G877" s="184"/>
      <c r="H877" s="180"/>
      <c r="I877" s="10"/>
      <c r="J877" s="30"/>
      <c r="K877" s="200">
        <f t="shared" si="26"/>
        <v>0</v>
      </c>
    </row>
    <row r="878" spans="1:11" x14ac:dyDescent="0.2">
      <c r="A878" s="62"/>
      <c r="B878" s="62"/>
      <c r="C878" s="30"/>
      <c r="D878" s="10"/>
      <c r="E878" s="10"/>
      <c r="F878" s="177"/>
      <c r="G878" s="184"/>
      <c r="H878" s="180"/>
      <c r="I878" s="10"/>
      <c r="J878" s="30"/>
      <c r="K878" s="200">
        <f t="shared" si="26"/>
        <v>0</v>
      </c>
    </row>
    <row r="879" spans="1:11" x14ac:dyDescent="0.2">
      <c r="A879" s="62"/>
      <c r="B879" s="62"/>
      <c r="C879" s="30"/>
      <c r="D879" s="10"/>
      <c r="E879" s="10"/>
      <c r="F879" s="177"/>
      <c r="G879" s="184"/>
      <c r="H879" s="180"/>
      <c r="I879" s="10"/>
      <c r="J879" s="30"/>
      <c r="K879" s="200">
        <f t="shared" si="26"/>
        <v>0</v>
      </c>
    </row>
    <row r="880" spans="1:11" x14ac:dyDescent="0.2">
      <c r="A880" s="62"/>
      <c r="B880" s="62"/>
      <c r="C880" s="30"/>
      <c r="D880" s="10"/>
      <c r="E880" s="10"/>
      <c r="F880" s="177"/>
      <c r="G880" s="184"/>
      <c r="H880" s="180"/>
      <c r="I880" s="10"/>
      <c r="J880" s="30"/>
      <c r="K880" s="200">
        <f t="shared" si="26"/>
        <v>0</v>
      </c>
    </row>
    <row r="881" spans="1:11" x14ac:dyDescent="0.2">
      <c r="A881" s="62"/>
      <c r="B881" s="62"/>
      <c r="C881" s="30"/>
      <c r="D881" s="10"/>
      <c r="E881" s="10"/>
      <c r="F881" s="177"/>
      <c r="G881" s="184"/>
      <c r="H881" s="180"/>
      <c r="I881" s="10"/>
      <c r="J881" s="30"/>
      <c r="K881" s="200">
        <f t="shared" si="26"/>
        <v>0</v>
      </c>
    </row>
    <row r="882" spans="1:11" x14ac:dyDescent="0.2">
      <c r="A882" s="62"/>
      <c r="B882" s="62"/>
      <c r="C882" s="30"/>
      <c r="D882" s="10"/>
      <c r="E882" s="10"/>
      <c r="F882" s="177"/>
      <c r="G882" s="184"/>
      <c r="H882" s="180"/>
      <c r="I882" s="10"/>
      <c r="J882" s="30"/>
      <c r="K882" s="200">
        <f t="shared" si="26"/>
        <v>0</v>
      </c>
    </row>
    <row r="883" spans="1:11" x14ac:dyDescent="0.2">
      <c r="A883" s="62"/>
      <c r="B883" s="62"/>
      <c r="C883" s="30"/>
      <c r="D883" s="10"/>
      <c r="E883" s="10"/>
      <c r="F883" s="177"/>
      <c r="G883" s="184"/>
      <c r="H883" s="180"/>
      <c r="I883" s="10"/>
      <c r="J883" s="30"/>
      <c r="K883" s="200">
        <f t="shared" si="26"/>
        <v>0</v>
      </c>
    </row>
    <row r="884" spans="1:11" x14ac:dyDescent="0.2">
      <c r="A884" s="62"/>
      <c r="B884" s="62"/>
      <c r="C884" s="30"/>
      <c r="D884" s="10"/>
      <c r="E884" s="10"/>
      <c r="F884" s="177"/>
      <c r="G884" s="184"/>
      <c r="H884" s="180"/>
      <c r="I884" s="10"/>
      <c r="J884" s="30"/>
      <c r="K884" s="200">
        <f t="shared" si="26"/>
        <v>0</v>
      </c>
    </row>
    <row r="885" spans="1:11" x14ac:dyDescent="0.2">
      <c r="A885" s="62"/>
      <c r="B885" s="62"/>
      <c r="C885" s="30"/>
      <c r="D885" s="10"/>
      <c r="E885" s="10"/>
      <c r="F885" s="177"/>
      <c r="G885" s="184"/>
      <c r="H885" s="180"/>
      <c r="I885" s="10"/>
      <c r="J885" s="30"/>
      <c r="K885" s="200">
        <f t="shared" si="26"/>
        <v>0</v>
      </c>
    </row>
    <row r="886" spans="1:11" x14ac:dyDescent="0.2">
      <c r="A886" s="62"/>
      <c r="B886" s="62"/>
      <c r="C886" s="30"/>
      <c r="D886" s="10"/>
      <c r="E886" s="10"/>
      <c r="F886" s="177"/>
      <c r="G886" s="184"/>
      <c r="H886" s="180"/>
      <c r="I886" s="10"/>
      <c r="J886" s="30"/>
      <c r="K886" s="200">
        <f t="shared" si="26"/>
        <v>0</v>
      </c>
    </row>
    <row r="887" spans="1:11" x14ac:dyDescent="0.2">
      <c r="A887" s="62"/>
      <c r="B887" s="62"/>
      <c r="C887" s="30"/>
      <c r="D887" s="10"/>
      <c r="E887" s="10"/>
      <c r="F887" s="177"/>
      <c r="G887" s="184"/>
      <c r="H887" s="180"/>
      <c r="I887" s="10"/>
      <c r="J887" s="30"/>
      <c r="K887" s="200">
        <f t="shared" si="26"/>
        <v>0</v>
      </c>
    </row>
    <row r="888" spans="1:11" x14ac:dyDescent="0.2">
      <c r="A888" s="62"/>
      <c r="B888" s="62"/>
      <c r="C888" s="30"/>
      <c r="D888" s="10"/>
      <c r="E888" s="10"/>
      <c r="F888" s="177"/>
      <c r="G888" s="184"/>
      <c r="H888" s="180"/>
      <c r="I888" s="10"/>
      <c r="J888" s="30"/>
      <c r="K888" s="200">
        <f t="shared" si="26"/>
        <v>0</v>
      </c>
    </row>
    <row r="889" spans="1:11" x14ac:dyDescent="0.2">
      <c r="A889" s="62"/>
      <c r="B889" s="62"/>
      <c r="C889" s="30"/>
      <c r="D889" s="10"/>
      <c r="E889" s="10"/>
      <c r="F889" s="177"/>
      <c r="G889" s="184"/>
      <c r="H889" s="180"/>
      <c r="I889" s="10"/>
      <c r="J889" s="30"/>
      <c r="K889" s="200">
        <f t="shared" si="26"/>
        <v>0</v>
      </c>
    </row>
    <row r="890" spans="1:11" x14ac:dyDescent="0.2">
      <c r="A890" s="62"/>
      <c r="B890" s="62"/>
      <c r="C890" s="30"/>
      <c r="D890" s="10"/>
      <c r="E890" s="10"/>
      <c r="F890" s="177"/>
      <c r="G890" s="184"/>
      <c r="H890" s="180"/>
      <c r="I890" s="10"/>
      <c r="J890" s="30"/>
      <c r="K890" s="200">
        <f t="shared" si="26"/>
        <v>0</v>
      </c>
    </row>
    <row r="891" spans="1:11" x14ac:dyDescent="0.2">
      <c r="A891" s="62"/>
      <c r="B891" s="62"/>
      <c r="C891" s="30"/>
      <c r="D891" s="10"/>
      <c r="E891" s="10"/>
      <c r="F891" s="177"/>
      <c r="G891" s="184"/>
      <c r="H891" s="180"/>
      <c r="I891" s="10"/>
      <c r="J891" s="30"/>
      <c r="K891" s="200">
        <f t="shared" si="26"/>
        <v>0</v>
      </c>
    </row>
    <row r="892" spans="1:11" x14ac:dyDescent="0.2">
      <c r="A892" s="62"/>
      <c r="B892" s="62"/>
      <c r="C892" s="30"/>
      <c r="D892" s="10"/>
      <c r="E892" s="10"/>
      <c r="F892" s="177"/>
      <c r="G892" s="184"/>
      <c r="H892" s="180"/>
      <c r="I892" s="10"/>
      <c r="J892" s="30"/>
      <c r="K892" s="200">
        <f t="shared" si="26"/>
        <v>0</v>
      </c>
    </row>
    <row r="893" spans="1:11" x14ac:dyDescent="0.2">
      <c r="A893" s="62"/>
      <c r="B893" s="62"/>
      <c r="C893" s="30"/>
      <c r="D893" s="10"/>
      <c r="E893" s="10"/>
      <c r="F893" s="177"/>
      <c r="G893" s="184"/>
      <c r="H893" s="180"/>
      <c r="I893" s="10"/>
      <c r="J893" s="30"/>
      <c r="K893" s="200">
        <f t="shared" si="26"/>
        <v>0</v>
      </c>
    </row>
    <row r="894" spans="1:11" x14ac:dyDescent="0.2">
      <c r="A894" s="62"/>
      <c r="B894" s="62"/>
      <c r="C894" s="30"/>
      <c r="D894" s="10"/>
      <c r="E894" s="10"/>
      <c r="F894" s="177"/>
      <c r="G894" s="184"/>
      <c r="H894" s="180"/>
      <c r="I894" s="10"/>
      <c r="J894" s="30"/>
      <c r="K894" s="200">
        <f t="shared" si="26"/>
        <v>0</v>
      </c>
    </row>
    <row r="895" spans="1:11" x14ac:dyDescent="0.2">
      <c r="A895" s="62"/>
      <c r="B895" s="62"/>
      <c r="C895" s="30"/>
      <c r="D895" s="10"/>
      <c r="E895" s="10"/>
      <c r="F895" s="177"/>
      <c r="G895" s="184"/>
      <c r="H895" s="180"/>
      <c r="I895" s="10"/>
      <c r="J895" s="30"/>
      <c r="K895" s="200">
        <f t="shared" si="26"/>
        <v>0</v>
      </c>
    </row>
    <row r="896" spans="1:11" x14ac:dyDescent="0.2">
      <c r="A896" s="62"/>
      <c r="B896" s="62"/>
      <c r="C896" s="30"/>
      <c r="D896" s="10"/>
      <c r="E896" s="10"/>
      <c r="F896" s="177"/>
      <c r="G896" s="184"/>
      <c r="H896" s="180"/>
      <c r="I896" s="10"/>
      <c r="J896" s="30"/>
      <c r="K896" s="200">
        <f t="shared" si="26"/>
        <v>0</v>
      </c>
    </row>
    <row r="897" spans="1:11" x14ac:dyDescent="0.2">
      <c r="A897" s="62"/>
      <c r="B897" s="62"/>
      <c r="C897" s="30"/>
      <c r="D897" s="10"/>
      <c r="E897" s="10"/>
      <c r="F897" s="177"/>
      <c r="G897" s="184"/>
      <c r="H897" s="180"/>
      <c r="I897" s="10"/>
      <c r="J897" s="30"/>
      <c r="K897" s="200">
        <f t="shared" si="26"/>
        <v>0</v>
      </c>
    </row>
    <row r="898" spans="1:11" x14ac:dyDescent="0.2">
      <c r="A898" s="62"/>
      <c r="B898" s="62"/>
      <c r="C898" s="30"/>
      <c r="D898" s="10"/>
      <c r="E898" s="10"/>
      <c r="F898" s="177"/>
      <c r="G898" s="184"/>
      <c r="H898" s="180"/>
      <c r="I898" s="10"/>
      <c r="J898" s="30"/>
      <c r="K898" s="200">
        <f t="shared" si="26"/>
        <v>0</v>
      </c>
    </row>
    <row r="899" spans="1:11" x14ac:dyDescent="0.2">
      <c r="A899" s="62"/>
      <c r="B899" s="62"/>
      <c r="C899" s="30"/>
      <c r="D899" s="10"/>
      <c r="E899" s="10"/>
      <c r="F899" s="177"/>
      <c r="G899" s="184"/>
      <c r="H899" s="180"/>
      <c r="I899" s="10"/>
      <c r="J899" s="30"/>
      <c r="K899" s="200">
        <f t="shared" si="26"/>
        <v>0</v>
      </c>
    </row>
    <row r="900" spans="1:11" x14ac:dyDescent="0.2">
      <c r="A900" s="62"/>
      <c r="B900" s="62"/>
      <c r="C900" s="30"/>
      <c r="D900" s="10"/>
      <c r="E900" s="10"/>
      <c r="F900" s="177"/>
      <c r="G900" s="184"/>
      <c r="H900" s="180"/>
      <c r="I900" s="10"/>
      <c r="J900" s="30"/>
      <c r="K900" s="200">
        <f t="shared" si="26"/>
        <v>0</v>
      </c>
    </row>
    <row r="901" spans="1:11" x14ac:dyDescent="0.2">
      <c r="A901" s="62"/>
      <c r="B901" s="62"/>
      <c r="C901" s="30"/>
      <c r="D901" s="10"/>
      <c r="E901" s="10"/>
      <c r="F901" s="177"/>
      <c r="G901" s="184"/>
      <c r="H901" s="180"/>
      <c r="I901" s="10"/>
      <c r="J901" s="30"/>
      <c r="K901" s="200">
        <f t="shared" si="26"/>
        <v>0</v>
      </c>
    </row>
    <row r="902" spans="1:11" x14ac:dyDescent="0.2">
      <c r="A902" s="62"/>
      <c r="B902" s="62"/>
      <c r="C902" s="30"/>
      <c r="D902" s="10"/>
      <c r="E902" s="10"/>
      <c r="F902" s="177"/>
      <c r="G902" s="184"/>
      <c r="H902" s="180"/>
      <c r="I902" s="10"/>
      <c r="J902" s="30"/>
      <c r="K902" s="200">
        <f t="shared" si="26"/>
        <v>0</v>
      </c>
    </row>
    <row r="903" spans="1:11" x14ac:dyDescent="0.2">
      <c r="A903" s="62"/>
      <c r="B903" s="62"/>
      <c r="C903" s="30"/>
      <c r="D903" s="10"/>
      <c r="E903" s="10"/>
      <c r="F903" s="177"/>
      <c r="G903" s="184"/>
      <c r="H903" s="180"/>
      <c r="I903" s="10"/>
      <c r="J903" s="30"/>
      <c r="K903" s="200">
        <f t="shared" si="26"/>
        <v>0</v>
      </c>
    </row>
    <row r="904" spans="1:11" x14ac:dyDescent="0.2">
      <c r="A904" s="62"/>
      <c r="B904" s="62"/>
      <c r="C904" s="30"/>
      <c r="D904" s="10"/>
      <c r="E904" s="10"/>
      <c r="F904" s="177"/>
      <c r="G904" s="184"/>
      <c r="H904" s="180"/>
      <c r="I904" s="10"/>
      <c r="J904" s="30"/>
      <c r="K904" s="200">
        <f t="shared" si="26"/>
        <v>0</v>
      </c>
    </row>
    <row r="905" spans="1:11" x14ac:dyDescent="0.2">
      <c r="A905" s="62"/>
      <c r="B905" s="62"/>
      <c r="C905" s="30"/>
      <c r="D905" s="10"/>
      <c r="E905" s="10"/>
      <c r="F905" s="177"/>
      <c r="G905" s="184"/>
      <c r="H905" s="180"/>
      <c r="I905" s="10"/>
      <c r="J905" s="30"/>
      <c r="K905" s="200">
        <f t="shared" si="26"/>
        <v>0</v>
      </c>
    </row>
    <row r="906" spans="1:11" x14ac:dyDescent="0.2">
      <c r="A906" s="62"/>
      <c r="B906" s="62"/>
      <c r="C906" s="30"/>
      <c r="D906" s="10"/>
      <c r="E906" s="10"/>
      <c r="F906" s="177"/>
      <c r="G906" s="184"/>
      <c r="H906" s="180"/>
      <c r="I906" s="10"/>
      <c r="J906" s="30"/>
      <c r="K906" s="200">
        <f t="shared" si="26"/>
        <v>0</v>
      </c>
    </row>
    <row r="907" spans="1:11" x14ac:dyDescent="0.2">
      <c r="A907" s="62"/>
      <c r="B907" s="62"/>
      <c r="C907" s="30"/>
      <c r="D907" s="10"/>
      <c r="E907" s="10"/>
      <c r="F907" s="177"/>
      <c r="G907" s="184"/>
      <c r="H907" s="180"/>
      <c r="I907" s="10"/>
      <c r="J907" s="30"/>
      <c r="K907" s="200">
        <f t="shared" si="26"/>
        <v>0</v>
      </c>
    </row>
    <row r="908" spans="1:11" x14ac:dyDescent="0.2">
      <c r="A908" s="62"/>
      <c r="B908" s="62"/>
      <c r="C908" s="30"/>
      <c r="D908" s="10"/>
      <c r="E908" s="10"/>
      <c r="F908" s="177"/>
      <c r="G908" s="184"/>
      <c r="H908" s="180"/>
      <c r="I908" s="10"/>
      <c r="J908" s="30"/>
      <c r="K908" s="200">
        <f t="shared" si="26"/>
        <v>0</v>
      </c>
    </row>
    <row r="909" spans="1:11" x14ac:dyDescent="0.2">
      <c r="A909" s="62"/>
      <c r="B909" s="62"/>
      <c r="C909" s="30"/>
      <c r="D909" s="10"/>
      <c r="E909" s="10"/>
      <c r="F909" s="177"/>
      <c r="G909" s="184"/>
      <c r="H909" s="180"/>
      <c r="I909" s="10"/>
      <c r="J909" s="30"/>
      <c r="K909" s="200">
        <f t="shared" si="26"/>
        <v>0</v>
      </c>
    </row>
    <row r="910" spans="1:11" x14ac:dyDescent="0.2">
      <c r="A910" s="62"/>
      <c r="B910" s="62"/>
      <c r="C910" s="30"/>
      <c r="D910" s="10"/>
      <c r="E910" s="10"/>
      <c r="F910" s="177"/>
      <c r="G910" s="184"/>
      <c r="H910" s="180"/>
      <c r="I910" s="10"/>
      <c r="J910" s="30"/>
      <c r="K910" s="200">
        <f t="shared" si="26"/>
        <v>0</v>
      </c>
    </row>
    <row r="911" spans="1:11" x14ac:dyDescent="0.2">
      <c r="A911" s="62"/>
      <c r="B911" s="62"/>
      <c r="C911" s="30"/>
      <c r="D911" s="10"/>
      <c r="E911" s="10"/>
      <c r="F911" s="177"/>
      <c r="G911" s="184"/>
      <c r="H911" s="180"/>
      <c r="I911" s="10"/>
      <c r="J911" s="30"/>
      <c r="K911" s="200">
        <f t="shared" si="26"/>
        <v>0</v>
      </c>
    </row>
    <row r="912" spans="1:11" x14ac:dyDescent="0.2">
      <c r="A912" s="62"/>
      <c r="B912" s="62"/>
      <c r="C912" s="30"/>
      <c r="D912" s="10"/>
      <c r="E912" s="10"/>
      <c r="F912" s="177"/>
      <c r="G912" s="184"/>
      <c r="H912" s="180"/>
      <c r="I912" s="10"/>
      <c r="J912" s="30"/>
      <c r="K912" s="200">
        <f t="shared" si="26"/>
        <v>0</v>
      </c>
    </row>
    <row r="913" spans="1:13" x14ac:dyDescent="0.2">
      <c r="A913" s="62"/>
      <c r="B913" s="62"/>
      <c r="C913" s="30"/>
      <c r="D913" s="10"/>
      <c r="E913" s="10"/>
      <c r="F913" s="177"/>
      <c r="G913" s="184"/>
      <c r="H913" s="180"/>
      <c r="I913" s="10"/>
      <c r="J913" s="30"/>
      <c r="K913" s="200">
        <f t="shared" si="26"/>
        <v>0</v>
      </c>
      <c r="L913" s="311"/>
      <c r="M913" s="312"/>
    </row>
    <row r="914" spans="1:13" x14ac:dyDescent="0.2">
      <c r="A914" s="62"/>
      <c r="B914" s="62"/>
      <c r="C914" s="30"/>
      <c r="D914" s="10"/>
      <c r="E914" s="10"/>
      <c r="F914" s="177"/>
      <c r="G914" s="184"/>
      <c r="H914" s="180"/>
      <c r="I914" s="10"/>
      <c r="J914" s="30"/>
      <c r="K914" s="200">
        <f t="shared" si="26"/>
        <v>0</v>
      </c>
      <c r="M914" s="188"/>
    </row>
    <row r="915" spans="1:13" x14ac:dyDescent="0.2">
      <c r="A915" s="62"/>
      <c r="B915" s="62"/>
      <c r="C915" s="30"/>
      <c r="D915" s="10"/>
      <c r="E915" s="10"/>
      <c r="F915" s="177"/>
      <c r="G915" s="184"/>
      <c r="H915" s="180"/>
      <c r="I915" s="10"/>
      <c r="J915" s="30"/>
      <c r="K915" s="200">
        <f t="shared" si="26"/>
        <v>0</v>
      </c>
      <c r="M915" s="188"/>
    </row>
    <row r="916" spans="1:13" x14ac:dyDescent="0.2">
      <c r="A916" s="62"/>
      <c r="B916" s="62"/>
      <c r="C916" s="30"/>
      <c r="D916" s="10"/>
      <c r="E916" s="10"/>
      <c r="F916" s="177"/>
      <c r="G916" s="184"/>
      <c r="H916" s="180"/>
      <c r="I916" s="10"/>
      <c r="J916" s="30"/>
      <c r="K916" s="200">
        <f t="shared" si="26"/>
        <v>0</v>
      </c>
      <c r="M916" s="160"/>
    </row>
    <row r="917" spans="1:13" x14ac:dyDescent="0.2">
      <c r="A917" s="62"/>
      <c r="B917" s="62"/>
      <c r="C917" s="30"/>
      <c r="D917" s="10"/>
      <c r="E917" s="10"/>
      <c r="F917" s="177"/>
      <c r="G917" s="184"/>
      <c r="H917" s="180"/>
      <c r="I917" s="10"/>
      <c r="J917" s="30"/>
      <c r="K917" s="200">
        <f t="shared" si="26"/>
        <v>0</v>
      </c>
      <c r="M917" s="182"/>
    </row>
    <row r="918" spans="1:13" x14ac:dyDescent="0.2">
      <c r="A918" s="62"/>
      <c r="B918" s="62"/>
      <c r="C918" s="30"/>
      <c r="D918" s="10"/>
      <c r="E918" s="10"/>
      <c r="F918" s="177"/>
      <c r="G918" s="184"/>
      <c r="H918" s="180"/>
      <c r="I918" s="10"/>
      <c r="J918" s="30"/>
      <c r="K918" s="200">
        <f t="shared" si="26"/>
        <v>0</v>
      </c>
    </row>
    <row r="919" spans="1:13" x14ac:dyDescent="0.2">
      <c r="A919" s="62"/>
      <c r="B919" s="62"/>
      <c r="C919" s="30"/>
      <c r="D919" s="10"/>
      <c r="E919" s="10"/>
      <c r="F919" s="177"/>
      <c r="G919" s="184"/>
      <c r="H919" s="180"/>
      <c r="I919" s="10"/>
      <c r="J919" s="30"/>
      <c r="K919" s="200">
        <f t="shared" si="26"/>
        <v>0</v>
      </c>
    </row>
    <row r="920" spans="1:13" x14ac:dyDescent="0.2">
      <c r="A920" s="62"/>
      <c r="B920" s="62"/>
      <c r="C920" s="30"/>
      <c r="D920" s="10"/>
      <c r="E920" s="10"/>
      <c r="F920" s="177"/>
      <c r="G920" s="184"/>
      <c r="H920" s="180"/>
      <c r="I920" s="10"/>
      <c r="J920" s="30"/>
      <c r="K920" s="200">
        <f t="shared" si="26"/>
        <v>0</v>
      </c>
    </row>
    <row r="921" spans="1:13" x14ac:dyDescent="0.2">
      <c r="A921" s="62"/>
      <c r="B921" s="62"/>
      <c r="C921" s="30"/>
      <c r="D921" s="10"/>
      <c r="E921" s="10"/>
      <c r="F921" s="177"/>
      <c r="G921" s="184"/>
      <c r="H921" s="180"/>
      <c r="I921" s="10"/>
      <c r="J921" s="30"/>
      <c r="K921" s="200">
        <f t="shared" si="26"/>
        <v>0</v>
      </c>
    </row>
    <row r="922" spans="1:13" x14ac:dyDescent="0.2">
      <c r="A922" s="62"/>
      <c r="B922" s="62"/>
      <c r="C922" s="30"/>
      <c r="D922" s="10"/>
      <c r="E922" s="10"/>
      <c r="F922" s="177"/>
      <c r="G922" s="184"/>
      <c r="H922" s="180"/>
      <c r="I922" s="10"/>
      <c r="J922" s="30"/>
      <c r="K922" s="200">
        <f t="shared" si="26"/>
        <v>0</v>
      </c>
    </row>
    <row r="923" spans="1:13" x14ac:dyDescent="0.2">
      <c r="A923" s="62"/>
      <c r="B923" s="62"/>
      <c r="C923" s="30"/>
      <c r="D923" s="10"/>
      <c r="E923" s="10"/>
      <c r="F923" s="177"/>
      <c r="G923" s="184"/>
      <c r="H923" s="180"/>
      <c r="I923" s="10"/>
      <c r="J923" s="30"/>
      <c r="K923" s="200">
        <f t="shared" si="26"/>
        <v>0</v>
      </c>
    </row>
    <row r="924" spans="1:13" x14ac:dyDescent="0.2">
      <c r="A924" s="62"/>
      <c r="B924" s="62"/>
      <c r="C924" s="30"/>
      <c r="D924" s="10"/>
      <c r="E924" s="10"/>
      <c r="F924" s="177"/>
      <c r="G924" s="184"/>
      <c r="H924" s="180"/>
      <c r="I924" s="10"/>
      <c r="J924" s="30"/>
      <c r="K924" s="200">
        <f t="shared" si="26"/>
        <v>0</v>
      </c>
    </row>
    <row r="925" spans="1:13" x14ac:dyDescent="0.2">
      <c r="A925" s="62"/>
      <c r="B925" s="62"/>
      <c r="C925" s="30"/>
      <c r="D925" s="10"/>
      <c r="E925" s="10"/>
      <c r="F925" s="177"/>
      <c r="G925" s="184"/>
      <c r="H925" s="180"/>
      <c r="I925" s="10"/>
      <c r="J925" s="30"/>
      <c r="K925" s="200">
        <f t="shared" si="26"/>
        <v>0</v>
      </c>
    </row>
    <row r="926" spans="1:13" x14ac:dyDescent="0.2">
      <c r="A926" s="62"/>
      <c r="B926" s="62"/>
      <c r="C926" s="30"/>
      <c r="D926" s="10"/>
      <c r="E926" s="10"/>
      <c r="F926" s="177"/>
      <c r="G926" s="184"/>
      <c r="H926" s="180"/>
      <c r="I926" s="10"/>
      <c r="J926" s="30"/>
      <c r="K926" s="200">
        <f t="shared" si="26"/>
        <v>0</v>
      </c>
    </row>
    <row r="927" spans="1:13" x14ac:dyDescent="0.2">
      <c r="A927" s="62"/>
      <c r="B927" s="62"/>
      <c r="C927" s="30"/>
      <c r="D927" s="10"/>
      <c r="E927" s="10"/>
      <c r="F927" s="177"/>
      <c r="G927" s="184"/>
      <c r="H927" s="180"/>
      <c r="I927" s="10"/>
      <c r="J927" s="30"/>
      <c r="K927" s="200">
        <f t="shared" si="26"/>
        <v>0</v>
      </c>
    </row>
    <row r="928" spans="1:13" x14ac:dyDescent="0.2">
      <c r="A928" s="62"/>
      <c r="B928" s="62"/>
      <c r="C928" s="30"/>
      <c r="D928" s="10"/>
      <c r="E928" s="10"/>
      <c r="F928" s="177"/>
      <c r="G928" s="184"/>
      <c r="H928" s="180"/>
      <c r="I928" s="10"/>
      <c r="J928" s="30"/>
      <c r="K928" s="200">
        <f t="shared" si="26"/>
        <v>0</v>
      </c>
    </row>
    <row r="929" spans="1:11" x14ac:dyDescent="0.2">
      <c r="A929" s="62"/>
      <c r="B929" s="62"/>
      <c r="C929" s="30"/>
      <c r="D929" s="10"/>
      <c r="E929" s="10"/>
      <c r="F929" s="177"/>
      <c r="G929" s="184"/>
      <c r="H929" s="180"/>
      <c r="I929" s="10"/>
      <c r="J929" s="30"/>
      <c r="K929" s="200">
        <f t="shared" si="26"/>
        <v>0</v>
      </c>
    </row>
    <row r="930" spans="1:11" x14ac:dyDescent="0.2">
      <c r="A930" s="62"/>
      <c r="B930" s="62"/>
      <c r="C930" s="30"/>
      <c r="D930" s="10"/>
      <c r="E930" s="10"/>
      <c r="F930" s="177"/>
      <c r="G930" s="184"/>
      <c r="H930" s="180"/>
      <c r="I930" s="10"/>
      <c r="J930" s="30"/>
      <c r="K930" s="200">
        <f t="shared" si="26"/>
        <v>0</v>
      </c>
    </row>
    <row r="931" spans="1:11" x14ac:dyDescent="0.2">
      <c r="A931" s="62"/>
      <c r="B931" s="62"/>
      <c r="C931" s="30"/>
      <c r="D931" s="10"/>
      <c r="E931" s="10"/>
      <c r="F931" s="177"/>
      <c r="G931" s="184"/>
      <c r="H931" s="180"/>
      <c r="I931" s="10"/>
      <c r="J931" s="30"/>
      <c r="K931" s="200">
        <f t="shared" si="26"/>
        <v>0</v>
      </c>
    </row>
    <row r="932" spans="1:11" x14ac:dyDescent="0.2">
      <c r="A932" s="62"/>
      <c r="B932" s="62"/>
      <c r="C932" s="30"/>
      <c r="D932" s="10"/>
      <c r="E932" s="10"/>
      <c r="F932" s="177"/>
      <c r="G932" s="184"/>
      <c r="H932" s="180"/>
      <c r="I932" s="10"/>
      <c r="J932" s="30"/>
      <c r="K932" s="200">
        <f t="shared" si="26"/>
        <v>0</v>
      </c>
    </row>
    <row r="933" spans="1:11" x14ac:dyDescent="0.2">
      <c r="A933" s="62"/>
      <c r="B933" s="62"/>
      <c r="C933" s="30"/>
      <c r="D933" s="10"/>
      <c r="E933" s="10"/>
      <c r="F933" s="177"/>
      <c r="G933" s="184"/>
      <c r="H933" s="180"/>
      <c r="I933" s="10"/>
      <c r="J933" s="30"/>
      <c r="K933" s="200">
        <f t="shared" si="26"/>
        <v>0</v>
      </c>
    </row>
    <row r="934" spans="1:11" x14ac:dyDescent="0.2">
      <c r="A934" s="62"/>
      <c r="B934" s="62"/>
      <c r="C934" s="30"/>
      <c r="D934" s="10"/>
      <c r="E934" s="10"/>
      <c r="F934" s="177"/>
      <c r="G934" s="184"/>
      <c r="H934" s="180"/>
      <c r="I934" s="10"/>
      <c r="J934" s="30"/>
      <c r="K934" s="200">
        <f t="shared" si="26"/>
        <v>0</v>
      </c>
    </row>
    <row r="935" spans="1:11" x14ac:dyDescent="0.2">
      <c r="A935" s="62"/>
      <c r="B935" s="62"/>
      <c r="C935" s="30"/>
      <c r="D935" s="10"/>
      <c r="E935" s="10"/>
      <c r="F935" s="177"/>
      <c r="G935" s="184"/>
      <c r="H935" s="180"/>
      <c r="I935" s="10"/>
      <c r="J935" s="30"/>
      <c r="K935" s="200">
        <f t="shared" si="26"/>
        <v>0</v>
      </c>
    </row>
    <row r="936" spans="1:11" x14ac:dyDescent="0.2">
      <c r="A936" s="62"/>
      <c r="B936" s="62"/>
      <c r="C936" s="30"/>
      <c r="D936" s="10"/>
      <c r="E936" s="10"/>
      <c r="F936" s="177"/>
      <c r="G936" s="184"/>
      <c r="H936" s="180"/>
      <c r="I936" s="10"/>
      <c r="J936" s="30"/>
      <c r="K936" s="200">
        <f t="shared" si="26"/>
        <v>0</v>
      </c>
    </row>
    <row r="937" spans="1:11" x14ac:dyDescent="0.2">
      <c r="A937" s="62"/>
      <c r="B937" s="62"/>
      <c r="C937" s="30"/>
      <c r="D937" s="10"/>
      <c r="E937" s="10"/>
      <c r="F937" s="177"/>
      <c r="G937" s="184"/>
      <c r="H937" s="180"/>
      <c r="I937" s="10"/>
      <c r="J937" s="30"/>
      <c r="K937" s="200">
        <f t="shared" si="26"/>
        <v>0</v>
      </c>
    </row>
    <row r="938" spans="1:11" x14ac:dyDescent="0.2">
      <c r="A938" s="62"/>
      <c r="B938" s="62"/>
      <c r="C938" s="30"/>
      <c r="D938" s="10"/>
      <c r="E938" s="10"/>
      <c r="F938" s="177"/>
      <c r="G938" s="184"/>
      <c r="H938" s="180"/>
      <c r="I938" s="10"/>
      <c r="J938" s="30"/>
      <c r="K938" s="200">
        <f t="shared" si="26"/>
        <v>0</v>
      </c>
    </row>
    <row r="939" spans="1:11" x14ac:dyDescent="0.2">
      <c r="A939" s="62"/>
      <c r="B939" s="62"/>
      <c r="C939" s="30"/>
      <c r="D939" s="10"/>
      <c r="E939" s="10"/>
      <c r="F939" s="177"/>
      <c r="G939" s="184"/>
      <c r="H939" s="180"/>
      <c r="I939" s="10"/>
      <c r="J939" s="30"/>
      <c r="K939" s="200">
        <f t="shared" si="26"/>
        <v>0</v>
      </c>
    </row>
    <row r="940" spans="1:11" x14ac:dyDescent="0.2">
      <c r="A940" s="62"/>
      <c r="B940" s="62"/>
      <c r="C940" s="30"/>
      <c r="D940" s="10"/>
      <c r="E940" s="10"/>
      <c r="F940" s="177"/>
      <c r="G940" s="184"/>
      <c r="H940" s="180"/>
      <c r="I940" s="10"/>
      <c r="J940" s="30"/>
      <c r="K940" s="200">
        <f t="shared" si="26"/>
        <v>0</v>
      </c>
    </row>
    <row r="941" spans="1:11" x14ac:dyDescent="0.2">
      <c r="A941" s="62"/>
      <c r="B941" s="62"/>
      <c r="C941" s="30"/>
      <c r="D941" s="10"/>
      <c r="E941" s="10"/>
      <c r="F941" s="177"/>
      <c r="G941" s="184"/>
      <c r="H941" s="180"/>
      <c r="I941" s="10"/>
      <c r="J941" s="30"/>
      <c r="K941" s="200">
        <f t="shared" si="26"/>
        <v>0</v>
      </c>
    </row>
    <row r="942" spans="1:11" x14ac:dyDescent="0.2">
      <c r="A942" s="62"/>
      <c r="B942" s="62"/>
      <c r="C942" s="30"/>
      <c r="D942" s="10"/>
      <c r="E942" s="10"/>
      <c r="F942" s="177"/>
      <c r="G942" s="184"/>
      <c r="H942" s="180"/>
      <c r="I942" s="10"/>
      <c r="J942" s="30"/>
      <c r="K942" s="200">
        <f t="shared" si="26"/>
        <v>0</v>
      </c>
    </row>
    <row r="943" spans="1:11" x14ac:dyDescent="0.2">
      <c r="A943" s="62"/>
      <c r="B943" s="62"/>
      <c r="C943" s="30"/>
      <c r="D943" s="10"/>
      <c r="E943" s="10"/>
      <c r="F943" s="177"/>
      <c r="G943" s="184"/>
      <c r="H943" s="180"/>
      <c r="I943" s="10"/>
      <c r="J943" s="30"/>
      <c r="K943" s="200">
        <f t="shared" si="26"/>
        <v>0</v>
      </c>
    </row>
    <row r="944" spans="1:11" x14ac:dyDescent="0.2">
      <c r="A944" s="62"/>
      <c r="B944" s="62"/>
      <c r="C944" s="30"/>
      <c r="D944" s="10"/>
      <c r="E944" s="10"/>
      <c r="F944" s="177"/>
      <c r="G944" s="184"/>
      <c r="H944" s="180"/>
      <c r="I944" s="10"/>
      <c r="J944" s="30"/>
      <c r="K944" s="200">
        <f t="shared" si="26"/>
        <v>0</v>
      </c>
    </row>
    <row r="945" spans="1:11" x14ac:dyDescent="0.2">
      <c r="A945" s="62"/>
      <c r="B945" s="62"/>
      <c r="C945" s="30"/>
      <c r="D945" s="10"/>
      <c r="E945" s="10"/>
      <c r="F945" s="177"/>
      <c r="G945" s="184"/>
      <c r="H945" s="180"/>
      <c r="I945" s="10"/>
      <c r="J945" s="30"/>
      <c r="K945" s="200">
        <f t="shared" si="26"/>
        <v>0</v>
      </c>
    </row>
    <row r="946" spans="1:11" x14ac:dyDescent="0.2">
      <c r="A946" s="62"/>
      <c r="B946" s="62"/>
      <c r="C946" s="30"/>
      <c r="D946" s="10"/>
      <c r="E946" s="10"/>
      <c r="F946" s="177"/>
      <c r="G946" s="184"/>
      <c r="H946" s="180"/>
      <c r="I946" s="10"/>
      <c r="J946" s="30"/>
      <c r="K946" s="200">
        <f t="shared" si="26"/>
        <v>0</v>
      </c>
    </row>
    <row r="947" spans="1:11" x14ac:dyDescent="0.2">
      <c r="A947" s="62"/>
      <c r="B947" s="62"/>
      <c r="C947" s="30"/>
      <c r="D947" s="10"/>
      <c r="E947" s="10"/>
      <c r="F947" s="177"/>
      <c r="G947" s="184"/>
      <c r="H947" s="180"/>
      <c r="I947" s="10"/>
      <c r="J947" s="30"/>
      <c r="K947" s="200">
        <f t="shared" si="26"/>
        <v>0</v>
      </c>
    </row>
    <row r="948" spans="1:11" ht="12" x14ac:dyDescent="0.2">
      <c r="A948" s="300" t="s">
        <v>3454</v>
      </c>
      <c r="B948" s="301"/>
      <c r="C948" s="301"/>
      <c r="D948" s="301"/>
      <c r="E948" s="301"/>
      <c r="F948" s="301"/>
      <c r="G948" s="302"/>
      <c r="H948" s="205">
        <f>SUM(H857:H947)</f>
        <v>0</v>
      </c>
      <c r="I948" s="303" t="s">
        <v>3454</v>
      </c>
      <c r="J948" s="303"/>
      <c r="K948" s="205">
        <f>SUM(K857:K947)</f>
        <v>0</v>
      </c>
    </row>
    <row r="949" spans="1:11" ht="12" x14ac:dyDescent="0.2">
      <c r="A949" s="300" t="s">
        <v>3455</v>
      </c>
      <c r="B949" s="301"/>
      <c r="C949" s="301"/>
      <c r="D949" s="301"/>
      <c r="E949" s="301"/>
      <c r="F949" s="301"/>
      <c r="G949" s="302"/>
      <c r="H949" s="205">
        <f>H799</f>
        <v>325000</v>
      </c>
      <c r="I949" s="303" t="s">
        <v>3455</v>
      </c>
      <c r="J949" s="303"/>
      <c r="K949" s="205">
        <f>K799</f>
        <v>325000</v>
      </c>
    </row>
    <row r="950" spans="1:11" ht="12.75" thickBot="1" x14ac:dyDescent="0.25">
      <c r="A950" s="304" t="s">
        <v>3456</v>
      </c>
      <c r="B950" s="305"/>
      <c r="C950" s="305"/>
      <c r="D950" s="305"/>
      <c r="E950" s="305"/>
      <c r="F950" s="305"/>
      <c r="G950" s="306"/>
      <c r="H950" s="206">
        <f>SUM(H948:H949)</f>
        <v>325000</v>
      </c>
      <c r="I950" s="307" t="s">
        <v>3456</v>
      </c>
      <c r="J950" s="307"/>
      <c r="K950" s="206">
        <f>SUM(K948:K949)</f>
        <v>325000</v>
      </c>
    </row>
    <row r="951" spans="1:11" ht="12" x14ac:dyDescent="0.2">
      <c r="A951" s="82"/>
      <c r="B951" s="82"/>
      <c r="C951" s="82"/>
      <c r="D951" s="82"/>
      <c r="E951" s="82"/>
      <c r="F951" s="82"/>
      <c r="G951" s="82"/>
      <c r="H951" s="211"/>
      <c r="I951" s="211"/>
      <c r="J951" s="211"/>
      <c r="K951" s="211"/>
    </row>
    <row r="952" spans="1:11" ht="12" x14ac:dyDescent="0.2">
      <c r="A952" s="82"/>
      <c r="B952" s="82"/>
      <c r="C952" s="82"/>
      <c r="D952" s="82"/>
      <c r="E952" s="82"/>
      <c r="F952" s="82"/>
      <c r="G952" s="212"/>
      <c r="H952" s="213"/>
      <c r="I952" s="299" t="s">
        <v>3450</v>
      </c>
      <c r="J952" s="299"/>
      <c r="K952" s="299"/>
    </row>
    <row r="953" spans="1:11" ht="12" x14ac:dyDescent="0.2">
      <c r="A953" s="82"/>
      <c r="B953" s="82"/>
      <c r="C953" s="82"/>
      <c r="D953" s="82"/>
      <c r="E953" s="82"/>
      <c r="F953" s="82"/>
      <c r="G953" s="212" t="s">
        <v>3459</v>
      </c>
      <c r="H953" s="211"/>
      <c r="I953" s="299" t="s">
        <v>3623</v>
      </c>
      <c r="J953" s="299"/>
      <c r="K953" s="299"/>
    </row>
    <row r="954" spans="1:11" ht="12" x14ac:dyDescent="0.2">
      <c r="A954" s="82"/>
      <c r="B954" s="82"/>
      <c r="C954" s="82"/>
      <c r="D954" s="82"/>
      <c r="E954" s="82"/>
      <c r="F954" s="82"/>
      <c r="G954" s="217"/>
      <c r="H954" s="211">
        <f>H948-H953</f>
        <v>0</v>
      </c>
      <c r="I954" s="1"/>
    </row>
    <row r="955" spans="1:11" ht="12" x14ac:dyDescent="0.2">
      <c r="A955" s="82"/>
      <c r="B955" s="82"/>
      <c r="C955" s="82"/>
      <c r="D955" s="82"/>
      <c r="E955" s="82"/>
      <c r="F955" s="82"/>
      <c r="G955" s="82"/>
      <c r="H955" s="211"/>
      <c r="I955" s="1"/>
    </row>
    <row r="956" spans="1:11" ht="12" x14ac:dyDescent="0.2">
      <c r="A956" s="82"/>
      <c r="B956" s="82"/>
      <c r="C956" s="82"/>
      <c r="D956" s="82"/>
      <c r="E956" s="82"/>
      <c r="F956" s="82"/>
      <c r="G956" s="82"/>
      <c r="H956" s="211"/>
      <c r="I956" s="1"/>
    </row>
    <row r="957" spans="1:11" ht="12.75" x14ac:dyDescent="0.2">
      <c r="A957" s="82"/>
      <c r="B957" s="82"/>
      <c r="C957" s="82"/>
      <c r="D957" s="82"/>
      <c r="E957" s="82"/>
      <c r="F957" s="82"/>
      <c r="G957" s="82"/>
      <c r="H957" s="211"/>
      <c r="I957" s="1"/>
      <c r="J957" s="193" t="s">
        <v>3451</v>
      </c>
    </row>
    <row r="958" spans="1:11" ht="12" x14ac:dyDescent="0.2">
      <c r="A958" s="82"/>
      <c r="B958" s="82"/>
      <c r="C958" s="82"/>
      <c r="D958" s="82"/>
      <c r="E958" s="82"/>
      <c r="F958" s="82"/>
      <c r="G958" s="82"/>
      <c r="H958" s="211"/>
      <c r="I958" s="211"/>
      <c r="J958" s="211"/>
      <c r="K958" s="211"/>
    </row>
    <row r="959" spans="1:11" ht="12" x14ac:dyDescent="0.2">
      <c r="A959" s="82"/>
      <c r="B959" s="82"/>
      <c r="C959" s="82"/>
      <c r="D959" s="82"/>
      <c r="E959" s="82"/>
      <c r="F959" s="82"/>
      <c r="G959" s="82"/>
      <c r="H959" s="211"/>
      <c r="I959" s="211"/>
      <c r="J959" s="211"/>
      <c r="K959" s="211"/>
    </row>
    <row r="960" spans="1:11" ht="12" x14ac:dyDescent="0.2">
      <c r="A960" s="82"/>
      <c r="B960" s="82"/>
      <c r="C960" s="82"/>
      <c r="D960" s="82"/>
      <c r="E960" s="82"/>
      <c r="F960" s="82"/>
      <c r="G960" s="82"/>
      <c r="H960" s="211"/>
      <c r="I960" s="211"/>
      <c r="J960" s="211"/>
      <c r="K960" s="211"/>
    </row>
    <row r="961" spans="1:11" ht="12" x14ac:dyDescent="0.2">
      <c r="A961" s="82"/>
      <c r="B961" s="82"/>
      <c r="C961" s="82"/>
      <c r="D961" s="82"/>
      <c r="E961" s="82"/>
      <c r="F961" s="82"/>
      <c r="G961" s="82"/>
      <c r="H961" s="211"/>
      <c r="I961" s="211"/>
      <c r="J961" s="211"/>
      <c r="K961" s="211"/>
    </row>
    <row r="962" spans="1:11" ht="12" x14ac:dyDescent="0.2">
      <c r="A962" s="82"/>
      <c r="B962" s="82"/>
      <c r="C962" s="82"/>
      <c r="D962" s="82"/>
      <c r="E962" s="82"/>
      <c r="F962" s="82"/>
      <c r="G962" s="82"/>
      <c r="H962" s="211"/>
      <c r="I962" s="211"/>
      <c r="J962" s="211"/>
      <c r="K962" s="211"/>
    </row>
    <row r="963" spans="1:11" ht="12" x14ac:dyDescent="0.2">
      <c r="A963" s="82"/>
      <c r="B963" s="82"/>
      <c r="C963" s="82"/>
      <c r="D963" s="82"/>
      <c r="E963" s="82"/>
      <c r="F963" s="82"/>
      <c r="G963" s="82"/>
      <c r="H963" s="211"/>
      <c r="I963" s="211"/>
      <c r="J963" s="211"/>
      <c r="K963" s="211"/>
    </row>
    <row r="964" spans="1:11" ht="12" x14ac:dyDescent="0.2">
      <c r="A964" s="82"/>
      <c r="B964" s="82"/>
      <c r="C964" s="82"/>
      <c r="D964" s="82"/>
      <c r="E964" s="82"/>
      <c r="F964" s="82"/>
      <c r="G964" s="82"/>
      <c r="H964" s="211"/>
      <c r="I964" s="211"/>
      <c r="J964" s="211"/>
      <c r="K964" s="211"/>
    </row>
    <row r="965" spans="1:11" ht="12" x14ac:dyDescent="0.2">
      <c r="A965" s="82"/>
      <c r="B965" s="82"/>
      <c r="C965" s="82"/>
      <c r="D965" s="82"/>
      <c r="E965" s="82"/>
      <c r="F965" s="82"/>
      <c r="G965" s="82"/>
      <c r="H965" s="211"/>
      <c r="I965" s="211"/>
      <c r="J965" s="211"/>
      <c r="K965" s="211"/>
    </row>
    <row r="966" spans="1:11" ht="12" x14ac:dyDescent="0.2">
      <c r="A966" s="82"/>
      <c r="B966" s="82"/>
      <c r="C966" s="82"/>
      <c r="D966" s="82"/>
      <c r="E966" s="82"/>
      <c r="F966" s="82"/>
      <c r="G966" s="82"/>
      <c r="H966" s="211"/>
      <c r="I966" s="211"/>
      <c r="J966" s="211"/>
      <c r="K966" s="211"/>
    </row>
    <row r="967" spans="1:11" ht="12" x14ac:dyDescent="0.2">
      <c r="A967" s="82"/>
      <c r="B967" s="82"/>
      <c r="C967" s="82"/>
      <c r="D967" s="82"/>
      <c r="E967" s="82"/>
      <c r="F967" s="82"/>
      <c r="G967" s="82"/>
      <c r="H967" s="211"/>
      <c r="I967" s="211"/>
      <c r="J967" s="211"/>
      <c r="K967" s="211"/>
    </row>
    <row r="968" spans="1:11" ht="12" x14ac:dyDescent="0.2">
      <c r="A968" s="82"/>
      <c r="B968" s="82"/>
      <c r="C968" s="82"/>
      <c r="D968" s="82"/>
      <c r="E968" s="82"/>
      <c r="F968" s="82"/>
      <c r="G968" s="82"/>
      <c r="H968" s="211"/>
      <c r="I968" s="211"/>
      <c r="J968" s="211"/>
      <c r="K968" s="211"/>
    </row>
    <row r="969" spans="1:11" ht="12" x14ac:dyDescent="0.2">
      <c r="A969" s="82"/>
      <c r="B969" s="82"/>
      <c r="C969" s="82"/>
      <c r="D969" s="82"/>
      <c r="E969" s="82"/>
      <c r="F969" s="82"/>
      <c r="G969" s="82"/>
      <c r="H969" s="211"/>
      <c r="I969" s="211"/>
      <c r="J969" s="211"/>
      <c r="K969" s="211"/>
    </row>
    <row r="970" spans="1:11" ht="12" x14ac:dyDescent="0.2">
      <c r="A970" s="82"/>
      <c r="B970" s="82"/>
      <c r="C970" s="82"/>
      <c r="D970" s="82"/>
      <c r="E970" s="82"/>
      <c r="F970" s="82"/>
      <c r="G970" s="82"/>
      <c r="H970" s="211"/>
      <c r="I970" s="211"/>
      <c r="J970" s="211"/>
      <c r="K970" s="211"/>
    </row>
    <row r="971" spans="1:11" ht="12" x14ac:dyDescent="0.2">
      <c r="A971" s="82"/>
      <c r="B971" s="82"/>
      <c r="C971" s="82"/>
      <c r="D971" s="82"/>
      <c r="E971" s="82"/>
      <c r="F971" s="82"/>
      <c r="G971" s="82"/>
      <c r="H971" s="211"/>
      <c r="I971" s="211"/>
      <c r="J971" s="211"/>
      <c r="K971" s="211"/>
    </row>
    <row r="972" spans="1:11" ht="12" x14ac:dyDescent="0.2">
      <c r="A972" s="82"/>
      <c r="B972" s="82"/>
      <c r="C972" s="82"/>
      <c r="D972" s="82"/>
      <c r="E972" s="82"/>
      <c r="F972" s="82"/>
      <c r="G972" s="82"/>
      <c r="H972" s="211"/>
      <c r="I972" s="211"/>
      <c r="J972" s="211"/>
      <c r="K972" s="211"/>
    </row>
    <row r="973" spans="1:11" ht="12" x14ac:dyDescent="0.2">
      <c r="A973" s="82"/>
      <c r="B973" s="82"/>
      <c r="C973" s="82"/>
      <c r="D973" s="82"/>
      <c r="E973" s="82"/>
      <c r="F973" s="82"/>
      <c r="G973" s="82"/>
      <c r="H973" s="211"/>
      <c r="I973" s="211"/>
      <c r="J973" s="211"/>
      <c r="K973" s="211"/>
    </row>
    <row r="974" spans="1:11" ht="12" x14ac:dyDescent="0.2">
      <c r="A974" s="82"/>
      <c r="B974" s="82"/>
      <c r="C974" s="82"/>
      <c r="D974" s="82"/>
      <c r="E974" s="82"/>
      <c r="F974" s="82"/>
      <c r="G974" s="82"/>
      <c r="H974" s="211"/>
      <c r="I974" s="211"/>
      <c r="J974" s="211"/>
      <c r="K974" s="211"/>
    </row>
    <row r="975" spans="1:11" ht="12" x14ac:dyDescent="0.2">
      <c r="A975" s="82"/>
      <c r="B975" s="82"/>
      <c r="C975" s="82"/>
      <c r="D975" s="82"/>
      <c r="E975" s="82"/>
      <c r="F975" s="82"/>
      <c r="G975" s="82"/>
      <c r="H975" s="211"/>
      <c r="I975" s="211"/>
      <c r="J975" s="211"/>
      <c r="K975" s="211"/>
    </row>
    <row r="976" spans="1:11" ht="12" x14ac:dyDescent="0.2">
      <c r="A976" s="82"/>
      <c r="B976" s="82"/>
      <c r="C976" s="82"/>
      <c r="D976" s="82"/>
      <c r="E976" s="82"/>
      <c r="F976" s="82"/>
      <c r="G976" s="82"/>
      <c r="H976" s="211"/>
      <c r="I976" s="211"/>
      <c r="J976" s="211"/>
      <c r="K976" s="211"/>
    </row>
    <row r="977" spans="1:11" ht="12" x14ac:dyDescent="0.2">
      <c r="A977" s="82"/>
      <c r="B977" s="82"/>
      <c r="C977" s="82"/>
      <c r="D977" s="82"/>
      <c r="E977" s="82"/>
      <c r="F977" s="82"/>
      <c r="G977" s="82"/>
      <c r="H977" s="211"/>
      <c r="I977" s="211"/>
      <c r="J977" s="211"/>
      <c r="K977" s="211"/>
    </row>
    <row r="978" spans="1:11" ht="12" x14ac:dyDescent="0.2">
      <c r="A978" s="82"/>
      <c r="B978" s="82"/>
      <c r="C978" s="82"/>
      <c r="D978" s="82"/>
      <c r="E978" s="82"/>
      <c r="F978" s="82"/>
      <c r="G978" s="82"/>
      <c r="H978" s="211"/>
      <c r="I978" s="211"/>
      <c r="J978" s="211"/>
      <c r="K978" s="211"/>
    </row>
    <row r="979" spans="1:11" ht="12" x14ac:dyDescent="0.2">
      <c r="A979" s="82"/>
      <c r="B979" s="82"/>
      <c r="C979" s="82"/>
      <c r="D979" s="82"/>
      <c r="E979" s="82"/>
      <c r="F979" s="82"/>
      <c r="G979" s="82"/>
      <c r="H979" s="211"/>
      <c r="I979" s="211"/>
      <c r="J979" s="211"/>
      <c r="K979" s="211"/>
    </row>
    <row r="980" spans="1:11" ht="12" x14ac:dyDescent="0.2">
      <c r="A980" s="82"/>
      <c r="B980" s="82"/>
      <c r="C980" s="82"/>
      <c r="D980" s="82"/>
      <c r="E980" s="82"/>
      <c r="F980" s="82"/>
      <c r="G980" s="82"/>
      <c r="H980" s="211"/>
      <c r="I980" s="211"/>
      <c r="J980" s="211"/>
      <c r="K980" s="211"/>
    </row>
    <row r="981" spans="1:11" ht="12" x14ac:dyDescent="0.2">
      <c r="A981" s="82"/>
      <c r="B981" s="82"/>
      <c r="C981" s="82"/>
      <c r="D981" s="82"/>
      <c r="E981" s="82"/>
      <c r="F981" s="82"/>
      <c r="G981" s="82"/>
      <c r="H981" s="211"/>
      <c r="I981" s="211"/>
      <c r="J981" s="211"/>
      <c r="K981" s="211"/>
    </row>
    <row r="982" spans="1:11" ht="12" x14ac:dyDescent="0.2">
      <c r="A982" s="82"/>
      <c r="B982" s="82"/>
      <c r="C982" s="82"/>
      <c r="D982" s="82"/>
      <c r="E982" s="82"/>
      <c r="F982" s="82"/>
      <c r="G982" s="82"/>
      <c r="H982" s="211"/>
      <c r="I982" s="211"/>
      <c r="J982" s="211"/>
      <c r="K982" s="211"/>
    </row>
    <row r="983" spans="1:11" ht="12" x14ac:dyDescent="0.2">
      <c r="A983" s="82"/>
      <c r="B983" s="82"/>
      <c r="C983" s="82"/>
      <c r="D983" s="82"/>
      <c r="E983" s="82"/>
      <c r="F983" s="82"/>
      <c r="G983" s="82"/>
      <c r="H983" s="211"/>
      <c r="I983" s="211"/>
      <c r="J983" s="211"/>
      <c r="K983" s="211"/>
    </row>
    <row r="984" spans="1:11" ht="12" x14ac:dyDescent="0.2">
      <c r="A984" s="82"/>
      <c r="B984" s="82"/>
      <c r="C984" s="82"/>
      <c r="D984" s="82"/>
      <c r="E984" s="82"/>
      <c r="F984" s="82"/>
      <c r="G984" s="82"/>
      <c r="H984" s="211"/>
      <c r="I984" s="211"/>
      <c r="J984" s="211"/>
      <c r="K984" s="211"/>
    </row>
    <row r="985" spans="1:11" ht="12" x14ac:dyDescent="0.2">
      <c r="A985" s="82"/>
      <c r="B985" s="82"/>
      <c r="C985" s="82"/>
      <c r="D985" s="82"/>
      <c r="E985" s="82"/>
      <c r="F985" s="82"/>
      <c r="G985" s="82"/>
      <c r="H985" s="211"/>
      <c r="I985" s="211"/>
      <c r="J985" s="211"/>
      <c r="K985" s="211"/>
    </row>
    <row r="986" spans="1:11" ht="12" x14ac:dyDescent="0.2">
      <c r="A986" s="82"/>
      <c r="B986" s="82"/>
      <c r="C986" s="82"/>
      <c r="D986" s="82"/>
      <c r="E986" s="82"/>
      <c r="F986" s="82"/>
      <c r="G986" s="82"/>
      <c r="H986" s="211"/>
      <c r="I986" s="211"/>
      <c r="J986" s="211"/>
      <c r="K986" s="211"/>
    </row>
    <row r="987" spans="1:11" ht="12" x14ac:dyDescent="0.2">
      <c r="A987" s="82"/>
      <c r="B987" s="82"/>
      <c r="C987" s="82"/>
      <c r="D987" s="82"/>
      <c r="E987" s="82"/>
      <c r="F987" s="82"/>
      <c r="G987" s="82"/>
      <c r="H987" s="211"/>
      <c r="I987" s="211"/>
      <c r="J987" s="211"/>
      <c r="K987" s="211"/>
    </row>
    <row r="988" spans="1:11" ht="12" x14ac:dyDescent="0.2">
      <c r="A988" s="82"/>
      <c r="B988" s="82"/>
      <c r="C988" s="82"/>
      <c r="D988" s="82"/>
      <c r="E988" s="82"/>
      <c r="F988" s="82"/>
      <c r="G988" s="82"/>
      <c r="H988" s="211"/>
      <c r="I988" s="211"/>
      <c r="J988" s="211"/>
      <c r="K988" s="211"/>
    </row>
    <row r="989" spans="1:11" ht="12" x14ac:dyDescent="0.2">
      <c r="A989" s="82"/>
      <c r="B989" s="82"/>
      <c r="C989" s="82"/>
      <c r="D989" s="82"/>
      <c r="E989" s="82"/>
      <c r="F989" s="82"/>
      <c r="G989" s="82"/>
      <c r="H989" s="211"/>
      <c r="I989" s="211"/>
      <c r="J989" s="211"/>
      <c r="K989" s="211"/>
    </row>
    <row r="990" spans="1:11" ht="12" x14ac:dyDescent="0.2">
      <c r="A990" s="82"/>
      <c r="B990" s="82"/>
      <c r="C990" s="82"/>
      <c r="D990" s="82"/>
      <c r="E990" s="82"/>
      <c r="F990" s="82"/>
      <c r="G990" s="82"/>
      <c r="H990" s="211"/>
      <c r="I990" s="211"/>
      <c r="J990" s="211"/>
      <c r="K990" s="211"/>
    </row>
    <row r="991" spans="1:11" ht="12" x14ac:dyDescent="0.2">
      <c r="A991" s="82"/>
      <c r="B991" s="82"/>
      <c r="C991" s="82"/>
      <c r="D991" s="82"/>
      <c r="E991" s="82"/>
      <c r="F991" s="82"/>
      <c r="G991" s="82"/>
      <c r="H991" s="211"/>
      <c r="I991" s="211"/>
      <c r="J991" s="211"/>
      <c r="K991" s="211"/>
    </row>
    <row r="992" spans="1:11" ht="12" x14ac:dyDescent="0.2">
      <c r="A992" s="82"/>
      <c r="B992" s="82"/>
      <c r="C992" s="82"/>
      <c r="D992" s="82"/>
      <c r="E992" s="82"/>
      <c r="F992" s="82"/>
      <c r="G992" s="82"/>
      <c r="H992" s="211"/>
      <c r="I992" s="211"/>
      <c r="J992" s="211"/>
      <c r="K992" s="211"/>
    </row>
    <row r="993" spans="1:11" ht="12" x14ac:dyDescent="0.2">
      <c r="A993" s="82"/>
      <c r="B993" s="82"/>
      <c r="C993" s="82"/>
      <c r="D993" s="82"/>
      <c r="E993" s="82"/>
      <c r="F993" s="82"/>
      <c r="G993" s="82"/>
      <c r="H993" s="211"/>
      <c r="I993" s="211"/>
      <c r="J993" s="211"/>
      <c r="K993" s="211"/>
    </row>
    <row r="994" spans="1:11" ht="12" x14ac:dyDescent="0.2">
      <c r="A994" s="82"/>
      <c r="B994" s="82"/>
      <c r="C994" s="82"/>
      <c r="D994" s="82"/>
      <c r="E994" s="82"/>
      <c r="F994" s="82"/>
      <c r="G994" s="82"/>
      <c r="H994" s="211"/>
      <c r="I994" s="211"/>
      <c r="J994" s="211"/>
      <c r="K994" s="211"/>
    </row>
    <row r="995" spans="1:11" ht="12" x14ac:dyDescent="0.2">
      <c r="A995" s="82"/>
      <c r="B995" s="82"/>
      <c r="C995" s="82"/>
      <c r="D995" s="82"/>
      <c r="E995" s="82"/>
      <c r="F995" s="82"/>
      <c r="G995" s="82"/>
      <c r="H995" s="211"/>
      <c r="I995" s="211"/>
      <c r="J995" s="211"/>
      <c r="K995" s="211"/>
    </row>
    <row r="996" spans="1:11" ht="12" x14ac:dyDescent="0.2">
      <c r="A996" s="82"/>
      <c r="B996" s="82"/>
      <c r="C996" s="82"/>
      <c r="D996" s="82"/>
      <c r="E996" s="82"/>
      <c r="F996" s="82"/>
      <c r="G996" s="82"/>
      <c r="H996" s="211"/>
      <c r="I996" s="211"/>
      <c r="J996" s="211"/>
      <c r="K996" s="211"/>
    </row>
    <row r="997" spans="1:11" ht="12" x14ac:dyDescent="0.2">
      <c r="A997" s="82"/>
      <c r="B997" s="82"/>
      <c r="C997" s="82"/>
      <c r="D997" s="82"/>
      <c r="E997" s="82"/>
      <c r="F997" s="82"/>
      <c r="G997" s="82"/>
      <c r="H997" s="211"/>
      <c r="I997" s="211"/>
      <c r="J997" s="211"/>
      <c r="K997" s="211"/>
    </row>
    <row r="998" spans="1:11" ht="12" x14ac:dyDescent="0.2">
      <c r="A998" s="82"/>
      <c r="B998" s="82"/>
      <c r="C998" s="82"/>
      <c r="D998" s="82"/>
      <c r="E998" s="82"/>
      <c r="F998" s="82"/>
      <c r="G998" s="82"/>
      <c r="H998" s="211"/>
      <c r="I998" s="211"/>
      <c r="J998" s="211"/>
      <c r="K998" s="211"/>
    </row>
    <row r="999" spans="1:11" ht="12.75" x14ac:dyDescent="0.2">
      <c r="A999" s="199" t="s">
        <v>3550</v>
      </c>
      <c r="B999" s="192"/>
      <c r="C999" s="128"/>
      <c r="D999" s="192"/>
      <c r="E999" s="192"/>
      <c r="F999" s="192"/>
      <c r="G999" s="128"/>
      <c r="H999" s="128"/>
      <c r="I999" s="192"/>
      <c r="J999" s="128"/>
      <c r="K999" s="128"/>
    </row>
    <row r="1000" spans="1:11" ht="12.75" x14ac:dyDescent="0.2">
      <c r="A1000" s="199" t="s">
        <v>3551</v>
      </c>
      <c r="B1000" s="192"/>
      <c r="C1000" s="128"/>
      <c r="D1000" s="192"/>
      <c r="E1000" s="192"/>
      <c r="F1000" s="192"/>
      <c r="G1000" s="128"/>
      <c r="H1000" s="128"/>
      <c r="I1000" s="192"/>
      <c r="J1000" s="128"/>
      <c r="K1000" s="128"/>
    </row>
    <row r="1001" spans="1:11" ht="12.75" x14ac:dyDescent="0.2">
      <c r="A1001" s="313" t="s">
        <v>3259</v>
      </c>
      <c r="B1001" s="313"/>
      <c r="C1001" s="313"/>
      <c r="D1001" s="313"/>
      <c r="E1001" s="313"/>
      <c r="F1001" s="313"/>
      <c r="G1001" s="313"/>
      <c r="H1001" s="313"/>
      <c r="I1001" s="313"/>
      <c r="J1001" s="313"/>
      <c r="K1001" s="313"/>
    </row>
    <row r="1002" spans="1:11" ht="12.75" x14ac:dyDescent="0.2">
      <c r="A1002" s="313" t="s">
        <v>3464</v>
      </c>
      <c r="B1002" s="313"/>
      <c r="C1002" s="313"/>
      <c r="D1002" s="313"/>
      <c r="E1002" s="313"/>
      <c r="F1002" s="313"/>
      <c r="G1002" s="313"/>
      <c r="H1002" s="313"/>
      <c r="I1002" s="313"/>
      <c r="J1002" s="313"/>
      <c r="K1002" s="313"/>
    </row>
    <row r="1003" spans="1:11" x14ac:dyDescent="0.2">
      <c r="A1003" s="18"/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</row>
    <row r="1004" spans="1:11" x14ac:dyDescent="0.2">
      <c r="A1004" s="287" t="s">
        <v>3260</v>
      </c>
      <c r="B1004" s="288"/>
      <c r="C1004" s="289" t="s">
        <v>8</v>
      </c>
      <c r="D1004" s="287" t="s">
        <v>3261</v>
      </c>
      <c r="E1004" s="288"/>
      <c r="F1004" s="308" t="s">
        <v>76</v>
      </c>
      <c r="G1004" s="309"/>
      <c r="H1004" s="310"/>
      <c r="I1004" s="308" t="s">
        <v>5</v>
      </c>
      <c r="J1004" s="309"/>
      <c r="K1004" s="310"/>
    </row>
    <row r="1005" spans="1:11" x14ac:dyDescent="0.2">
      <c r="A1005" s="289" t="s">
        <v>7</v>
      </c>
      <c r="B1005" s="289" t="s">
        <v>16</v>
      </c>
      <c r="C1005" s="290"/>
      <c r="D1005" s="292" t="s">
        <v>7</v>
      </c>
      <c r="E1005" s="292" t="s">
        <v>3262</v>
      </c>
      <c r="F1005" s="292" t="s">
        <v>3252</v>
      </c>
      <c r="G1005" s="292" t="s">
        <v>3251</v>
      </c>
      <c r="H1005" s="292" t="s">
        <v>3452</v>
      </c>
      <c r="I1005" s="292" t="s">
        <v>3252</v>
      </c>
      <c r="J1005" s="292" t="s">
        <v>3251</v>
      </c>
      <c r="K1005" s="292" t="s">
        <v>3452</v>
      </c>
    </row>
    <row r="1006" spans="1:11" x14ac:dyDescent="0.2">
      <c r="A1006" s="291"/>
      <c r="B1006" s="291"/>
      <c r="C1006" s="291"/>
      <c r="D1006" s="294"/>
      <c r="E1006" s="294"/>
      <c r="F1006" s="294"/>
      <c r="G1006" s="294"/>
      <c r="H1006" s="294"/>
      <c r="I1006" s="294"/>
      <c r="J1006" s="294"/>
      <c r="K1006" s="294"/>
    </row>
    <row r="1007" spans="1:11" x14ac:dyDescent="0.2">
      <c r="A1007" s="198"/>
      <c r="B1007" s="176">
        <v>612</v>
      </c>
      <c r="C1007" s="168"/>
      <c r="D1007" s="10"/>
      <c r="E1007" s="6"/>
      <c r="F1007" s="6"/>
      <c r="G1007" s="6"/>
      <c r="H1007" s="6"/>
      <c r="I1007" s="6"/>
      <c r="J1007" s="30"/>
      <c r="K1007" s="200">
        <f>H1007</f>
        <v>0</v>
      </c>
    </row>
    <row r="1008" spans="1:11" x14ac:dyDescent="0.2">
      <c r="A1008" s="62"/>
      <c r="B1008" s="62"/>
      <c r="C1008" s="62"/>
      <c r="D1008" s="62"/>
      <c r="E1008" s="62"/>
      <c r="F1008" s="62"/>
      <c r="G1008" s="62"/>
      <c r="H1008" s="62"/>
      <c r="I1008" s="62"/>
      <c r="J1008" s="62"/>
      <c r="K1008" s="200">
        <f t="shared" ref="K1008:K1073" si="27">H1008</f>
        <v>0</v>
      </c>
    </row>
    <row r="1009" spans="1:11" x14ac:dyDescent="0.2">
      <c r="A1009" s="62"/>
      <c r="B1009" s="62"/>
      <c r="C1009" s="62"/>
      <c r="D1009" s="62"/>
      <c r="E1009" s="62"/>
      <c r="F1009" s="62"/>
      <c r="G1009" s="62"/>
      <c r="H1009" s="62"/>
      <c r="I1009" s="62"/>
      <c r="J1009" s="62"/>
      <c r="K1009" s="200">
        <f t="shared" si="27"/>
        <v>0</v>
      </c>
    </row>
    <row r="1010" spans="1:11" x14ac:dyDescent="0.2">
      <c r="A1010" s="62"/>
      <c r="B1010" s="62"/>
      <c r="C1010" s="62"/>
      <c r="D1010" s="62"/>
      <c r="E1010" s="62"/>
      <c r="F1010" s="62"/>
      <c r="G1010" s="62"/>
      <c r="H1010" s="62"/>
      <c r="I1010" s="62"/>
      <c r="J1010" s="62"/>
      <c r="K1010" s="200">
        <f t="shared" si="27"/>
        <v>0</v>
      </c>
    </row>
    <row r="1011" spans="1:11" x14ac:dyDescent="0.2">
      <c r="A1011" s="62"/>
      <c r="B1011" s="62"/>
      <c r="C1011" s="62"/>
      <c r="D1011" s="62"/>
      <c r="E1011" s="62"/>
      <c r="F1011" s="62"/>
      <c r="G1011" s="62"/>
      <c r="H1011" s="62"/>
      <c r="I1011" s="62"/>
      <c r="J1011" s="62"/>
      <c r="K1011" s="200">
        <f t="shared" si="27"/>
        <v>0</v>
      </c>
    </row>
    <row r="1012" spans="1:11" x14ac:dyDescent="0.2">
      <c r="A1012" s="62"/>
      <c r="B1012" s="62"/>
      <c r="C1012" s="62"/>
      <c r="D1012" s="62"/>
      <c r="E1012" s="62"/>
      <c r="F1012" s="62"/>
      <c r="G1012" s="62"/>
      <c r="H1012" s="62"/>
      <c r="I1012" s="62"/>
      <c r="J1012" s="62"/>
      <c r="K1012" s="200">
        <f t="shared" si="27"/>
        <v>0</v>
      </c>
    </row>
    <row r="1013" spans="1:11" x14ac:dyDescent="0.2">
      <c r="A1013" s="62"/>
      <c r="B1013" s="62"/>
      <c r="C1013" s="62"/>
      <c r="D1013" s="62"/>
      <c r="E1013" s="62"/>
      <c r="F1013" s="62"/>
      <c r="G1013" s="62"/>
      <c r="H1013" s="62"/>
      <c r="I1013" s="62"/>
      <c r="J1013" s="62"/>
      <c r="K1013" s="200">
        <f t="shared" si="27"/>
        <v>0</v>
      </c>
    </row>
    <row r="1014" spans="1:11" x14ac:dyDescent="0.2">
      <c r="A1014" s="62"/>
      <c r="B1014" s="62"/>
      <c r="C1014" s="62"/>
      <c r="D1014" s="62"/>
      <c r="E1014" s="62"/>
      <c r="F1014" s="62"/>
      <c r="G1014" s="62"/>
      <c r="H1014" s="62"/>
      <c r="I1014" s="62"/>
      <c r="J1014" s="62"/>
      <c r="K1014" s="200">
        <f t="shared" si="27"/>
        <v>0</v>
      </c>
    </row>
    <row r="1015" spans="1:11" x14ac:dyDescent="0.2">
      <c r="A1015" s="62"/>
      <c r="B1015" s="62"/>
      <c r="C1015" s="62"/>
      <c r="D1015" s="62"/>
      <c r="E1015" s="62"/>
      <c r="F1015" s="62"/>
      <c r="G1015" s="62"/>
      <c r="H1015" s="62"/>
      <c r="I1015" s="62"/>
      <c r="J1015" s="62"/>
      <c r="K1015" s="200">
        <f t="shared" si="27"/>
        <v>0</v>
      </c>
    </row>
    <row r="1016" spans="1:11" x14ac:dyDescent="0.2">
      <c r="A1016" s="62"/>
      <c r="B1016" s="62"/>
      <c r="C1016" s="62"/>
      <c r="D1016" s="62"/>
      <c r="E1016" s="62"/>
      <c r="F1016" s="62"/>
      <c r="G1016" s="62"/>
      <c r="H1016" s="62"/>
      <c r="I1016" s="62"/>
      <c r="J1016" s="62"/>
      <c r="K1016" s="200">
        <f t="shared" si="27"/>
        <v>0</v>
      </c>
    </row>
    <row r="1017" spans="1:11" x14ac:dyDescent="0.2">
      <c r="A1017" s="62"/>
      <c r="B1017" s="62"/>
      <c r="C1017" s="62"/>
      <c r="D1017" s="62"/>
      <c r="E1017" s="62"/>
      <c r="F1017" s="62"/>
      <c r="G1017" s="62"/>
      <c r="H1017" s="62"/>
      <c r="I1017" s="62"/>
      <c r="J1017" s="62"/>
      <c r="K1017" s="200">
        <f t="shared" si="27"/>
        <v>0</v>
      </c>
    </row>
    <row r="1018" spans="1:11" x14ac:dyDescent="0.2">
      <c r="A1018" s="62"/>
      <c r="B1018" s="62"/>
      <c r="C1018" s="62"/>
      <c r="D1018" s="62"/>
      <c r="E1018" s="62"/>
      <c r="F1018" s="62"/>
      <c r="G1018" s="62"/>
      <c r="H1018" s="62"/>
      <c r="I1018" s="62"/>
      <c r="J1018" s="62"/>
      <c r="K1018" s="200">
        <f t="shared" si="27"/>
        <v>0</v>
      </c>
    </row>
    <row r="1019" spans="1:11" x14ac:dyDescent="0.2">
      <c r="A1019" s="62"/>
      <c r="B1019" s="62"/>
      <c r="C1019" s="62"/>
      <c r="D1019" s="62"/>
      <c r="E1019" s="62"/>
      <c r="F1019" s="62"/>
      <c r="G1019" s="62"/>
      <c r="H1019" s="62"/>
      <c r="I1019" s="62"/>
      <c r="J1019" s="62"/>
      <c r="K1019" s="200">
        <f t="shared" si="27"/>
        <v>0</v>
      </c>
    </row>
    <row r="1020" spans="1:11" x14ac:dyDescent="0.2">
      <c r="A1020" s="62"/>
      <c r="B1020" s="62"/>
      <c r="C1020" s="62"/>
      <c r="D1020" s="62"/>
      <c r="E1020" s="62"/>
      <c r="F1020" s="62"/>
      <c r="G1020" s="62"/>
      <c r="H1020" s="62"/>
      <c r="I1020" s="62"/>
      <c r="J1020" s="62"/>
      <c r="K1020" s="200">
        <f t="shared" si="27"/>
        <v>0</v>
      </c>
    </row>
    <row r="1021" spans="1:11" x14ac:dyDescent="0.2">
      <c r="A1021" s="62"/>
      <c r="B1021" s="62"/>
      <c r="C1021" s="62"/>
      <c r="D1021" s="62"/>
      <c r="E1021" s="62"/>
      <c r="F1021" s="62"/>
      <c r="G1021" s="62"/>
      <c r="H1021" s="62"/>
      <c r="I1021" s="62"/>
      <c r="J1021" s="62"/>
      <c r="K1021" s="200">
        <f t="shared" si="27"/>
        <v>0</v>
      </c>
    </row>
    <row r="1022" spans="1:11" x14ac:dyDescent="0.2">
      <c r="A1022" s="62"/>
      <c r="B1022" s="62"/>
      <c r="C1022" s="62"/>
      <c r="D1022" s="62"/>
      <c r="E1022" s="62"/>
      <c r="F1022" s="62"/>
      <c r="G1022" s="62"/>
      <c r="H1022" s="62"/>
      <c r="I1022" s="62"/>
      <c r="J1022" s="62"/>
      <c r="K1022" s="200">
        <f t="shared" si="27"/>
        <v>0</v>
      </c>
    </row>
    <row r="1023" spans="1:11" x14ac:dyDescent="0.2">
      <c r="A1023" s="62"/>
      <c r="B1023" s="62"/>
      <c r="C1023" s="62"/>
      <c r="D1023" s="62"/>
      <c r="E1023" s="62"/>
      <c r="F1023" s="62"/>
      <c r="G1023" s="62"/>
      <c r="H1023" s="62"/>
      <c r="I1023" s="62"/>
      <c r="J1023" s="62"/>
      <c r="K1023" s="200">
        <f t="shared" si="27"/>
        <v>0</v>
      </c>
    </row>
    <row r="1024" spans="1:11" x14ac:dyDescent="0.2">
      <c r="A1024" s="62"/>
      <c r="B1024" s="62"/>
      <c r="C1024" s="62"/>
      <c r="D1024" s="62"/>
      <c r="E1024" s="62"/>
      <c r="F1024" s="62"/>
      <c r="G1024" s="62"/>
      <c r="H1024" s="62"/>
      <c r="I1024" s="62"/>
      <c r="J1024" s="62"/>
      <c r="K1024" s="200">
        <f t="shared" si="27"/>
        <v>0</v>
      </c>
    </row>
    <row r="1025" spans="1:11" x14ac:dyDescent="0.2">
      <c r="A1025" s="62"/>
      <c r="B1025" s="62"/>
      <c r="C1025" s="62"/>
      <c r="D1025" s="62"/>
      <c r="E1025" s="62"/>
      <c r="F1025" s="62"/>
      <c r="G1025" s="62"/>
      <c r="H1025" s="62"/>
      <c r="I1025" s="62"/>
      <c r="J1025" s="62"/>
      <c r="K1025" s="200">
        <f t="shared" si="27"/>
        <v>0</v>
      </c>
    </row>
    <row r="1026" spans="1:11" x14ac:dyDescent="0.2">
      <c r="A1026" s="62"/>
      <c r="B1026" s="62"/>
      <c r="C1026" s="62"/>
      <c r="D1026" s="62"/>
      <c r="E1026" s="62"/>
      <c r="F1026" s="62"/>
      <c r="G1026" s="62"/>
      <c r="H1026" s="62"/>
      <c r="I1026" s="62"/>
      <c r="J1026" s="62"/>
      <c r="K1026" s="200">
        <f t="shared" si="27"/>
        <v>0</v>
      </c>
    </row>
    <row r="1027" spans="1:11" x14ac:dyDescent="0.2">
      <c r="A1027" s="62"/>
      <c r="B1027" s="62"/>
      <c r="C1027" s="62"/>
      <c r="D1027" s="62"/>
      <c r="E1027" s="62"/>
      <c r="F1027" s="62"/>
      <c r="G1027" s="62"/>
      <c r="H1027" s="62"/>
      <c r="I1027" s="62"/>
      <c r="J1027" s="62"/>
      <c r="K1027" s="200">
        <f t="shared" si="27"/>
        <v>0</v>
      </c>
    </row>
    <row r="1028" spans="1:11" x14ac:dyDescent="0.2">
      <c r="A1028" s="62"/>
      <c r="B1028" s="62"/>
      <c r="C1028" s="62"/>
      <c r="D1028" s="62"/>
      <c r="E1028" s="62"/>
      <c r="F1028" s="62"/>
      <c r="G1028" s="62"/>
      <c r="H1028" s="62"/>
      <c r="I1028" s="62"/>
      <c r="J1028" s="62"/>
      <c r="K1028" s="200">
        <f t="shared" si="27"/>
        <v>0</v>
      </c>
    </row>
    <row r="1029" spans="1:11" x14ac:dyDescent="0.2">
      <c r="A1029" s="62"/>
      <c r="B1029" s="62"/>
      <c r="C1029" s="62"/>
      <c r="D1029" s="62"/>
      <c r="E1029" s="62"/>
      <c r="F1029" s="62"/>
      <c r="G1029" s="62"/>
      <c r="H1029" s="62"/>
      <c r="I1029" s="62"/>
      <c r="J1029" s="62"/>
      <c r="K1029" s="200">
        <f t="shared" si="27"/>
        <v>0</v>
      </c>
    </row>
    <row r="1030" spans="1:11" x14ac:dyDescent="0.2">
      <c r="A1030" s="62"/>
      <c r="B1030" s="62"/>
      <c r="C1030" s="62"/>
      <c r="D1030" s="62"/>
      <c r="E1030" s="62"/>
      <c r="F1030" s="62"/>
      <c r="G1030" s="62"/>
      <c r="H1030" s="62"/>
      <c r="I1030" s="62"/>
      <c r="J1030" s="62"/>
      <c r="K1030" s="200">
        <f t="shared" si="27"/>
        <v>0</v>
      </c>
    </row>
    <row r="1031" spans="1:11" x14ac:dyDescent="0.2">
      <c r="A1031" s="62"/>
      <c r="B1031" s="62"/>
      <c r="C1031" s="62"/>
      <c r="D1031" s="62"/>
      <c r="E1031" s="62"/>
      <c r="F1031" s="62"/>
      <c r="G1031" s="62"/>
      <c r="H1031" s="62"/>
      <c r="I1031" s="62"/>
      <c r="J1031" s="62"/>
      <c r="K1031" s="200">
        <f t="shared" si="27"/>
        <v>0</v>
      </c>
    </row>
    <row r="1032" spans="1:11" x14ac:dyDescent="0.2">
      <c r="A1032" s="62"/>
      <c r="B1032" s="62"/>
      <c r="C1032" s="62"/>
      <c r="D1032" s="62"/>
      <c r="E1032" s="62"/>
      <c r="F1032" s="62"/>
      <c r="G1032" s="62"/>
      <c r="H1032" s="62"/>
      <c r="I1032" s="62"/>
      <c r="J1032" s="62"/>
      <c r="K1032" s="200">
        <f t="shared" si="27"/>
        <v>0</v>
      </c>
    </row>
    <row r="1033" spans="1:11" x14ac:dyDescent="0.2">
      <c r="A1033" s="62"/>
      <c r="B1033" s="62"/>
      <c r="C1033" s="62"/>
      <c r="D1033" s="62"/>
      <c r="E1033" s="62"/>
      <c r="F1033" s="62"/>
      <c r="G1033" s="62"/>
      <c r="H1033" s="62"/>
      <c r="I1033" s="62"/>
      <c r="J1033" s="62"/>
      <c r="K1033" s="200">
        <f t="shared" si="27"/>
        <v>0</v>
      </c>
    </row>
    <row r="1034" spans="1:11" x14ac:dyDescent="0.2">
      <c r="A1034" s="62"/>
      <c r="B1034" s="62"/>
      <c r="C1034" s="62"/>
      <c r="D1034" s="62"/>
      <c r="E1034" s="62"/>
      <c r="F1034" s="62"/>
      <c r="G1034" s="62"/>
      <c r="H1034" s="62"/>
      <c r="I1034" s="62"/>
      <c r="J1034" s="62"/>
      <c r="K1034" s="200">
        <f t="shared" si="27"/>
        <v>0</v>
      </c>
    </row>
    <row r="1035" spans="1:11" x14ac:dyDescent="0.2">
      <c r="A1035" s="62"/>
      <c r="B1035" s="62"/>
      <c r="C1035" s="62"/>
      <c r="D1035" s="62"/>
      <c r="E1035" s="62"/>
      <c r="F1035" s="62"/>
      <c r="G1035" s="62"/>
      <c r="H1035" s="62"/>
      <c r="I1035" s="62"/>
      <c r="J1035" s="62"/>
      <c r="K1035" s="200">
        <f t="shared" si="27"/>
        <v>0</v>
      </c>
    </row>
    <row r="1036" spans="1:11" x14ac:dyDescent="0.2">
      <c r="A1036" s="62"/>
      <c r="B1036" s="62"/>
      <c r="C1036" s="62"/>
      <c r="D1036" s="62"/>
      <c r="E1036" s="62"/>
      <c r="F1036" s="62"/>
      <c r="G1036" s="62"/>
      <c r="H1036" s="62"/>
      <c r="I1036" s="62"/>
      <c r="J1036" s="62"/>
      <c r="K1036" s="200">
        <f t="shared" si="27"/>
        <v>0</v>
      </c>
    </row>
    <row r="1037" spans="1:11" x14ac:dyDescent="0.2">
      <c r="A1037" s="62"/>
      <c r="B1037" s="62"/>
      <c r="C1037" s="62"/>
      <c r="D1037" s="62"/>
      <c r="E1037" s="62"/>
      <c r="F1037" s="62"/>
      <c r="G1037" s="62"/>
      <c r="H1037" s="62"/>
      <c r="I1037" s="62"/>
      <c r="J1037" s="62"/>
      <c r="K1037" s="200">
        <f t="shared" si="27"/>
        <v>0</v>
      </c>
    </row>
    <row r="1038" spans="1:11" x14ac:dyDescent="0.2">
      <c r="A1038" s="62"/>
      <c r="B1038" s="62"/>
      <c r="C1038" s="62"/>
      <c r="D1038" s="62"/>
      <c r="E1038" s="62"/>
      <c r="F1038" s="62"/>
      <c r="G1038" s="62"/>
      <c r="H1038" s="62"/>
      <c r="I1038" s="62"/>
      <c r="J1038" s="62"/>
      <c r="K1038" s="200">
        <f t="shared" si="27"/>
        <v>0</v>
      </c>
    </row>
    <row r="1039" spans="1:11" x14ac:dyDescent="0.2">
      <c r="A1039" s="62"/>
      <c r="B1039" s="62"/>
      <c r="C1039" s="62"/>
      <c r="D1039" s="62"/>
      <c r="E1039" s="62"/>
      <c r="F1039" s="62"/>
      <c r="G1039" s="62"/>
      <c r="H1039" s="62"/>
      <c r="I1039" s="62"/>
      <c r="J1039" s="62"/>
      <c r="K1039" s="200">
        <f t="shared" si="27"/>
        <v>0</v>
      </c>
    </row>
    <row r="1040" spans="1:11" x14ac:dyDescent="0.2">
      <c r="A1040" s="62"/>
      <c r="B1040" s="62"/>
      <c r="C1040" s="62"/>
      <c r="D1040" s="62"/>
      <c r="E1040" s="62"/>
      <c r="F1040" s="62"/>
      <c r="G1040" s="62"/>
      <c r="H1040" s="62"/>
      <c r="I1040" s="62"/>
      <c r="J1040" s="62"/>
      <c r="K1040" s="200">
        <f t="shared" si="27"/>
        <v>0</v>
      </c>
    </row>
    <row r="1041" spans="1:11" x14ac:dyDescent="0.2">
      <c r="A1041" s="62"/>
      <c r="B1041" s="62"/>
      <c r="C1041" s="62"/>
      <c r="D1041" s="62"/>
      <c r="E1041" s="62"/>
      <c r="F1041" s="62"/>
      <c r="G1041" s="62"/>
      <c r="H1041" s="62"/>
      <c r="I1041" s="62"/>
      <c r="J1041" s="62"/>
      <c r="K1041" s="200">
        <f t="shared" si="27"/>
        <v>0</v>
      </c>
    </row>
    <row r="1042" spans="1:11" x14ac:dyDescent="0.2">
      <c r="A1042" s="62"/>
      <c r="B1042" s="62"/>
      <c r="C1042" s="62"/>
      <c r="D1042" s="62"/>
      <c r="E1042" s="62"/>
      <c r="F1042" s="62"/>
      <c r="G1042" s="62"/>
      <c r="H1042" s="62"/>
      <c r="I1042" s="62"/>
      <c r="J1042" s="62"/>
      <c r="K1042" s="200">
        <f t="shared" si="27"/>
        <v>0</v>
      </c>
    </row>
    <row r="1043" spans="1:11" x14ac:dyDescent="0.2">
      <c r="A1043" s="62"/>
      <c r="B1043" s="62"/>
      <c r="C1043" s="62"/>
      <c r="D1043" s="62"/>
      <c r="E1043" s="62"/>
      <c r="F1043" s="62"/>
      <c r="G1043" s="62"/>
      <c r="H1043" s="62"/>
      <c r="I1043" s="62"/>
      <c r="J1043" s="62"/>
      <c r="K1043" s="200">
        <f t="shared" si="27"/>
        <v>0</v>
      </c>
    </row>
    <row r="1044" spans="1:11" x14ac:dyDescent="0.2">
      <c r="A1044" s="62"/>
      <c r="B1044" s="62"/>
      <c r="C1044" s="62"/>
      <c r="D1044" s="62"/>
      <c r="E1044" s="62"/>
      <c r="F1044" s="62"/>
      <c r="G1044" s="62"/>
      <c r="H1044" s="62"/>
      <c r="I1044" s="62"/>
      <c r="J1044" s="62"/>
      <c r="K1044" s="200">
        <f t="shared" si="27"/>
        <v>0</v>
      </c>
    </row>
    <row r="1045" spans="1:11" x14ac:dyDescent="0.2">
      <c r="A1045" s="62"/>
      <c r="B1045" s="62"/>
      <c r="C1045" s="62"/>
      <c r="D1045" s="62"/>
      <c r="E1045" s="62"/>
      <c r="F1045" s="62"/>
      <c r="G1045" s="62"/>
      <c r="H1045" s="62"/>
      <c r="I1045" s="62"/>
      <c r="J1045" s="62"/>
      <c r="K1045" s="200">
        <f t="shared" si="27"/>
        <v>0</v>
      </c>
    </row>
    <row r="1046" spans="1:11" x14ac:dyDescent="0.2">
      <c r="A1046" s="62"/>
      <c r="B1046" s="62"/>
      <c r="C1046" s="62"/>
      <c r="D1046" s="62"/>
      <c r="E1046" s="62"/>
      <c r="F1046" s="62"/>
      <c r="G1046" s="62"/>
      <c r="H1046" s="62"/>
      <c r="I1046" s="62"/>
      <c r="J1046" s="62"/>
      <c r="K1046" s="200">
        <f t="shared" si="27"/>
        <v>0</v>
      </c>
    </row>
    <row r="1047" spans="1:11" x14ac:dyDescent="0.2">
      <c r="A1047" s="62"/>
      <c r="B1047" s="62"/>
      <c r="C1047" s="62"/>
      <c r="D1047" s="62"/>
      <c r="E1047" s="62"/>
      <c r="F1047" s="62"/>
      <c r="G1047" s="62"/>
      <c r="H1047" s="62"/>
      <c r="I1047" s="62"/>
      <c r="J1047" s="62"/>
      <c r="K1047" s="200">
        <f t="shared" si="27"/>
        <v>0</v>
      </c>
    </row>
    <row r="1048" spans="1:11" x14ac:dyDescent="0.2">
      <c r="A1048" s="62"/>
      <c r="B1048" s="62"/>
      <c r="C1048" s="62"/>
      <c r="D1048" s="62"/>
      <c r="E1048" s="62"/>
      <c r="F1048" s="62"/>
      <c r="G1048" s="62"/>
      <c r="H1048" s="62"/>
      <c r="I1048" s="62"/>
      <c r="J1048" s="62"/>
      <c r="K1048" s="200">
        <f t="shared" si="27"/>
        <v>0</v>
      </c>
    </row>
    <row r="1049" spans="1:11" x14ac:dyDescent="0.2">
      <c r="A1049" s="62"/>
      <c r="B1049" s="62"/>
      <c r="C1049" s="62"/>
      <c r="D1049" s="62"/>
      <c r="E1049" s="62"/>
      <c r="F1049" s="62"/>
      <c r="G1049" s="62"/>
      <c r="H1049" s="62"/>
      <c r="I1049" s="62"/>
      <c r="J1049" s="62"/>
      <c r="K1049" s="200">
        <f t="shared" si="27"/>
        <v>0</v>
      </c>
    </row>
    <row r="1050" spans="1:11" x14ac:dyDescent="0.2">
      <c r="A1050" s="62"/>
      <c r="B1050" s="62"/>
      <c r="C1050" s="62"/>
      <c r="D1050" s="62"/>
      <c r="E1050" s="62"/>
      <c r="F1050" s="62"/>
      <c r="G1050" s="62"/>
      <c r="H1050" s="62"/>
      <c r="I1050" s="62"/>
      <c r="J1050" s="62"/>
      <c r="K1050" s="200">
        <f t="shared" si="27"/>
        <v>0</v>
      </c>
    </row>
    <row r="1051" spans="1:11" x14ac:dyDescent="0.2">
      <c r="A1051" s="62"/>
      <c r="B1051" s="62"/>
      <c r="C1051" s="62"/>
      <c r="D1051" s="62"/>
      <c r="E1051" s="62"/>
      <c r="F1051" s="62"/>
      <c r="G1051" s="62"/>
      <c r="H1051" s="62"/>
      <c r="I1051" s="62"/>
      <c r="J1051" s="62"/>
      <c r="K1051" s="200">
        <f t="shared" si="27"/>
        <v>0</v>
      </c>
    </row>
    <row r="1052" spans="1:11" x14ac:dyDescent="0.2">
      <c r="A1052" s="62"/>
      <c r="B1052" s="62"/>
      <c r="C1052" s="62"/>
      <c r="D1052" s="62"/>
      <c r="E1052" s="62"/>
      <c r="F1052" s="62"/>
      <c r="G1052" s="62"/>
      <c r="H1052" s="62"/>
      <c r="I1052" s="62"/>
      <c r="J1052" s="62"/>
      <c r="K1052" s="200">
        <f t="shared" si="27"/>
        <v>0</v>
      </c>
    </row>
    <row r="1053" spans="1:11" x14ac:dyDescent="0.2">
      <c r="A1053" s="62"/>
      <c r="B1053" s="62"/>
      <c r="C1053" s="62"/>
      <c r="D1053" s="62"/>
      <c r="E1053" s="62"/>
      <c r="F1053" s="62"/>
      <c r="G1053" s="62"/>
      <c r="H1053" s="62"/>
      <c r="I1053" s="62"/>
      <c r="J1053" s="62"/>
      <c r="K1053" s="200">
        <f t="shared" si="27"/>
        <v>0</v>
      </c>
    </row>
    <row r="1054" spans="1:11" x14ac:dyDescent="0.2">
      <c r="A1054" s="62"/>
      <c r="B1054" s="62"/>
      <c r="C1054" s="62"/>
      <c r="D1054" s="62"/>
      <c r="E1054" s="62"/>
      <c r="F1054" s="62"/>
      <c r="G1054" s="62"/>
      <c r="H1054" s="62"/>
      <c r="I1054" s="62"/>
      <c r="J1054" s="62"/>
      <c r="K1054" s="200">
        <f t="shared" si="27"/>
        <v>0</v>
      </c>
    </row>
    <row r="1055" spans="1:11" x14ac:dyDescent="0.2">
      <c r="A1055" s="62"/>
      <c r="B1055" s="62"/>
      <c r="C1055" s="62"/>
      <c r="D1055" s="62"/>
      <c r="E1055" s="62"/>
      <c r="F1055" s="62"/>
      <c r="G1055" s="62"/>
      <c r="H1055" s="62"/>
      <c r="I1055" s="62"/>
      <c r="J1055" s="62"/>
      <c r="K1055" s="200">
        <f t="shared" si="27"/>
        <v>0</v>
      </c>
    </row>
    <row r="1056" spans="1:11" x14ac:dyDescent="0.2">
      <c r="A1056" s="62"/>
      <c r="B1056" s="62"/>
      <c r="C1056" s="62"/>
      <c r="D1056" s="62"/>
      <c r="E1056" s="62"/>
      <c r="F1056" s="62"/>
      <c r="G1056" s="62"/>
      <c r="H1056" s="62"/>
      <c r="I1056" s="62"/>
      <c r="J1056" s="62"/>
      <c r="K1056" s="200">
        <f t="shared" si="27"/>
        <v>0</v>
      </c>
    </row>
    <row r="1057" spans="1:11" x14ac:dyDescent="0.2">
      <c r="A1057" s="62"/>
      <c r="B1057" s="62"/>
      <c r="C1057" s="62"/>
      <c r="D1057" s="62"/>
      <c r="E1057" s="62"/>
      <c r="F1057" s="62"/>
      <c r="G1057" s="62"/>
      <c r="H1057" s="62"/>
      <c r="I1057" s="62"/>
      <c r="J1057" s="62"/>
      <c r="K1057" s="200">
        <f t="shared" si="27"/>
        <v>0</v>
      </c>
    </row>
    <row r="1058" spans="1:11" x14ac:dyDescent="0.2">
      <c r="A1058" s="62"/>
      <c r="B1058" s="62"/>
      <c r="C1058" s="62"/>
      <c r="D1058" s="62"/>
      <c r="E1058" s="62"/>
      <c r="F1058" s="62"/>
      <c r="G1058" s="62"/>
      <c r="H1058" s="62"/>
      <c r="I1058" s="62"/>
      <c r="J1058" s="62"/>
      <c r="K1058" s="200">
        <f t="shared" si="27"/>
        <v>0</v>
      </c>
    </row>
    <row r="1059" spans="1:11" x14ac:dyDescent="0.2">
      <c r="A1059" s="62"/>
      <c r="B1059" s="62"/>
      <c r="C1059" s="62"/>
      <c r="D1059" s="62"/>
      <c r="E1059" s="62"/>
      <c r="F1059" s="62"/>
      <c r="G1059" s="62"/>
      <c r="H1059" s="62"/>
      <c r="I1059" s="62"/>
      <c r="J1059" s="62"/>
      <c r="K1059" s="200">
        <f t="shared" si="27"/>
        <v>0</v>
      </c>
    </row>
    <row r="1060" spans="1:11" x14ac:dyDescent="0.2">
      <c r="A1060" s="62"/>
      <c r="B1060" s="62"/>
      <c r="C1060" s="62"/>
      <c r="D1060" s="62"/>
      <c r="E1060" s="62"/>
      <c r="F1060" s="62"/>
      <c r="G1060" s="62"/>
      <c r="H1060" s="62"/>
      <c r="I1060" s="62"/>
      <c r="J1060" s="62"/>
      <c r="K1060" s="200">
        <f t="shared" si="27"/>
        <v>0</v>
      </c>
    </row>
    <row r="1061" spans="1:11" x14ac:dyDescent="0.2">
      <c r="A1061" s="62"/>
      <c r="B1061" s="62"/>
      <c r="C1061" s="62"/>
      <c r="D1061" s="62"/>
      <c r="E1061" s="62"/>
      <c r="F1061" s="62"/>
      <c r="G1061" s="62"/>
      <c r="H1061" s="62"/>
      <c r="I1061" s="62"/>
      <c r="J1061" s="62"/>
      <c r="K1061" s="200">
        <f t="shared" si="27"/>
        <v>0</v>
      </c>
    </row>
    <row r="1062" spans="1:11" x14ac:dyDescent="0.2">
      <c r="A1062" s="62"/>
      <c r="B1062" s="62"/>
      <c r="C1062" s="62"/>
      <c r="D1062" s="62"/>
      <c r="E1062" s="62"/>
      <c r="F1062" s="62"/>
      <c r="G1062" s="62"/>
      <c r="H1062" s="62"/>
      <c r="I1062" s="62"/>
      <c r="J1062" s="62"/>
      <c r="K1062" s="200">
        <f t="shared" si="27"/>
        <v>0</v>
      </c>
    </row>
    <row r="1063" spans="1:11" x14ac:dyDescent="0.2">
      <c r="A1063" s="62"/>
      <c r="B1063" s="62"/>
      <c r="C1063" s="62"/>
      <c r="D1063" s="62"/>
      <c r="E1063" s="62"/>
      <c r="F1063" s="62"/>
      <c r="G1063" s="62"/>
      <c r="H1063" s="62"/>
      <c r="I1063" s="62"/>
      <c r="J1063" s="62"/>
      <c r="K1063" s="200">
        <f t="shared" si="27"/>
        <v>0</v>
      </c>
    </row>
    <row r="1064" spans="1:11" x14ac:dyDescent="0.2">
      <c r="A1064" s="62"/>
      <c r="B1064" s="62"/>
      <c r="C1064" s="62"/>
      <c r="D1064" s="62"/>
      <c r="E1064" s="62"/>
      <c r="F1064" s="62"/>
      <c r="G1064" s="62"/>
      <c r="H1064" s="62"/>
      <c r="I1064" s="62"/>
      <c r="J1064" s="62"/>
      <c r="K1064" s="200">
        <f t="shared" si="27"/>
        <v>0</v>
      </c>
    </row>
    <row r="1065" spans="1:11" x14ac:dyDescent="0.2">
      <c r="A1065" s="62"/>
      <c r="B1065" s="62"/>
      <c r="C1065" s="62"/>
      <c r="D1065" s="62"/>
      <c r="E1065" s="62"/>
      <c r="F1065" s="62"/>
      <c r="G1065" s="62"/>
      <c r="H1065" s="62"/>
      <c r="I1065" s="62"/>
      <c r="J1065" s="62"/>
      <c r="K1065" s="200">
        <f t="shared" si="27"/>
        <v>0</v>
      </c>
    </row>
    <row r="1066" spans="1:11" x14ac:dyDescent="0.2">
      <c r="A1066" s="62"/>
      <c r="B1066" s="62"/>
      <c r="C1066" s="62"/>
      <c r="D1066" s="62"/>
      <c r="E1066" s="62"/>
      <c r="F1066" s="62"/>
      <c r="G1066" s="62"/>
      <c r="H1066" s="62"/>
      <c r="I1066" s="62"/>
      <c r="J1066" s="62"/>
      <c r="K1066" s="200">
        <f t="shared" si="27"/>
        <v>0</v>
      </c>
    </row>
    <row r="1067" spans="1:11" x14ac:dyDescent="0.2">
      <c r="A1067" s="62"/>
      <c r="B1067" s="62"/>
      <c r="C1067" s="62"/>
      <c r="D1067" s="62"/>
      <c r="E1067" s="62"/>
      <c r="F1067" s="62"/>
      <c r="G1067" s="62"/>
      <c r="H1067" s="62"/>
      <c r="I1067" s="62"/>
      <c r="J1067" s="62"/>
      <c r="K1067" s="200">
        <f t="shared" si="27"/>
        <v>0</v>
      </c>
    </row>
    <row r="1068" spans="1:11" x14ac:dyDescent="0.2">
      <c r="A1068" s="62"/>
      <c r="B1068" s="62"/>
      <c r="C1068" s="62"/>
      <c r="D1068" s="62"/>
      <c r="E1068" s="62"/>
      <c r="F1068" s="62"/>
      <c r="G1068" s="62"/>
      <c r="H1068" s="62"/>
      <c r="I1068" s="62"/>
      <c r="J1068" s="62"/>
      <c r="K1068" s="200">
        <f t="shared" si="27"/>
        <v>0</v>
      </c>
    </row>
    <row r="1069" spans="1:11" x14ac:dyDescent="0.2">
      <c r="A1069" s="62"/>
      <c r="B1069" s="62"/>
      <c r="C1069" s="62"/>
      <c r="D1069" s="62"/>
      <c r="E1069" s="62"/>
      <c r="F1069" s="62"/>
      <c r="G1069" s="62"/>
      <c r="H1069" s="62"/>
      <c r="I1069" s="62"/>
      <c r="J1069" s="62"/>
      <c r="K1069" s="200">
        <f t="shared" si="27"/>
        <v>0</v>
      </c>
    </row>
    <row r="1070" spans="1:11" x14ac:dyDescent="0.2">
      <c r="A1070" s="62"/>
      <c r="B1070" s="62"/>
      <c r="C1070" s="62"/>
      <c r="D1070" s="62"/>
      <c r="E1070" s="62"/>
      <c r="F1070" s="62"/>
      <c r="G1070" s="62"/>
      <c r="H1070" s="62"/>
      <c r="I1070" s="62"/>
      <c r="J1070" s="62"/>
      <c r="K1070" s="200">
        <f t="shared" si="27"/>
        <v>0</v>
      </c>
    </row>
    <row r="1071" spans="1:11" x14ac:dyDescent="0.2">
      <c r="A1071" s="62"/>
      <c r="B1071" s="62"/>
      <c r="C1071" s="62"/>
      <c r="D1071" s="62"/>
      <c r="E1071" s="62"/>
      <c r="F1071" s="62"/>
      <c r="G1071" s="62"/>
      <c r="H1071" s="62"/>
      <c r="I1071" s="62"/>
      <c r="J1071" s="62"/>
      <c r="K1071" s="200">
        <f t="shared" si="27"/>
        <v>0</v>
      </c>
    </row>
    <row r="1072" spans="1:11" x14ac:dyDescent="0.2">
      <c r="A1072" s="62"/>
      <c r="B1072" s="62"/>
      <c r="C1072" s="62"/>
      <c r="D1072" s="62"/>
      <c r="E1072" s="62"/>
      <c r="F1072" s="62"/>
      <c r="G1072" s="62"/>
      <c r="H1072" s="62"/>
      <c r="I1072" s="62"/>
      <c r="J1072" s="62"/>
      <c r="K1072" s="200">
        <f t="shared" si="27"/>
        <v>0</v>
      </c>
    </row>
    <row r="1073" spans="1:11" x14ac:dyDescent="0.2">
      <c r="A1073" s="62"/>
      <c r="B1073" s="62"/>
      <c r="C1073" s="62"/>
      <c r="D1073" s="62"/>
      <c r="E1073" s="62"/>
      <c r="F1073" s="62"/>
      <c r="G1073" s="62"/>
      <c r="H1073" s="62"/>
      <c r="I1073" s="62"/>
      <c r="J1073" s="62"/>
      <c r="K1073" s="200">
        <f t="shared" si="27"/>
        <v>0</v>
      </c>
    </row>
    <row r="1074" spans="1:11" x14ac:dyDescent="0.2">
      <c r="A1074" s="62"/>
      <c r="B1074" s="62"/>
      <c r="C1074" s="62"/>
      <c r="D1074" s="62"/>
      <c r="E1074" s="62"/>
      <c r="F1074" s="62"/>
      <c r="G1074" s="62"/>
      <c r="H1074" s="62"/>
      <c r="I1074" s="62"/>
      <c r="J1074" s="62"/>
      <c r="K1074" s="200">
        <f t="shared" ref="K1074:K1108" si="28">H1074</f>
        <v>0</v>
      </c>
    </row>
    <row r="1075" spans="1:11" x14ac:dyDescent="0.2">
      <c r="A1075" s="62"/>
      <c r="B1075" s="62"/>
      <c r="C1075" s="62"/>
      <c r="D1075" s="62"/>
      <c r="E1075" s="62"/>
      <c r="F1075" s="62"/>
      <c r="G1075" s="62"/>
      <c r="H1075" s="62"/>
      <c r="I1075" s="62"/>
      <c r="J1075" s="62"/>
      <c r="K1075" s="200">
        <f t="shared" si="28"/>
        <v>0</v>
      </c>
    </row>
    <row r="1076" spans="1:11" x14ac:dyDescent="0.2">
      <c r="A1076" s="62"/>
      <c r="B1076" s="62"/>
      <c r="C1076" s="62"/>
      <c r="D1076" s="62"/>
      <c r="E1076" s="62"/>
      <c r="F1076" s="62"/>
      <c r="G1076" s="62"/>
      <c r="H1076" s="62"/>
      <c r="I1076" s="62"/>
      <c r="J1076" s="62"/>
      <c r="K1076" s="200">
        <f t="shared" si="28"/>
        <v>0</v>
      </c>
    </row>
    <row r="1077" spans="1:11" x14ac:dyDescent="0.2">
      <c r="A1077" s="62"/>
      <c r="B1077" s="62"/>
      <c r="C1077" s="62"/>
      <c r="D1077" s="62"/>
      <c r="E1077" s="62"/>
      <c r="F1077" s="62"/>
      <c r="G1077" s="62"/>
      <c r="H1077" s="62"/>
      <c r="I1077" s="62"/>
      <c r="J1077" s="62"/>
      <c r="K1077" s="200">
        <f t="shared" si="28"/>
        <v>0</v>
      </c>
    </row>
    <row r="1078" spans="1:11" x14ac:dyDescent="0.2">
      <c r="A1078" s="62"/>
      <c r="B1078" s="62"/>
      <c r="C1078" s="62"/>
      <c r="D1078" s="62"/>
      <c r="E1078" s="62"/>
      <c r="F1078" s="62"/>
      <c r="G1078" s="62"/>
      <c r="H1078" s="62"/>
      <c r="I1078" s="62"/>
      <c r="J1078" s="62"/>
      <c r="K1078" s="200">
        <f t="shared" si="28"/>
        <v>0</v>
      </c>
    </row>
    <row r="1079" spans="1:11" x14ac:dyDescent="0.2">
      <c r="A1079" s="62"/>
      <c r="B1079" s="62"/>
      <c r="C1079" s="62"/>
      <c r="D1079" s="62"/>
      <c r="E1079" s="62"/>
      <c r="F1079" s="62"/>
      <c r="G1079" s="62"/>
      <c r="H1079" s="62"/>
      <c r="I1079" s="62"/>
      <c r="J1079" s="62"/>
      <c r="K1079" s="200">
        <f t="shared" si="28"/>
        <v>0</v>
      </c>
    </row>
    <row r="1080" spans="1:11" x14ac:dyDescent="0.2">
      <c r="A1080" s="62"/>
      <c r="B1080" s="62"/>
      <c r="C1080" s="62"/>
      <c r="D1080" s="62"/>
      <c r="E1080" s="62"/>
      <c r="F1080" s="62"/>
      <c r="G1080" s="62"/>
      <c r="H1080" s="62"/>
      <c r="I1080" s="62"/>
      <c r="J1080" s="62"/>
      <c r="K1080" s="200">
        <f t="shared" si="28"/>
        <v>0</v>
      </c>
    </row>
    <row r="1081" spans="1:11" x14ac:dyDescent="0.2">
      <c r="A1081" s="62"/>
      <c r="B1081" s="62"/>
      <c r="C1081" s="62"/>
      <c r="D1081" s="62"/>
      <c r="E1081" s="62"/>
      <c r="F1081" s="62"/>
      <c r="G1081" s="62"/>
      <c r="H1081" s="62"/>
      <c r="I1081" s="62"/>
      <c r="J1081" s="62"/>
      <c r="K1081" s="200">
        <f t="shared" si="28"/>
        <v>0</v>
      </c>
    </row>
    <row r="1082" spans="1:11" x14ac:dyDescent="0.2">
      <c r="A1082" s="62"/>
      <c r="B1082" s="62"/>
      <c r="C1082" s="62"/>
      <c r="D1082" s="62"/>
      <c r="E1082" s="62"/>
      <c r="F1082" s="62"/>
      <c r="G1082" s="62"/>
      <c r="H1082" s="62"/>
      <c r="I1082" s="62"/>
      <c r="J1082" s="62"/>
      <c r="K1082" s="200">
        <f t="shared" si="28"/>
        <v>0</v>
      </c>
    </row>
    <row r="1083" spans="1:11" x14ac:dyDescent="0.2">
      <c r="A1083" s="62"/>
      <c r="B1083" s="62"/>
      <c r="C1083" s="62"/>
      <c r="D1083" s="62"/>
      <c r="E1083" s="62"/>
      <c r="F1083" s="62"/>
      <c r="G1083" s="62"/>
      <c r="H1083" s="62"/>
      <c r="I1083" s="62"/>
      <c r="J1083" s="62"/>
      <c r="K1083" s="200">
        <f t="shared" si="28"/>
        <v>0</v>
      </c>
    </row>
    <row r="1084" spans="1:11" x14ac:dyDescent="0.2">
      <c r="A1084" s="62"/>
      <c r="B1084" s="62"/>
      <c r="C1084" s="62"/>
      <c r="D1084" s="62"/>
      <c r="E1084" s="62"/>
      <c r="F1084" s="62"/>
      <c r="G1084" s="62"/>
      <c r="H1084" s="62"/>
      <c r="I1084" s="62"/>
      <c r="J1084" s="62"/>
      <c r="K1084" s="200">
        <f t="shared" si="28"/>
        <v>0</v>
      </c>
    </row>
    <row r="1085" spans="1:11" x14ac:dyDescent="0.2">
      <c r="A1085" s="62"/>
      <c r="B1085" s="62"/>
      <c r="C1085" s="62"/>
      <c r="D1085" s="62"/>
      <c r="E1085" s="62"/>
      <c r="F1085" s="62"/>
      <c r="G1085" s="62"/>
      <c r="H1085" s="62"/>
      <c r="I1085" s="62"/>
      <c r="J1085" s="62"/>
      <c r="K1085" s="200">
        <f t="shared" si="28"/>
        <v>0</v>
      </c>
    </row>
    <row r="1086" spans="1:11" x14ac:dyDescent="0.2">
      <c r="A1086" s="62"/>
      <c r="B1086" s="62"/>
      <c r="C1086" s="62"/>
      <c r="D1086" s="62"/>
      <c r="E1086" s="62"/>
      <c r="F1086" s="62"/>
      <c r="G1086" s="62"/>
      <c r="H1086" s="62"/>
      <c r="I1086" s="62"/>
      <c r="J1086" s="62"/>
      <c r="K1086" s="200">
        <f t="shared" si="28"/>
        <v>0</v>
      </c>
    </row>
    <row r="1087" spans="1:11" x14ac:dyDescent="0.2">
      <c r="A1087" s="62"/>
      <c r="B1087" s="62"/>
      <c r="C1087" s="62"/>
      <c r="D1087" s="62"/>
      <c r="E1087" s="62"/>
      <c r="F1087" s="62"/>
      <c r="G1087" s="62"/>
      <c r="H1087" s="62"/>
      <c r="I1087" s="62"/>
      <c r="J1087" s="62"/>
      <c r="K1087" s="200">
        <f t="shared" si="28"/>
        <v>0</v>
      </c>
    </row>
    <row r="1088" spans="1:11" x14ac:dyDescent="0.2">
      <c r="A1088" s="62"/>
      <c r="B1088" s="62"/>
      <c r="C1088" s="62"/>
      <c r="D1088" s="62"/>
      <c r="E1088" s="62"/>
      <c r="F1088" s="62"/>
      <c r="G1088" s="62"/>
      <c r="H1088" s="62"/>
      <c r="I1088" s="62"/>
      <c r="J1088" s="62"/>
      <c r="K1088" s="200">
        <f t="shared" si="28"/>
        <v>0</v>
      </c>
    </row>
    <row r="1089" spans="1:11" x14ac:dyDescent="0.2">
      <c r="A1089" s="62"/>
      <c r="B1089" s="62"/>
      <c r="C1089" s="62"/>
      <c r="D1089" s="62"/>
      <c r="E1089" s="62"/>
      <c r="F1089" s="62"/>
      <c r="G1089" s="62"/>
      <c r="H1089" s="62"/>
      <c r="I1089" s="62"/>
      <c r="J1089" s="62"/>
      <c r="K1089" s="200">
        <f t="shared" si="28"/>
        <v>0</v>
      </c>
    </row>
    <row r="1090" spans="1:11" x14ac:dyDescent="0.2">
      <c r="A1090" s="62"/>
      <c r="B1090" s="62"/>
      <c r="C1090" s="62"/>
      <c r="D1090" s="62"/>
      <c r="E1090" s="62"/>
      <c r="F1090" s="62"/>
      <c r="G1090" s="62"/>
      <c r="H1090" s="62"/>
      <c r="I1090" s="62"/>
      <c r="J1090" s="62"/>
      <c r="K1090" s="200">
        <f t="shared" si="28"/>
        <v>0</v>
      </c>
    </row>
    <row r="1091" spans="1:11" x14ac:dyDescent="0.2">
      <c r="A1091" s="62"/>
      <c r="B1091" s="62"/>
      <c r="C1091" s="62"/>
      <c r="D1091" s="62"/>
      <c r="E1091" s="62"/>
      <c r="F1091" s="62"/>
      <c r="G1091" s="62"/>
      <c r="H1091" s="62"/>
      <c r="I1091" s="62"/>
      <c r="J1091" s="62"/>
      <c r="K1091" s="200">
        <f t="shared" si="28"/>
        <v>0</v>
      </c>
    </row>
    <row r="1092" spans="1:11" x14ac:dyDescent="0.2">
      <c r="A1092" s="62"/>
      <c r="B1092" s="62"/>
      <c r="C1092" s="62"/>
      <c r="D1092" s="62"/>
      <c r="E1092" s="62"/>
      <c r="F1092" s="62"/>
      <c r="G1092" s="62"/>
      <c r="H1092" s="62"/>
      <c r="I1092" s="62"/>
      <c r="J1092" s="62"/>
      <c r="K1092" s="200">
        <f t="shared" si="28"/>
        <v>0</v>
      </c>
    </row>
    <row r="1093" spans="1:11" x14ac:dyDescent="0.2">
      <c r="A1093" s="62"/>
      <c r="B1093" s="62"/>
      <c r="C1093" s="62"/>
      <c r="D1093" s="62"/>
      <c r="E1093" s="62"/>
      <c r="F1093" s="62"/>
      <c r="G1093" s="62"/>
      <c r="H1093" s="62"/>
      <c r="I1093" s="62"/>
      <c r="J1093" s="62"/>
      <c r="K1093" s="200">
        <f t="shared" si="28"/>
        <v>0</v>
      </c>
    </row>
    <row r="1094" spans="1:11" x14ac:dyDescent="0.2">
      <c r="A1094" s="62"/>
      <c r="B1094" s="62"/>
      <c r="C1094" s="62"/>
      <c r="D1094" s="62"/>
      <c r="E1094" s="62"/>
      <c r="F1094" s="62"/>
      <c r="G1094" s="62"/>
      <c r="H1094" s="62"/>
      <c r="I1094" s="62"/>
      <c r="J1094" s="62"/>
      <c r="K1094" s="200">
        <f t="shared" si="28"/>
        <v>0</v>
      </c>
    </row>
    <row r="1095" spans="1:11" x14ac:dyDescent="0.2">
      <c r="A1095" s="62"/>
      <c r="B1095" s="62"/>
      <c r="C1095" s="62"/>
      <c r="D1095" s="62"/>
      <c r="E1095" s="62"/>
      <c r="F1095" s="62"/>
      <c r="G1095" s="62"/>
      <c r="H1095" s="62"/>
      <c r="I1095" s="62"/>
      <c r="J1095" s="62"/>
      <c r="K1095" s="200">
        <f t="shared" si="28"/>
        <v>0</v>
      </c>
    </row>
    <row r="1096" spans="1:11" x14ac:dyDescent="0.2">
      <c r="A1096" s="62"/>
      <c r="B1096" s="62"/>
      <c r="C1096" s="62"/>
      <c r="D1096" s="62"/>
      <c r="E1096" s="62"/>
      <c r="F1096" s="62"/>
      <c r="G1096" s="62"/>
      <c r="H1096" s="62"/>
      <c r="I1096" s="62"/>
      <c r="J1096" s="62"/>
      <c r="K1096" s="200">
        <f t="shared" si="28"/>
        <v>0</v>
      </c>
    </row>
    <row r="1097" spans="1:11" x14ac:dyDescent="0.2">
      <c r="A1097" s="62"/>
      <c r="B1097" s="62"/>
      <c r="C1097" s="62"/>
      <c r="D1097" s="62"/>
      <c r="E1097" s="62"/>
      <c r="F1097" s="62"/>
      <c r="G1097" s="62"/>
      <c r="H1097" s="62"/>
      <c r="I1097" s="62"/>
      <c r="J1097" s="62"/>
      <c r="K1097" s="200">
        <f t="shared" si="28"/>
        <v>0</v>
      </c>
    </row>
    <row r="1098" spans="1:11" x14ac:dyDescent="0.2">
      <c r="A1098" s="62"/>
      <c r="B1098" s="62"/>
      <c r="C1098" s="62"/>
      <c r="D1098" s="62"/>
      <c r="E1098" s="62"/>
      <c r="F1098" s="62"/>
      <c r="G1098" s="62"/>
      <c r="H1098" s="62"/>
      <c r="I1098" s="62"/>
      <c r="J1098" s="62"/>
      <c r="K1098" s="200">
        <f t="shared" si="28"/>
        <v>0</v>
      </c>
    </row>
    <row r="1099" spans="1:11" x14ac:dyDescent="0.2">
      <c r="A1099" s="62"/>
      <c r="B1099" s="62"/>
      <c r="C1099" s="62"/>
      <c r="D1099" s="62"/>
      <c r="E1099" s="62"/>
      <c r="F1099" s="62"/>
      <c r="G1099" s="62"/>
      <c r="H1099" s="62"/>
      <c r="I1099" s="62"/>
      <c r="J1099" s="62"/>
      <c r="K1099" s="200">
        <f t="shared" si="28"/>
        <v>0</v>
      </c>
    </row>
    <row r="1100" spans="1:11" x14ac:dyDescent="0.2">
      <c r="A1100" s="62"/>
      <c r="B1100" s="62"/>
      <c r="C1100" s="62"/>
      <c r="D1100" s="62"/>
      <c r="E1100" s="62"/>
      <c r="F1100" s="62"/>
      <c r="G1100" s="62"/>
      <c r="H1100" s="62"/>
      <c r="I1100" s="62"/>
      <c r="J1100" s="62"/>
      <c r="K1100" s="200">
        <f>H1100</f>
        <v>0</v>
      </c>
    </row>
    <row r="1101" spans="1:11" x14ac:dyDescent="0.2">
      <c r="A1101" s="62"/>
      <c r="B1101" s="62"/>
      <c r="C1101" s="62"/>
      <c r="D1101" s="62"/>
      <c r="E1101" s="62"/>
      <c r="F1101" s="62"/>
      <c r="G1101" s="62"/>
      <c r="H1101" s="62"/>
      <c r="I1101" s="62"/>
      <c r="J1101" s="62"/>
      <c r="K1101" s="200">
        <f>H1101</f>
        <v>0</v>
      </c>
    </row>
    <row r="1102" spans="1:11" x14ac:dyDescent="0.2">
      <c r="A1102" s="62"/>
      <c r="B1102" s="62"/>
      <c r="C1102" s="62"/>
      <c r="D1102" s="62"/>
      <c r="E1102" s="62"/>
      <c r="F1102" s="62"/>
      <c r="G1102" s="62"/>
      <c r="H1102" s="62"/>
      <c r="I1102" s="62"/>
      <c r="J1102" s="62"/>
      <c r="K1102" s="200">
        <f>H1102</f>
        <v>0</v>
      </c>
    </row>
    <row r="1103" spans="1:11" x14ac:dyDescent="0.2">
      <c r="A1103" s="62"/>
      <c r="B1103" s="62"/>
      <c r="C1103" s="62"/>
      <c r="D1103" s="62"/>
      <c r="E1103" s="62"/>
      <c r="F1103" s="62"/>
      <c r="G1103" s="62"/>
      <c r="H1103" s="62"/>
      <c r="I1103" s="62"/>
      <c r="J1103" s="62"/>
      <c r="K1103" s="200">
        <f t="shared" ref="K1103:K1106" si="29">H1103</f>
        <v>0</v>
      </c>
    </row>
    <row r="1104" spans="1:11" x14ac:dyDescent="0.2">
      <c r="A1104" s="62"/>
      <c r="B1104" s="62"/>
      <c r="C1104" s="62"/>
      <c r="D1104" s="62"/>
      <c r="E1104" s="62"/>
      <c r="F1104" s="62"/>
      <c r="G1104" s="62"/>
      <c r="H1104" s="62"/>
      <c r="I1104" s="62"/>
      <c r="J1104" s="62"/>
      <c r="K1104" s="200">
        <f t="shared" si="29"/>
        <v>0</v>
      </c>
    </row>
    <row r="1105" spans="1:11" x14ac:dyDescent="0.2">
      <c r="A1105" s="62"/>
      <c r="B1105" s="62"/>
      <c r="C1105" s="62"/>
      <c r="D1105" s="62"/>
      <c r="E1105" s="62"/>
      <c r="F1105" s="62"/>
      <c r="G1105" s="62"/>
      <c r="H1105" s="62"/>
      <c r="I1105" s="62"/>
      <c r="J1105" s="62"/>
      <c r="K1105" s="200">
        <f t="shared" si="29"/>
        <v>0</v>
      </c>
    </row>
    <row r="1106" spans="1:11" x14ac:dyDescent="0.2">
      <c r="A1106" s="62"/>
      <c r="B1106" s="62"/>
      <c r="C1106" s="62"/>
      <c r="D1106" s="62"/>
      <c r="E1106" s="62"/>
      <c r="F1106" s="62"/>
      <c r="G1106" s="62"/>
      <c r="H1106" s="62"/>
      <c r="I1106" s="62"/>
      <c r="J1106" s="62"/>
      <c r="K1106" s="200">
        <f t="shared" si="29"/>
        <v>0</v>
      </c>
    </row>
    <row r="1107" spans="1:11" x14ac:dyDescent="0.2">
      <c r="A1107" s="62"/>
      <c r="B1107" s="62"/>
      <c r="C1107" s="62"/>
      <c r="D1107" s="62"/>
      <c r="E1107" s="62"/>
      <c r="F1107" s="62"/>
      <c r="G1107" s="62"/>
      <c r="H1107" s="62"/>
      <c r="I1107" s="62"/>
      <c r="J1107" s="62"/>
      <c r="K1107" s="200">
        <f t="shared" si="28"/>
        <v>0</v>
      </c>
    </row>
    <row r="1108" spans="1:11" x14ac:dyDescent="0.2">
      <c r="A1108" s="62"/>
      <c r="B1108" s="62"/>
      <c r="C1108" s="62"/>
      <c r="D1108" s="62"/>
      <c r="E1108" s="62"/>
      <c r="F1108" s="62"/>
      <c r="G1108" s="62"/>
      <c r="H1108" s="62"/>
      <c r="I1108" s="62"/>
      <c r="J1108" s="62"/>
      <c r="K1108" s="200">
        <f t="shared" si="28"/>
        <v>0</v>
      </c>
    </row>
    <row r="1109" spans="1:11" ht="12" x14ac:dyDescent="0.2">
      <c r="A1109" s="300" t="s">
        <v>3454</v>
      </c>
      <c r="B1109" s="301"/>
      <c r="C1109" s="301"/>
      <c r="D1109" s="301"/>
      <c r="E1109" s="301"/>
      <c r="F1109" s="301"/>
      <c r="G1109" s="302"/>
      <c r="H1109" s="205">
        <f>SUM(H1007:H1108)</f>
        <v>0</v>
      </c>
      <c r="I1109" s="303" t="s">
        <v>3454</v>
      </c>
      <c r="J1109" s="303"/>
      <c r="K1109" s="205">
        <f>SUM(K1007:K1108)</f>
        <v>0</v>
      </c>
    </row>
    <row r="1110" spans="1:11" ht="12" x14ac:dyDescent="0.2">
      <c r="A1110" s="300" t="s">
        <v>3455</v>
      </c>
      <c r="B1110" s="301"/>
      <c r="C1110" s="301"/>
      <c r="D1110" s="301"/>
      <c r="E1110" s="301"/>
      <c r="F1110" s="301"/>
      <c r="G1110" s="302"/>
      <c r="H1110" s="205">
        <f>H950</f>
        <v>325000</v>
      </c>
      <c r="I1110" s="303" t="s">
        <v>3455</v>
      </c>
      <c r="J1110" s="303"/>
      <c r="K1110" s="205">
        <f>K950</f>
        <v>325000</v>
      </c>
    </row>
    <row r="1111" spans="1:11" ht="12.75" thickBot="1" x14ac:dyDescent="0.25">
      <c r="A1111" s="304" t="s">
        <v>3456</v>
      </c>
      <c r="B1111" s="305"/>
      <c r="C1111" s="305"/>
      <c r="D1111" s="305"/>
      <c r="E1111" s="305"/>
      <c r="F1111" s="305"/>
      <c r="G1111" s="306"/>
      <c r="H1111" s="206">
        <f>SUM(H1109:H1110)</f>
        <v>325000</v>
      </c>
      <c r="I1111" s="307" t="s">
        <v>3456</v>
      </c>
      <c r="J1111" s="307"/>
      <c r="K1111" s="206">
        <f>SUM(K1109:K1110)</f>
        <v>325000</v>
      </c>
    </row>
    <row r="1112" spans="1:11" x14ac:dyDescent="0.2">
      <c r="A1112" s="181"/>
      <c r="B1112" s="181"/>
      <c r="C1112" s="181"/>
      <c r="D1112" s="181"/>
      <c r="E1112" s="181"/>
      <c r="F1112" s="181"/>
      <c r="G1112" s="181"/>
      <c r="H1112" s="203"/>
      <c r="I1112" s="203"/>
      <c r="J1112" s="203"/>
      <c r="K1112" s="203"/>
    </row>
    <row r="1114" spans="1:11" ht="12" x14ac:dyDescent="0.2">
      <c r="A1114" s="183"/>
      <c r="B1114" s="183"/>
      <c r="C1114" s="183"/>
      <c r="D1114" s="183"/>
      <c r="E1114" s="191"/>
      <c r="F1114" s="191"/>
      <c r="G1114" s="183"/>
      <c r="H1114" s="204"/>
      <c r="I1114" s="299" t="s">
        <v>3450</v>
      </c>
      <c r="J1114" s="299"/>
      <c r="K1114" s="299"/>
    </row>
    <row r="1115" spans="1:11" ht="12" x14ac:dyDescent="0.2">
      <c r="A1115" s="183"/>
      <c r="B1115" s="183"/>
      <c r="C1115" s="183"/>
      <c r="D1115" s="183"/>
      <c r="E1115" s="191"/>
      <c r="F1115" s="191"/>
      <c r="G1115" s="183"/>
      <c r="H1115" s="214"/>
      <c r="I1115" s="299" t="s">
        <v>3564</v>
      </c>
      <c r="J1115" s="299"/>
      <c r="K1115" s="299"/>
    </row>
    <row r="1116" spans="1:11" ht="11.25" customHeight="1" x14ac:dyDescent="0.2">
      <c r="A1116" s="183"/>
      <c r="B1116" s="183"/>
      <c r="C1116" s="183"/>
      <c r="D1116" s="183"/>
      <c r="E1116" s="191"/>
      <c r="F1116" s="191"/>
      <c r="G1116" s="183"/>
      <c r="H1116" s="214"/>
      <c r="I1116" s="299"/>
      <c r="J1116" s="299"/>
      <c r="K1116" s="299"/>
    </row>
    <row r="1117" spans="1:11" ht="12" x14ac:dyDescent="0.2">
      <c r="A1117" s="183"/>
      <c r="B1117" s="183"/>
      <c r="C1117" s="183"/>
      <c r="D1117" s="183"/>
      <c r="E1117" s="191"/>
      <c r="F1117" s="191"/>
      <c r="G1117" s="183"/>
      <c r="H1117" s="187"/>
      <c r="I1117" s="299"/>
      <c r="J1117" s="299"/>
      <c r="K1117" s="299"/>
    </row>
    <row r="1118" spans="1:11" ht="12" x14ac:dyDescent="0.2">
      <c r="A1118" s="183"/>
      <c r="B1118" s="183"/>
      <c r="C1118" s="183"/>
      <c r="D1118" s="183"/>
      <c r="E1118" s="191"/>
      <c r="F1118" s="191"/>
      <c r="G1118" s="183" t="s">
        <v>3459</v>
      </c>
      <c r="H1118" s="187"/>
      <c r="I1118" s="299" t="s">
        <v>3451</v>
      </c>
      <c r="J1118" s="299"/>
      <c r="K1118" s="299"/>
    </row>
    <row r="1119" spans="1:11" x14ac:dyDescent="0.2">
      <c r="G1119" s="207"/>
      <c r="H1119" s="218">
        <f>H1118-H1109</f>
        <v>0</v>
      </c>
      <c r="I1119" s="312"/>
      <c r="J1119" s="312"/>
      <c r="K1119" s="312"/>
    </row>
    <row r="1151" spans="1:11" ht="12.75" x14ac:dyDescent="0.2">
      <c r="A1151" s="199" t="s">
        <v>3550</v>
      </c>
      <c r="B1151" s="192"/>
      <c r="C1151" s="128"/>
      <c r="D1151" s="192"/>
      <c r="E1151" s="192"/>
      <c r="F1151" s="192"/>
      <c r="G1151" s="128"/>
      <c r="H1151" s="128"/>
      <c r="I1151" s="192"/>
      <c r="J1151" s="128"/>
      <c r="K1151" s="128"/>
    </row>
    <row r="1152" spans="1:11" ht="12.75" x14ac:dyDescent="0.2">
      <c r="A1152" s="199" t="s">
        <v>3551</v>
      </c>
      <c r="B1152" s="192"/>
      <c r="C1152" s="128"/>
      <c r="D1152" s="192"/>
      <c r="E1152" s="192"/>
      <c r="F1152" s="192"/>
      <c r="G1152" s="128"/>
      <c r="H1152" s="128"/>
      <c r="I1152" s="192"/>
      <c r="J1152" s="128"/>
      <c r="K1152" s="128"/>
    </row>
    <row r="1153" spans="1:11" ht="12.75" x14ac:dyDescent="0.2">
      <c r="A1153" s="313" t="s">
        <v>3259</v>
      </c>
      <c r="B1153" s="313"/>
      <c r="C1153" s="313"/>
      <c r="D1153" s="313"/>
      <c r="E1153" s="313"/>
      <c r="F1153" s="313"/>
      <c r="G1153" s="313"/>
      <c r="H1153" s="313"/>
      <c r="I1153" s="313"/>
      <c r="J1153" s="313"/>
      <c r="K1153" s="313"/>
    </row>
    <row r="1154" spans="1:11" ht="12.75" x14ac:dyDescent="0.2">
      <c r="A1154" s="313" t="s">
        <v>3465</v>
      </c>
      <c r="B1154" s="313"/>
      <c r="C1154" s="313"/>
      <c r="D1154" s="313"/>
      <c r="E1154" s="313"/>
      <c r="F1154" s="313"/>
      <c r="G1154" s="313"/>
      <c r="H1154" s="313"/>
      <c r="I1154" s="313"/>
      <c r="J1154" s="313"/>
      <c r="K1154" s="313"/>
    </row>
    <row r="1155" spans="1:11" x14ac:dyDescent="0.2">
      <c r="A1155" s="18"/>
      <c r="B1155" s="18"/>
      <c r="C1155" s="18"/>
      <c r="D1155" s="18"/>
      <c r="E1155" s="18"/>
      <c r="F1155" s="18"/>
      <c r="G1155" s="18"/>
      <c r="H1155" s="18"/>
      <c r="I1155" s="18"/>
      <c r="J1155" s="18"/>
      <c r="K1155" s="18"/>
    </row>
    <row r="1156" spans="1:11" x14ac:dyDescent="0.2">
      <c r="A1156" s="287" t="s">
        <v>3260</v>
      </c>
      <c r="B1156" s="288"/>
      <c r="C1156" s="289" t="s">
        <v>8</v>
      </c>
      <c r="D1156" s="287" t="s">
        <v>3261</v>
      </c>
      <c r="E1156" s="288"/>
      <c r="F1156" s="308" t="s">
        <v>76</v>
      </c>
      <c r="G1156" s="309"/>
      <c r="H1156" s="310"/>
      <c r="I1156" s="308" t="s">
        <v>5</v>
      </c>
      <c r="J1156" s="309"/>
      <c r="K1156" s="310"/>
    </row>
    <row r="1157" spans="1:11" x14ac:dyDescent="0.2">
      <c r="A1157" s="289" t="s">
        <v>7</v>
      </c>
      <c r="B1157" s="289" t="s">
        <v>16</v>
      </c>
      <c r="C1157" s="290"/>
      <c r="D1157" s="292" t="s">
        <v>7</v>
      </c>
      <c r="E1157" s="292" t="s">
        <v>3262</v>
      </c>
      <c r="F1157" s="292" t="s">
        <v>3252</v>
      </c>
      <c r="G1157" s="292" t="s">
        <v>3251</v>
      </c>
      <c r="H1157" s="292" t="s">
        <v>3452</v>
      </c>
      <c r="I1157" s="292" t="s">
        <v>3252</v>
      </c>
      <c r="J1157" s="292" t="s">
        <v>3251</v>
      </c>
      <c r="K1157" s="292" t="s">
        <v>3452</v>
      </c>
    </row>
    <row r="1158" spans="1:11" x14ac:dyDescent="0.2">
      <c r="A1158" s="291"/>
      <c r="B1158" s="291"/>
      <c r="C1158" s="291"/>
      <c r="D1158" s="294"/>
      <c r="E1158" s="294"/>
      <c r="F1158" s="294"/>
      <c r="G1158" s="294"/>
      <c r="H1158" s="294"/>
      <c r="I1158" s="294"/>
      <c r="J1158" s="294"/>
      <c r="K1158" s="294"/>
    </row>
    <row r="1159" spans="1:11" x14ac:dyDescent="0.2">
      <c r="A1159" s="62"/>
      <c r="B1159" s="62"/>
      <c r="C1159" s="62"/>
      <c r="D1159" s="62"/>
      <c r="E1159" s="62"/>
      <c r="F1159" s="62"/>
      <c r="G1159" s="62"/>
      <c r="H1159" s="62"/>
      <c r="I1159" s="62"/>
      <c r="J1159" s="62"/>
      <c r="K1159" s="200">
        <f t="shared" ref="K1159:K1222" si="30">H1159</f>
        <v>0</v>
      </c>
    </row>
    <row r="1160" spans="1:11" x14ac:dyDescent="0.2">
      <c r="A1160" s="62"/>
      <c r="B1160" s="62"/>
      <c r="C1160" s="62"/>
      <c r="D1160" s="62"/>
      <c r="E1160" s="62"/>
      <c r="F1160" s="62"/>
      <c r="G1160" s="62"/>
      <c r="H1160" s="62"/>
      <c r="I1160" s="62"/>
      <c r="J1160" s="62"/>
      <c r="K1160" s="200">
        <f t="shared" si="30"/>
        <v>0</v>
      </c>
    </row>
    <row r="1161" spans="1:11" x14ac:dyDescent="0.2">
      <c r="A1161" s="62"/>
      <c r="B1161" s="62"/>
      <c r="C1161" s="62"/>
      <c r="D1161" s="62"/>
      <c r="E1161" s="62"/>
      <c r="F1161" s="62"/>
      <c r="G1161" s="62"/>
      <c r="H1161" s="62"/>
      <c r="I1161" s="62"/>
      <c r="J1161" s="62"/>
      <c r="K1161" s="200">
        <f t="shared" si="30"/>
        <v>0</v>
      </c>
    </row>
    <row r="1162" spans="1:11" x14ac:dyDescent="0.2">
      <c r="A1162" s="62"/>
      <c r="B1162" s="62"/>
      <c r="C1162" s="62"/>
      <c r="D1162" s="62"/>
      <c r="E1162" s="62"/>
      <c r="F1162" s="62"/>
      <c r="G1162" s="62"/>
      <c r="H1162" s="62"/>
      <c r="I1162" s="62"/>
      <c r="J1162" s="62"/>
      <c r="K1162" s="200">
        <f t="shared" si="30"/>
        <v>0</v>
      </c>
    </row>
    <row r="1163" spans="1:11" x14ac:dyDescent="0.2">
      <c r="A1163" s="62"/>
      <c r="B1163" s="62"/>
      <c r="C1163" s="62"/>
      <c r="D1163" s="62"/>
      <c r="E1163" s="62"/>
      <c r="F1163" s="62"/>
      <c r="G1163" s="62"/>
      <c r="H1163" s="62"/>
      <c r="I1163" s="62"/>
      <c r="J1163" s="62"/>
      <c r="K1163" s="200">
        <f t="shared" si="30"/>
        <v>0</v>
      </c>
    </row>
    <row r="1164" spans="1:11" x14ac:dyDescent="0.2">
      <c r="A1164" s="62"/>
      <c r="B1164" s="62"/>
      <c r="C1164" s="62"/>
      <c r="D1164" s="62"/>
      <c r="E1164" s="62"/>
      <c r="F1164" s="62"/>
      <c r="G1164" s="62"/>
      <c r="H1164" s="62"/>
      <c r="I1164" s="62"/>
      <c r="J1164" s="62"/>
      <c r="K1164" s="200">
        <f t="shared" si="30"/>
        <v>0</v>
      </c>
    </row>
    <row r="1165" spans="1:11" x14ac:dyDescent="0.2">
      <c r="A1165" s="62"/>
      <c r="B1165" s="62"/>
      <c r="C1165" s="62"/>
      <c r="D1165" s="62"/>
      <c r="E1165" s="62"/>
      <c r="F1165" s="62"/>
      <c r="G1165" s="62"/>
      <c r="H1165" s="62"/>
      <c r="I1165" s="62"/>
      <c r="J1165" s="62"/>
      <c r="K1165" s="200">
        <f t="shared" si="30"/>
        <v>0</v>
      </c>
    </row>
    <row r="1166" spans="1:11" x14ac:dyDescent="0.2">
      <c r="A1166" s="62"/>
      <c r="B1166" s="62"/>
      <c r="C1166" s="62"/>
      <c r="D1166" s="62"/>
      <c r="E1166" s="62"/>
      <c r="F1166" s="62"/>
      <c r="G1166" s="62"/>
      <c r="H1166" s="62"/>
      <c r="I1166" s="62"/>
      <c r="J1166" s="62"/>
      <c r="K1166" s="200">
        <f t="shared" si="30"/>
        <v>0</v>
      </c>
    </row>
    <row r="1167" spans="1:11" x14ac:dyDescent="0.2">
      <c r="A1167" s="62"/>
      <c r="B1167" s="62"/>
      <c r="C1167" s="62"/>
      <c r="D1167" s="62"/>
      <c r="E1167" s="62"/>
      <c r="F1167" s="62"/>
      <c r="G1167" s="62"/>
      <c r="H1167" s="62"/>
      <c r="I1167" s="62"/>
      <c r="J1167" s="62"/>
      <c r="K1167" s="200">
        <f t="shared" si="30"/>
        <v>0</v>
      </c>
    </row>
    <row r="1168" spans="1:11" x14ac:dyDescent="0.2">
      <c r="A1168" s="62"/>
      <c r="B1168" s="62"/>
      <c r="C1168" s="62"/>
      <c r="D1168" s="62"/>
      <c r="E1168" s="62"/>
      <c r="F1168" s="62"/>
      <c r="G1168" s="62"/>
      <c r="H1168" s="62"/>
      <c r="I1168" s="62"/>
      <c r="J1168" s="62"/>
      <c r="K1168" s="200">
        <f t="shared" si="30"/>
        <v>0</v>
      </c>
    </row>
    <row r="1169" spans="1:11" x14ac:dyDescent="0.2">
      <c r="A1169" s="62"/>
      <c r="B1169" s="62"/>
      <c r="C1169" s="62"/>
      <c r="D1169" s="62"/>
      <c r="E1169" s="62"/>
      <c r="F1169" s="62"/>
      <c r="G1169" s="62"/>
      <c r="H1169" s="62"/>
      <c r="I1169" s="62"/>
      <c r="J1169" s="62"/>
      <c r="K1169" s="200">
        <f t="shared" si="30"/>
        <v>0</v>
      </c>
    </row>
    <row r="1170" spans="1:11" x14ac:dyDescent="0.2">
      <c r="A1170" s="62"/>
      <c r="B1170" s="62"/>
      <c r="C1170" s="62"/>
      <c r="D1170" s="62"/>
      <c r="E1170" s="62"/>
      <c r="F1170" s="62"/>
      <c r="G1170" s="62"/>
      <c r="H1170" s="62"/>
      <c r="I1170" s="62"/>
      <c r="J1170" s="62"/>
      <c r="K1170" s="200">
        <f t="shared" si="30"/>
        <v>0</v>
      </c>
    </row>
    <row r="1171" spans="1:11" x14ac:dyDescent="0.2">
      <c r="A1171" s="62"/>
      <c r="B1171" s="62"/>
      <c r="C1171" s="62"/>
      <c r="D1171" s="62"/>
      <c r="E1171" s="62"/>
      <c r="F1171" s="62"/>
      <c r="G1171" s="62"/>
      <c r="H1171" s="62"/>
      <c r="I1171" s="62"/>
      <c r="J1171" s="62"/>
      <c r="K1171" s="200">
        <f t="shared" si="30"/>
        <v>0</v>
      </c>
    </row>
    <row r="1172" spans="1:11" x14ac:dyDescent="0.2">
      <c r="A1172" s="62"/>
      <c r="B1172" s="62"/>
      <c r="C1172" s="62"/>
      <c r="D1172" s="62"/>
      <c r="E1172" s="62"/>
      <c r="F1172" s="62"/>
      <c r="G1172" s="62"/>
      <c r="H1172" s="62"/>
      <c r="I1172" s="62"/>
      <c r="J1172" s="62"/>
      <c r="K1172" s="200">
        <f t="shared" si="30"/>
        <v>0</v>
      </c>
    </row>
    <row r="1173" spans="1:11" x14ac:dyDescent="0.2">
      <c r="A1173" s="62"/>
      <c r="B1173" s="62"/>
      <c r="C1173" s="62"/>
      <c r="D1173" s="62"/>
      <c r="E1173" s="62"/>
      <c r="F1173" s="62"/>
      <c r="G1173" s="62"/>
      <c r="H1173" s="62"/>
      <c r="I1173" s="62"/>
      <c r="J1173" s="62"/>
      <c r="K1173" s="200">
        <f t="shared" si="30"/>
        <v>0</v>
      </c>
    </row>
    <row r="1174" spans="1:11" x14ac:dyDescent="0.2">
      <c r="A1174" s="62"/>
      <c r="B1174" s="62"/>
      <c r="C1174" s="62"/>
      <c r="D1174" s="62"/>
      <c r="E1174" s="62"/>
      <c r="F1174" s="62"/>
      <c r="G1174" s="62"/>
      <c r="H1174" s="62"/>
      <c r="I1174" s="62"/>
      <c r="J1174" s="62"/>
      <c r="K1174" s="200">
        <f t="shared" si="30"/>
        <v>0</v>
      </c>
    </row>
    <row r="1175" spans="1:11" x14ac:dyDescent="0.2">
      <c r="A1175" s="62"/>
      <c r="B1175" s="62"/>
      <c r="C1175" s="62"/>
      <c r="D1175" s="62"/>
      <c r="E1175" s="62"/>
      <c r="F1175" s="62"/>
      <c r="G1175" s="62"/>
      <c r="H1175" s="62"/>
      <c r="I1175" s="62"/>
      <c r="J1175" s="62"/>
      <c r="K1175" s="200">
        <f t="shared" si="30"/>
        <v>0</v>
      </c>
    </row>
    <row r="1176" spans="1:11" x14ac:dyDescent="0.2">
      <c r="A1176" s="62"/>
      <c r="B1176" s="62"/>
      <c r="C1176" s="62"/>
      <c r="D1176" s="62"/>
      <c r="E1176" s="62"/>
      <c r="F1176" s="62"/>
      <c r="G1176" s="62"/>
      <c r="H1176" s="62"/>
      <c r="I1176" s="62"/>
      <c r="J1176" s="62"/>
      <c r="K1176" s="200">
        <f t="shared" si="30"/>
        <v>0</v>
      </c>
    </row>
    <row r="1177" spans="1:11" x14ac:dyDescent="0.2">
      <c r="A1177" s="62"/>
      <c r="B1177" s="62"/>
      <c r="C1177" s="62"/>
      <c r="D1177" s="62"/>
      <c r="E1177" s="62"/>
      <c r="F1177" s="62"/>
      <c r="G1177" s="62"/>
      <c r="H1177" s="62"/>
      <c r="I1177" s="62"/>
      <c r="J1177" s="62"/>
      <c r="K1177" s="200">
        <f t="shared" si="30"/>
        <v>0</v>
      </c>
    </row>
    <row r="1178" spans="1:11" x14ac:dyDescent="0.2">
      <c r="A1178" s="62"/>
      <c r="B1178" s="62"/>
      <c r="C1178" s="62"/>
      <c r="D1178" s="62"/>
      <c r="E1178" s="62"/>
      <c r="F1178" s="62"/>
      <c r="G1178" s="62"/>
      <c r="H1178" s="62"/>
      <c r="I1178" s="62"/>
      <c r="J1178" s="62"/>
      <c r="K1178" s="200">
        <f t="shared" si="30"/>
        <v>0</v>
      </c>
    </row>
    <row r="1179" spans="1:11" x14ac:dyDescent="0.2">
      <c r="A1179" s="62"/>
      <c r="B1179" s="62"/>
      <c r="C1179" s="62"/>
      <c r="D1179" s="62"/>
      <c r="E1179" s="62"/>
      <c r="F1179" s="62"/>
      <c r="G1179" s="62"/>
      <c r="H1179" s="62"/>
      <c r="I1179" s="62"/>
      <c r="J1179" s="62"/>
      <c r="K1179" s="200">
        <f t="shared" si="30"/>
        <v>0</v>
      </c>
    </row>
    <row r="1180" spans="1:11" x14ac:dyDescent="0.2">
      <c r="A1180" s="62"/>
      <c r="B1180" s="62"/>
      <c r="C1180" s="62"/>
      <c r="D1180" s="62"/>
      <c r="E1180" s="62"/>
      <c r="F1180" s="62"/>
      <c r="G1180" s="62"/>
      <c r="H1180" s="62"/>
      <c r="I1180" s="62"/>
      <c r="J1180" s="62"/>
      <c r="K1180" s="200">
        <f t="shared" si="30"/>
        <v>0</v>
      </c>
    </row>
    <row r="1181" spans="1:11" x14ac:dyDescent="0.2">
      <c r="A1181" s="62"/>
      <c r="B1181" s="62"/>
      <c r="C1181" s="62"/>
      <c r="D1181" s="62"/>
      <c r="E1181" s="62"/>
      <c r="F1181" s="62"/>
      <c r="G1181" s="62"/>
      <c r="H1181" s="62"/>
      <c r="I1181" s="62"/>
      <c r="J1181" s="62"/>
      <c r="K1181" s="200">
        <f t="shared" si="30"/>
        <v>0</v>
      </c>
    </row>
    <row r="1182" spans="1:11" x14ac:dyDescent="0.2">
      <c r="A1182" s="62"/>
      <c r="B1182" s="62"/>
      <c r="C1182" s="62"/>
      <c r="D1182" s="62"/>
      <c r="E1182" s="62"/>
      <c r="F1182" s="62"/>
      <c r="G1182" s="62"/>
      <c r="H1182" s="62"/>
      <c r="I1182" s="62"/>
      <c r="J1182" s="62"/>
      <c r="K1182" s="200">
        <f t="shared" si="30"/>
        <v>0</v>
      </c>
    </row>
    <row r="1183" spans="1:11" x14ac:dyDescent="0.2">
      <c r="A1183" s="62"/>
      <c r="B1183" s="62"/>
      <c r="C1183" s="62"/>
      <c r="D1183" s="62"/>
      <c r="E1183" s="62"/>
      <c r="F1183" s="62"/>
      <c r="G1183" s="62"/>
      <c r="H1183" s="62"/>
      <c r="I1183" s="62"/>
      <c r="J1183" s="62"/>
      <c r="K1183" s="200">
        <f t="shared" si="30"/>
        <v>0</v>
      </c>
    </row>
    <row r="1184" spans="1:11" x14ac:dyDescent="0.2">
      <c r="A1184" s="62"/>
      <c r="B1184" s="62"/>
      <c r="C1184" s="62"/>
      <c r="D1184" s="62"/>
      <c r="E1184" s="62"/>
      <c r="F1184" s="62"/>
      <c r="G1184" s="62"/>
      <c r="H1184" s="62"/>
      <c r="I1184" s="62"/>
      <c r="J1184" s="62"/>
      <c r="K1184" s="200">
        <f t="shared" si="30"/>
        <v>0</v>
      </c>
    </row>
    <row r="1185" spans="1:11" x14ac:dyDescent="0.2">
      <c r="A1185" s="62"/>
      <c r="B1185" s="62"/>
      <c r="C1185" s="62"/>
      <c r="D1185" s="62"/>
      <c r="E1185" s="62"/>
      <c r="F1185" s="62"/>
      <c r="G1185" s="62"/>
      <c r="H1185" s="62"/>
      <c r="I1185" s="62"/>
      <c r="J1185" s="62"/>
      <c r="K1185" s="200">
        <f t="shared" si="30"/>
        <v>0</v>
      </c>
    </row>
    <row r="1186" spans="1:11" x14ac:dyDescent="0.2">
      <c r="A1186" s="62"/>
      <c r="B1186" s="62"/>
      <c r="C1186" s="62"/>
      <c r="D1186" s="62"/>
      <c r="E1186" s="62"/>
      <c r="F1186" s="62"/>
      <c r="G1186" s="62"/>
      <c r="H1186" s="62"/>
      <c r="I1186" s="62"/>
      <c r="J1186" s="62"/>
      <c r="K1186" s="200">
        <f t="shared" si="30"/>
        <v>0</v>
      </c>
    </row>
    <row r="1187" spans="1:11" x14ac:dyDescent="0.2">
      <c r="A1187" s="62"/>
      <c r="B1187" s="62"/>
      <c r="C1187" s="62"/>
      <c r="D1187" s="62"/>
      <c r="E1187" s="62"/>
      <c r="F1187" s="62"/>
      <c r="G1187" s="62"/>
      <c r="H1187" s="62"/>
      <c r="I1187" s="62"/>
      <c r="J1187" s="62"/>
      <c r="K1187" s="200">
        <f t="shared" si="30"/>
        <v>0</v>
      </c>
    </row>
    <row r="1188" spans="1:11" x14ac:dyDescent="0.2">
      <c r="A1188" s="62"/>
      <c r="B1188" s="62"/>
      <c r="C1188" s="62"/>
      <c r="D1188" s="62"/>
      <c r="E1188" s="62"/>
      <c r="F1188" s="62"/>
      <c r="G1188" s="62"/>
      <c r="H1188" s="62"/>
      <c r="I1188" s="62"/>
      <c r="J1188" s="62"/>
      <c r="K1188" s="200">
        <f t="shared" si="30"/>
        <v>0</v>
      </c>
    </row>
    <row r="1189" spans="1:11" x14ac:dyDescent="0.2">
      <c r="A1189" s="62"/>
      <c r="B1189" s="62"/>
      <c r="C1189" s="62"/>
      <c r="D1189" s="62"/>
      <c r="E1189" s="62"/>
      <c r="F1189" s="62"/>
      <c r="G1189" s="62"/>
      <c r="H1189" s="62"/>
      <c r="I1189" s="62"/>
      <c r="J1189" s="62"/>
      <c r="K1189" s="200">
        <f t="shared" si="30"/>
        <v>0</v>
      </c>
    </row>
    <row r="1190" spans="1:11" x14ac:dyDescent="0.2">
      <c r="A1190" s="62"/>
      <c r="B1190" s="62"/>
      <c r="C1190" s="62"/>
      <c r="D1190" s="62"/>
      <c r="E1190" s="62"/>
      <c r="F1190" s="62"/>
      <c r="G1190" s="62"/>
      <c r="H1190" s="62"/>
      <c r="I1190" s="62"/>
      <c r="J1190" s="62"/>
      <c r="K1190" s="200">
        <f t="shared" si="30"/>
        <v>0</v>
      </c>
    </row>
    <row r="1191" spans="1:11" x14ac:dyDescent="0.2">
      <c r="A1191" s="62"/>
      <c r="B1191" s="62"/>
      <c r="C1191" s="62"/>
      <c r="D1191" s="62"/>
      <c r="E1191" s="62"/>
      <c r="F1191" s="62"/>
      <c r="G1191" s="62"/>
      <c r="H1191" s="62"/>
      <c r="I1191" s="62"/>
      <c r="J1191" s="62"/>
      <c r="K1191" s="200">
        <f t="shared" si="30"/>
        <v>0</v>
      </c>
    </row>
    <row r="1192" spans="1:11" x14ac:dyDescent="0.2">
      <c r="A1192" s="62"/>
      <c r="B1192" s="62"/>
      <c r="C1192" s="62"/>
      <c r="D1192" s="62"/>
      <c r="E1192" s="62"/>
      <c r="F1192" s="62"/>
      <c r="G1192" s="62"/>
      <c r="H1192" s="62"/>
      <c r="I1192" s="62"/>
      <c r="J1192" s="62"/>
      <c r="K1192" s="200">
        <f t="shared" si="30"/>
        <v>0</v>
      </c>
    </row>
    <row r="1193" spans="1:11" x14ac:dyDescent="0.2">
      <c r="A1193" s="62"/>
      <c r="B1193" s="62"/>
      <c r="C1193" s="62"/>
      <c r="D1193" s="62"/>
      <c r="E1193" s="62"/>
      <c r="F1193" s="62"/>
      <c r="G1193" s="62"/>
      <c r="H1193" s="62"/>
      <c r="I1193" s="62"/>
      <c r="J1193" s="62"/>
      <c r="K1193" s="200">
        <f t="shared" si="30"/>
        <v>0</v>
      </c>
    </row>
    <row r="1194" spans="1:11" x14ac:dyDescent="0.2">
      <c r="A1194" s="62"/>
      <c r="B1194" s="62"/>
      <c r="C1194" s="62"/>
      <c r="D1194" s="62"/>
      <c r="E1194" s="62"/>
      <c r="F1194" s="62"/>
      <c r="G1194" s="62"/>
      <c r="H1194" s="62"/>
      <c r="I1194" s="62"/>
      <c r="J1194" s="62"/>
      <c r="K1194" s="200">
        <f t="shared" si="30"/>
        <v>0</v>
      </c>
    </row>
    <row r="1195" spans="1:11" x14ac:dyDescent="0.2">
      <c r="A1195" s="62"/>
      <c r="B1195" s="62"/>
      <c r="C1195" s="62"/>
      <c r="D1195" s="62"/>
      <c r="E1195" s="62"/>
      <c r="F1195" s="62"/>
      <c r="G1195" s="62"/>
      <c r="H1195" s="62"/>
      <c r="I1195" s="62"/>
      <c r="J1195" s="62"/>
      <c r="K1195" s="200">
        <f t="shared" si="30"/>
        <v>0</v>
      </c>
    </row>
    <row r="1196" spans="1:11" x14ac:dyDescent="0.2">
      <c r="A1196" s="62"/>
      <c r="B1196" s="62"/>
      <c r="C1196" s="62"/>
      <c r="D1196" s="62"/>
      <c r="E1196" s="62"/>
      <c r="F1196" s="62"/>
      <c r="G1196" s="62"/>
      <c r="H1196" s="62"/>
      <c r="I1196" s="62"/>
      <c r="J1196" s="62"/>
      <c r="K1196" s="200">
        <f t="shared" si="30"/>
        <v>0</v>
      </c>
    </row>
    <row r="1197" spans="1:11" x14ac:dyDescent="0.2">
      <c r="A1197" s="62"/>
      <c r="B1197" s="62"/>
      <c r="C1197" s="62"/>
      <c r="D1197" s="62"/>
      <c r="E1197" s="62"/>
      <c r="F1197" s="62"/>
      <c r="G1197" s="62"/>
      <c r="H1197" s="62"/>
      <c r="I1197" s="62"/>
      <c r="J1197" s="62"/>
      <c r="K1197" s="200">
        <f t="shared" si="30"/>
        <v>0</v>
      </c>
    </row>
    <row r="1198" spans="1:11" x14ac:dyDescent="0.2">
      <c r="A1198" s="62"/>
      <c r="B1198" s="62"/>
      <c r="C1198" s="62"/>
      <c r="D1198" s="62"/>
      <c r="E1198" s="62"/>
      <c r="F1198" s="62"/>
      <c r="G1198" s="62"/>
      <c r="H1198" s="62"/>
      <c r="I1198" s="62"/>
      <c r="J1198" s="62"/>
      <c r="K1198" s="200">
        <f t="shared" si="30"/>
        <v>0</v>
      </c>
    </row>
    <row r="1199" spans="1:11" x14ac:dyDescent="0.2">
      <c r="A1199" s="62"/>
      <c r="B1199" s="62"/>
      <c r="C1199" s="62"/>
      <c r="D1199" s="62"/>
      <c r="E1199" s="62"/>
      <c r="F1199" s="62"/>
      <c r="G1199" s="62"/>
      <c r="H1199" s="62"/>
      <c r="I1199" s="62"/>
      <c r="J1199" s="62"/>
      <c r="K1199" s="200">
        <f t="shared" si="30"/>
        <v>0</v>
      </c>
    </row>
    <row r="1200" spans="1:11" x14ac:dyDescent="0.2">
      <c r="A1200" s="62"/>
      <c r="B1200" s="62"/>
      <c r="C1200" s="62"/>
      <c r="D1200" s="62"/>
      <c r="E1200" s="62"/>
      <c r="F1200" s="62"/>
      <c r="G1200" s="62"/>
      <c r="H1200" s="62"/>
      <c r="I1200" s="62"/>
      <c r="J1200" s="62"/>
      <c r="K1200" s="200">
        <f t="shared" si="30"/>
        <v>0</v>
      </c>
    </row>
    <row r="1201" spans="1:11" x14ac:dyDescent="0.2">
      <c r="A1201" s="62"/>
      <c r="B1201" s="62"/>
      <c r="C1201" s="62"/>
      <c r="D1201" s="62"/>
      <c r="E1201" s="62"/>
      <c r="F1201" s="62"/>
      <c r="G1201" s="62"/>
      <c r="H1201" s="62"/>
      <c r="I1201" s="62"/>
      <c r="J1201" s="62"/>
      <c r="K1201" s="200">
        <f t="shared" si="30"/>
        <v>0</v>
      </c>
    </row>
    <row r="1202" spans="1:11" x14ac:dyDescent="0.2">
      <c r="A1202" s="62"/>
      <c r="B1202" s="62"/>
      <c r="C1202" s="62"/>
      <c r="D1202" s="62"/>
      <c r="E1202" s="62"/>
      <c r="F1202" s="62"/>
      <c r="G1202" s="62"/>
      <c r="H1202" s="62"/>
      <c r="I1202" s="62"/>
      <c r="J1202" s="62"/>
      <c r="K1202" s="200">
        <f t="shared" si="30"/>
        <v>0</v>
      </c>
    </row>
    <row r="1203" spans="1:11" x14ac:dyDescent="0.2">
      <c r="A1203" s="62"/>
      <c r="B1203" s="62"/>
      <c r="C1203" s="62"/>
      <c r="D1203" s="62"/>
      <c r="E1203" s="62"/>
      <c r="F1203" s="62"/>
      <c r="G1203" s="62"/>
      <c r="H1203" s="62"/>
      <c r="I1203" s="62"/>
      <c r="J1203" s="62"/>
      <c r="K1203" s="200">
        <f t="shared" si="30"/>
        <v>0</v>
      </c>
    </row>
    <row r="1204" spans="1:11" x14ac:dyDescent="0.2">
      <c r="A1204" s="62"/>
      <c r="B1204" s="62"/>
      <c r="C1204" s="62"/>
      <c r="D1204" s="62"/>
      <c r="E1204" s="62"/>
      <c r="F1204" s="62"/>
      <c r="G1204" s="62"/>
      <c r="H1204" s="62"/>
      <c r="I1204" s="62"/>
      <c r="J1204" s="62"/>
      <c r="K1204" s="200">
        <f t="shared" si="30"/>
        <v>0</v>
      </c>
    </row>
    <row r="1205" spans="1:11" x14ac:dyDescent="0.2">
      <c r="A1205" s="62"/>
      <c r="B1205" s="62"/>
      <c r="C1205" s="62"/>
      <c r="D1205" s="62"/>
      <c r="E1205" s="62"/>
      <c r="F1205" s="62"/>
      <c r="G1205" s="62"/>
      <c r="H1205" s="62"/>
      <c r="I1205" s="62"/>
      <c r="J1205" s="62"/>
      <c r="K1205" s="200">
        <f t="shared" si="30"/>
        <v>0</v>
      </c>
    </row>
    <row r="1206" spans="1:11" x14ac:dyDescent="0.2">
      <c r="A1206" s="62"/>
      <c r="B1206" s="62"/>
      <c r="C1206" s="62"/>
      <c r="D1206" s="62"/>
      <c r="E1206" s="62"/>
      <c r="F1206" s="62"/>
      <c r="G1206" s="62"/>
      <c r="H1206" s="62"/>
      <c r="I1206" s="62"/>
      <c r="J1206" s="62"/>
      <c r="K1206" s="200">
        <f t="shared" si="30"/>
        <v>0</v>
      </c>
    </row>
    <row r="1207" spans="1:11" x14ac:dyDescent="0.2">
      <c r="A1207" s="62"/>
      <c r="B1207" s="62"/>
      <c r="C1207" s="62"/>
      <c r="D1207" s="62"/>
      <c r="E1207" s="62"/>
      <c r="F1207" s="62"/>
      <c r="G1207" s="62"/>
      <c r="H1207" s="62"/>
      <c r="I1207" s="62"/>
      <c r="J1207" s="62"/>
      <c r="K1207" s="200">
        <f t="shared" si="30"/>
        <v>0</v>
      </c>
    </row>
    <row r="1208" spans="1:11" x14ac:dyDescent="0.2">
      <c r="A1208" s="62"/>
      <c r="B1208" s="62"/>
      <c r="C1208" s="62"/>
      <c r="D1208" s="62"/>
      <c r="E1208" s="62"/>
      <c r="F1208" s="62"/>
      <c r="G1208" s="62"/>
      <c r="H1208" s="62"/>
      <c r="I1208" s="62"/>
      <c r="J1208" s="62"/>
      <c r="K1208" s="200">
        <f t="shared" si="30"/>
        <v>0</v>
      </c>
    </row>
    <row r="1209" spans="1:11" x14ac:dyDescent="0.2">
      <c r="A1209" s="62"/>
      <c r="B1209" s="62"/>
      <c r="C1209" s="62"/>
      <c r="D1209" s="62"/>
      <c r="E1209" s="62"/>
      <c r="F1209" s="62"/>
      <c r="G1209" s="62"/>
      <c r="H1209" s="62"/>
      <c r="I1209" s="62"/>
      <c r="J1209" s="62"/>
      <c r="K1209" s="200">
        <f t="shared" si="30"/>
        <v>0</v>
      </c>
    </row>
    <row r="1210" spans="1:11" x14ac:dyDescent="0.2">
      <c r="A1210" s="62"/>
      <c r="B1210" s="62"/>
      <c r="C1210" s="62"/>
      <c r="D1210" s="62"/>
      <c r="E1210" s="62"/>
      <c r="F1210" s="62"/>
      <c r="G1210" s="62"/>
      <c r="H1210" s="62"/>
      <c r="I1210" s="62"/>
      <c r="J1210" s="62"/>
      <c r="K1210" s="200">
        <f t="shared" si="30"/>
        <v>0</v>
      </c>
    </row>
    <row r="1211" spans="1:11" x14ac:dyDescent="0.2">
      <c r="A1211" s="62"/>
      <c r="B1211" s="62"/>
      <c r="C1211" s="62"/>
      <c r="D1211" s="62"/>
      <c r="E1211" s="62"/>
      <c r="F1211" s="62"/>
      <c r="G1211" s="62"/>
      <c r="H1211" s="62"/>
      <c r="I1211" s="62"/>
      <c r="J1211" s="62"/>
      <c r="K1211" s="200">
        <f t="shared" si="30"/>
        <v>0</v>
      </c>
    </row>
    <row r="1212" spans="1:11" x14ac:dyDescent="0.2">
      <c r="A1212" s="62"/>
      <c r="B1212" s="62"/>
      <c r="C1212" s="62"/>
      <c r="D1212" s="62"/>
      <c r="E1212" s="62"/>
      <c r="F1212" s="62"/>
      <c r="G1212" s="62"/>
      <c r="H1212" s="62"/>
      <c r="I1212" s="62"/>
      <c r="J1212" s="62"/>
      <c r="K1212" s="200">
        <f t="shared" si="30"/>
        <v>0</v>
      </c>
    </row>
    <row r="1213" spans="1:11" x14ac:dyDescent="0.2">
      <c r="A1213" s="62"/>
      <c r="B1213" s="62"/>
      <c r="C1213" s="62"/>
      <c r="D1213" s="62"/>
      <c r="E1213" s="62"/>
      <c r="F1213" s="62"/>
      <c r="G1213" s="62"/>
      <c r="H1213" s="62"/>
      <c r="I1213" s="62"/>
      <c r="J1213" s="62"/>
      <c r="K1213" s="200">
        <f t="shared" si="30"/>
        <v>0</v>
      </c>
    </row>
    <row r="1214" spans="1:11" x14ac:dyDescent="0.2">
      <c r="A1214" s="62"/>
      <c r="B1214" s="62"/>
      <c r="C1214" s="62"/>
      <c r="D1214" s="62"/>
      <c r="E1214" s="62"/>
      <c r="F1214" s="62"/>
      <c r="G1214" s="62"/>
      <c r="H1214" s="62"/>
      <c r="I1214" s="62"/>
      <c r="J1214" s="62"/>
      <c r="K1214" s="200">
        <f t="shared" si="30"/>
        <v>0</v>
      </c>
    </row>
    <row r="1215" spans="1:11" x14ac:dyDescent="0.2">
      <c r="A1215" s="62"/>
      <c r="B1215" s="62"/>
      <c r="C1215" s="62"/>
      <c r="D1215" s="62"/>
      <c r="E1215" s="62"/>
      <c r="F1215" s="62"/>
      <c r="G1215" s="62"/>
      <c r="H1215" s="62"/>
      <c r="I1215" s="62"/>
      <c r="J1215" s="62"/>
      <c r="K1215" s="200">
        <f t="shared" si="30"/>
        <v>0</v>
      </c>
    </row>
    <row r="1216" spans="1:11" x14ac:dyDescent="0.2">
      <c r="A1216" s="62"/>
      <c r="B1216" s="62"/>
      <c r="C1216" s="62"/>
      <c r="D1216" s="62"/>
      <c r="E1216" s="62"/>
      <c r="F1216" s="62"/>
      <c r="G1216" s="62"/>
      <c r="H1216" s="62"/>
      <c r="I1216" s="62"/>
      <c r="J1216" s="62"/>
      <c r="K1216" s="200">
        <f t="shared" si="30"/>
        <v>0</v>
      </c>
    </row>
    <row r="1217" spans="1:11" x14ac:dyDescent="0.2">
      <c r="A1217" s="62"/>
      <c r="B1217" s="62"/>
      <c r="C1217" s="62"/>
      <c r="D1217" s="62"/>
      <c r="E1217" s="62"/>
      <c r="F1217" s="62"/>
      <c r="G1217" s="62"/>
      <c r="H1217" s="62"/>
      <c r="I1217" s="62"/>
      <c r="J1217" s="62"/>
      <c r="K1217" s="200">
        <f t="shared" si="30"/>
        <v>0</v>
      </c>
    </row>
    <row r="1218" spans="1:11" x14ac:dyDescent="0.2">
      <c r="A1218" s="62"/>
      <c r="B1218" s="62"/>
      <c r="C1218" s="62"/>
      <c r="D1218" s="62"/>
      <c r="E1218" s="62"/>
      <c r="F1218" s="62"/>
      <c r="G1218" s="62"/>
      <c r="H1218" s="62"/>
      <c r="I1218" s="62"/>
      <c r="J1218" s="62"/>
      <c r="K1218" s="200">
        <f t="shared" si="30"/>
        <v>0</v>
      </c>
    </row>
    <row r="1219" spans="1:11" x14ac:dyDescent="0.2">
      <c r="A1219" s="62"/>
      <c r="B1219" s="62"/>
      <c r="C1219" s="62"/>
      <c r="D1219" s="62"/>
      <c r="E1219" s="62"/>
      <c r="F1219" s="62"/>
      <c r="G1219" s="62"/>
      <c r="H1219" s="62"/>
      <c r="I1219" s="62"/>
      <c r="J1219" s="62"/>
      <c r="K1219" s="200">
        <f t="shared" si="30"/>
        <v>0</v>
      </c>
    </row>
    <row r="1220" spans="1:11" x14ac:dyDescent="0.2">
      <c r="A1220" s="62"/>
      <c r="B1220" s="62"/>
      <c r="C1220" s="62"/>
      <c r="D1220" s="62"/>
      <c r="E1220" s="62"/>
      <c r="F1220" s="62"/>
      <c r="G1220" s="62"/>
      <c r="H1220" s="62"/>
      <c r="I1220" s="62"/>
      <c r="J1220" s="62"/>
      <c r="K1220" s="200">
        <f t="shared" si="30"/>
        <v>0</v>
      </c>
    </row>
    <row r="1221" spans="1:11" x14ac:dyDescent="0.2">
      <c r="A1221" s="62"/>
      <c r="B1221" s="62"/>
      <c r="C1221" s="62"/>
      <c r="D1221" s="62"/>
      <c r="E1221" s="62"/>
      <c r="F1221" s="62"/>
      <c r="G1221" s="62"/>
      <c r="H1221" s="62"/>
      <c r="I1221" s="62"/>
      <c r="J1221" s="62"/>
      <c r="K1221" s="200">
        <f t="shared" si="30"/>
        <v>0</v>
      </c>
    </row>
    <row r="1222" spans="1:11" x14ac:dyDescent="0.2">
      <c r="A1222" s="62"/>
      <c r="B1222" s="62"/>
      <c r="C1222" s="62"/>
      <c r="D1222" s="62"/>
      <c r="E1222" s="62"/>
      <c r="F1222" s="62"/>
      <c r="G1222" s="62"/>
      <c r="H1222" s="62"/>
      <c r="I1222" s="62"/>
      <c r="J1222" s="62"/>
      <c r="K1222" s="200">
        <f t="shared" si="30"/>
        <v>0</v>
      </c>
    </row>
    <row r="1223" spans="1:11" x14ac:dyDescent="0.2">
      <c r="A1223" s="62"/>
      <c r="B1223" s="62"/>
      <c r="C1223" s="62"/>
      <c r="D1223" s="62"/>
      <c r="E1223" s="62"/>
      <c r="F1223" s="62"/>
      <c r="G1223" s="62"/>
      <c r="H1223" s="62"/>
      <c r="I1223" s="62"/>
      <c r="J1223" s="62"/>
      <c r="K1223" s="200">
        <f t="shared" ref="K1223:K1235" si="31">H1223</f>
        <v>0</v>
      </c>
    </row>
    <row r="1224" spans="1:11" x14ac:dyDescent="0.2">
      <c r="A1224" s="62"/>
      <c r="B1224" s="62"/>
      <c r="C1224" s="62"/>
      <c r="D1224" s="62"/>
      <c r="E1224" s="62"/>
      <c r="F1224" s="62"/>
      <c r="G1224" s="62"/>
      <c r="H1224" s="62"/>
      <c r="I1224" s="62"/>
      <c r="J1224" s="62"/>
      <c r="K1224" s="200">
        <f t="shared" si="31"/>
        <v>0</v>
      </c>
    </row>
    <row r="1225" spans="1:11" x14ac:dyDescent="0.2">
      <c r="A1225" s="62"/>
      <c r="B1225" s="62"/>
      <c r="C1225" s="62"/>
      <c r="D1225" s="62"/>
      <c r="E1225" s="62"/>
      <c r="F1225" s="62"/>
      <c r="G1225" s="62"/>
      <c r="H1225" s="62"/>
      <c r="I1225" s="62"/>
      <c r="J1225" s="62"/>
      <c r="K1225" s="200">
        <f t="shared" si="31"/>
        <v>0</v>
      </c>
    </row>
    <row r="1226" spans="1:11" x14ac:dyDescent="0.2">
      <c r="A1226" s="62"/>
      <c r="B1226" s="62"/>
      <c r="C1226" s="62"/>
      <c r="D1226" s="62"/>
      <c r="E1226" s="62"/>
      <c r="F1226" s="62"/>
      <c r="G1226" s="62"/>
      <c r="H1226" s="62"/>
      <c r="I1226" s="62"/>
      <c r="J1226" s="62"/>
      <c r="K1226" s="200">
        <f t="shared" si="31"/>
        <v>0</v>
      </c>
    </row>
    <row r="1227" spans="1:11" x14ac:dyDescent="0.2">
      <c r="A1227" s="62"/>
      <c r="B1227" s="62"/>
      <c r="C1227" s="62"/>
      <c r="D1227" s="62"/>
      <c r="E1227" s="62"/>
      <c r="F1227" s="62"/>
      <c r="G1227" s="62"/>
      <c r="H1227" s="62"/>
      <c r="I1227" s="62"/>
      <c r="J1227" s="62"/>
      <c r="K1227" s="200">
        <f t="shared" si="31"/>
        <v>0</v>
      </c>
    </row>
    <row r="1228" spans="1:11" x14ac:dyDescent="0.2">
      <c r="A1228" s="62"/>
      <c r="B1228" s="62"/>
      <c r="C1228" s="62"/>
      <c r="D1228" s="62"/>
      <c r="E1228" s="62"/>
      <c r="F1228" s="62"/>
      <c r="G1228" s="62"/>
      <c r="H1228" s="62"/>
      <c r="I1228" s="62"/>
      <c r="J1228" s="62"/>
      <c r="K1228" s="200">
        <f t="shared" si="31"/>
        <v>0</v>
      </c>
    </row>
    <row r="1229" spans="1:11" x14ac:dyDescent="0.2">
      <c r="A1229" s="62"/>
      <c r="B1229" s="62"/>
      <c r="C1229" s="62"/>
      <c r="D1229" s="62"/>
      <c r="E1229" s="62"/>
      <c r="F1229" s="62"/>
      <c r="G1229" s="62"/>
      <c r="H1229" s="62"/>
      <c r="I1229" s="62"/>
      <c r="J1229" s="62"/>
      <c r="K1229" s="200">
        <f t="shared" si="31"/>
        <v>0</v>
      </c>
    </row>
    <row r="1230" spans="1:11" x14ac:dyDescent="0.2">
      <c r="A1230" s="62"/>
      <c r="B1230" s="62"/>
      <c r="C1230" s="62"/>
      <c r="D1230" s="62"/>
      <c r="E1230" s="62"/>
      <c r="F1230" s="62"/>
      <c r="G1230" s="62"/>
      <c r="H1230" s="62"/>
      <c r="I1230" s="62"/>
      <c r="J1230" s="62"/>
      <c r="K1230" s="200">
        <f t="shared" si="31"/>
        <v>0</v>
      </c>
    </row>
    <row r="1231" spans="1:11" x14ac:dyDescent="0.2">
      <c r="A1231" s="62"/>
      <c r="B1231" s="62"/>
      <c r="C1231" s="62"/>
      <c r="D1231" s="62"/>
      <c r="E1231" s="62"/>
      <c r="F1231" s="62"/>
      <c r="G1231" s="62"/>
      <c r="H1231" s="62"/>
      <c r="I1231" s="62"/>
      <c r="J1231" s="62"/>
      <c r="K1231" s="200">
        <f t="shared" si="31"/>
        <v>0</v>
      </c>
    </row>
    <row r="1232" spans="1:11" x14ac:dyDescent="0.2">
      <c r="A1232" s="62"/>
      <c r="B1232" s="62"/>
      <c r="C1232" s="62"/>
      <c r="D1232" s="62"/>
      <c r="E1232" s="62"/>
      <c r="F1232" s="62"/>
      <c r="G1232" s="62"/>
      <c r="H1232" s="62"/>
      <c r="I1232" s="62"/>
      <c r="J1232" s="62"/>
      <c r="K1232" s="200">
        <f t="shared" si="31"/>
        <v>0</v>
      </c>
    </row>
    <row r="1233" spans="1:11" x14ac:dyDescent="0.2">
      <c r="A1233" s="62"/>
      <c r="B1233" s="62"/>
      <c r="C1233" s="62"/>
      <c r="D1233" s="62"/>
      <c r="E1233" s="62"/>
      <c r="F1233" s="62"/>
      <c r="G1233" s="62"/>
      <c r="H1233" s="62"/>
      <c r="I1233" s="62"/>
      <c r="J1233" s="62"/>
      <c r="K1233" s="200">
        <f t="shared" si="31"/>
        <v>0</v>
      </c>
    </row>
    <row r="1234" spans="1:11" x14ac:dyDescent="0.2">
      <c r="A1234" s="62"/>
      <c r="B1234" s="62"/>
      <c r="C1234" s="62"/>
      <c r="D1234" s="62"/>
      <c r="E1234" s="62"/>
      <c r="F1234" s="62"/>
      <c r="G1234" s="62"/>
      <c r="H1234" s="62"/>
      <c r="I1234" s="62"/>
      <c r="J1234" s="62"/>
      <c r="K1234" s="200">
        <f t="shared" si="31"/>
        <v>0</v>
      </c>
    </row>
    <row r="1235" spans="1:11" x14ac:dyDescent="0.2">
      <c r="A1235" s="62"/>
      <c r="B1235" s="62"/>
      <c r="C1235" s="62"/>
      <c r="D1235" s="62"/>
      <c r="E1235" s="62"/>
      <c r="F1235" s="62"/>
      <c r="G1235" s="62"/>
      <c r="H1235" s="62"/>
      <c r="I1235" s="62"/>
      <c r="J1235" s="62"/>
      <c r="K1235" s="200">
        <f t="shared" si="31"/>
        <v>0</v>
      </c>
    </row>
    <row r="1236" spans="1:11" ht="12" x14ac:dyDescent="0.2">
      <c r="A1236" s="300" t="s">
        <v>3454</v>
      </c>
      <c r="B1236" s="301"/>
      <c r="C1236" s="301"/>
      <c r="D1236" s="301"/>
      <c r="E1236" s="301"/>
      <c r="F1236" s="301"/>
      <c r="G1236" s="302"/>
      <c r="H1236" s="205">
        <f>SUM(H1159:H1235)</f>
        <v>0</v>
      </c>
      <c r="I1236" s="303" t="s">
        <v>3454</v>
      </c>
      <c r="J1236" s="303"/>
      <c r="K1236" s="205">
        <f>SUM(K1159:K1235)</f>
        <v>0</v>
      </c>
    </row>
    <row r="1237" spans="1:11" ht="12" x14ac:dyDescent="0.2">
      <c r="A1237" s="300" t="s">
        <v>3455</v>
      </c>
      <c r="B1237" s="301"/>
      <c r="C1237" s="301"/>
      <c r="D1237" s="301"/>
      <c r="E1237" s="301"/>
      <c r="F1237" s="301"/>
      <c r="G1237" s="302"/>
      <c r="H1237" s="205">
        <f>H1111</f>
        <v>325000</v>
      </c>
      <c r="I1237" s="303" t="s">
        <v>3455</v>
      </c>
      <c r="J1237" s="303"/>
      <c r="K1237" s="205">
        <f>K1111</f>
        <v>325000</v>
      </c>
    </row>
    <row r="1238" spans="1:11" ht="12.75" thickBot="1" x14ac:dyDescent="0.25">
      <c r="A1238" s="304" t="s">
        <v>3456</v>
      </c>
      <c r="B1238" s="305"/>
      <c r="C1238" s="305"/>
      <c r="D1238" s="305"/>
      <c r="E1238" s="305"/>
      <c r="F1238" s="305"/>
      <c r="G1238" s="306"/>
      <c r="H1238" s="206">
        <f>SUM(H1236:H1237)</f>
        <v>325000</v>
      </c>
      <c r="I1238" s="307" t="s">
        <v>3456</v>
      </c>
      <c r="J1238" s="307"/>
      <c r="K1238" s="206">
        <f>SUM(K1236:K1237)</f>
        <v>325000</v>
      </c>
    </row>
    <row r="1239" spans="1:11" x14ac:dyDescent="0.2">
      <c r="A1239" s="181"/>
      <c r="B1239" s="181"/>
      <c r="C1239" s="181"/>
      <c r="D1239" s="181"/>
      <c r="E1239" s="181"/>
      <c r="F1239" s="181"/>
      <c r="I1239" s="203"/>
      <c r="J1239" s="203"/>
      <c r="K1239" s="203"/>
    </row>
    <row r="1241" spans="1:11" ht="12" x14ac:dyDescent="0.2">
      <c r="A1241" s="299"/>
      <c r="B1241" s="299"/>
      <c r="C1241" s="299"/>
      <c r="D1241" s="299"/>
      <c r="E1241" s="191"/>
      <c r="F1241" s="191"/>
      <c r="G1241" s="183" t="s">
        <v>3459</v>
      </c>
      <c r="H1241" s="187"/>
      <c r="I1241" s="299" t="s">
        <v>3450</v>
      </c>
      <c r="J1241" s="299"/>
      <c r="K1241" s="299"/>
    </row>
    <row r="1242" spans="1:11" ht="12" x14ac:dyDescent="0.2">
      <c r="A1242" s="299"/>
      <c r="B1242" s="299"/>
      <c r="C1242" s="299"/>
      <c r="D1242" s="299"/>
      <c r="E1242" s="191"/>
      <c r="F1242" s="191"/>
      <c r="G1242" s="207"/>
      <c r="H1242" s="182">
        <f>H1236-H1241</f>
        <v>0</v>
      </c>
      <c r="I1242" s="299" t="s">
        <v>3564</v>
      </c>
      <c r="J1242" s="299"/>
      <c r="K1242" s="299"/>
    </row>
    <row r="1243" spans="1:11" ht="12" x14ac:dyDescent="0.2">
      <c r="A1243" s="191"/>
      <c r="B1243" s="191"/>
      <c r="C1243" s="191"/>
      <c r="D1243" s="191"/>
      <c r="E1243" s="191"/>
      <c r="F1243" s="191"/>
      <c r="H1243" s="182"/>
      <c r="I1243" s="299"/>
      <c r="J1243" s="299"/>
      <c r="K1243" s="299"/>
    </row>
    <row r="1244" spans="1:11" ht="12" x14ac:dyDescent="0.2">
      <c r="A1244" s="191"/>
      <c r="B1244" s="191"/>
      <c r="C1244" s="191"/>
      <c r="D1244" s="191"/>
      <c r="E1244" s="191"/>
      <c r="F1244" s="191"/>
      <c r="H1244" s="182"/>
      <c r="I1244" s="299"/>
      <c r="J1244" s="299"/>
      <c r="K1244" s="299"/>
    </row>
    <row r="1245" spans="1:11" ht="12" x14ac:dyDescent="0.2">
      <c r="A1245" s="191"/>
      <c r="B1245" s="191"/>
      <c r="C1245" s="191"/>
      <c r="D1245" s="191"/>
      <c r="E1245" s="191"/>
      <c r="F1245" s="191"/>
      <c r="H1245" s="182"/>
      <c r="I1245" s="299" t="s">
        <v>3451</v>
      </c>
      <c r="J1245" s="299"/>
      <c r="K1245" s="299"/>
    </row>
    <row r="1246" spans="1:11" ht="12" x14ac:dyDescent="0.2">
      <c r="A1246" s="191"/>
      <c r="B1246" s="191"/>
      <c r="C1246" s="191"/>
      <c r="D1246" s="191"/>
      <c r="E1246" s="191"/>
      <c r="F1246" s="191"/>
      <c r="H1246" s="182"/>
      <c r="I1246" s="191"/>
      <c r="J1246" s="191"/>
      <c r="K1246" s="191"/>
    </row>
    <row r="1247" spans="1:11" ht="12" x14ac:dyDescent="0.2">
      <c r="A1247" s="191"/>
      <c r="B1247" s="191"/>
      <c r="C1247" s="191"/>
      <c r="D1247" s="191"/>
      <c r="E1247" s="191"/>
      <c r="F1247" s="191"/>
      <c r="H1247" s="182"/>
      <c r="I1247" s="191"/>
      <c r="J1247" s="191"/>
      <c r="K1247" s="191"/>
    </row>
    <row r="1248" spans="1:11" ht="12" x14ac:dyDescent="0.2">
      <c r="A1248" s="191"/>
      <c r="B1248" s="191"/>
      <c r="C1248" s="191"/>
      <c r="D1248" s="191"/>
      <c r="E1248" s="191"/>
      <c r="F1248" s="191"/>
      <c r="H1248" s="182"/>
      <c r="I1248" s="191"/>
      <c r="J1248" s="191"/>
      <c r="K1248" s="191"/>
    </row>
    <row r="1249" spans="1:11" ht="12" x14ac:dyDescent="0.2">
      <c r="A1249" s="191"/>
      <c r="B1249" s="191"/>
      <c r="C1249" s="191"/>
      <c r="D1249" s="191"/>
      <c r="E1249" s="191"/>
      <c r="F1249" s="191"/>
      <c r="H1249" s="182"/>
      <c r="I1249" s="191"/>
      <c r="J1249" s="191"/>
      <c r="K1249" s="191"/>
    </row>
    <row r="1250" spans="1:11" ht="12" x14ac:dyDescent="0.2">
      <c r="A1250" s="191"/>
      <c r="B1250" s="191"/>
      <c r="C1250" s="191"/>
      <c r="D1250" s="191"/>
      <c r="E1250" s="191"/>
      <c r="F1250" s="191"/>
      <c r="H1250" s="182"/>
      <c r="I1250" s="191"/>
      <c r="J1250" s="191"/>
      <c r="K1250" s="191"/>
    </row>
    <row r="1251" spans="1:11" ht="12.75" x14ac:dyDescent="0.2">
      <c r="A1251" s="199" t="s">
        <v>3550</v>
      </c>
      <c r="B1251" s="192"/>
      <c r="C1251" s="128"/>
      <c r="D1251" s="192"/>
      <c r="E1251" s="192"/>
      <c r="F1251" s="192"/>
      <c r="G1251" s="128"/>
      <c r="H1251" s="128"/>
      <c r="I1251" s="192"/>
      <c r="J1251" s="128"/>
      <c r="K1251" s="128"/>
    </row>
    <row r="1252" spans="1:11" ht="12.75" x14ac:dyDescent="0.2">
      <c r="A1252" s="199" t="s">
        <v>3551</v>
      </c>
      <c r="B1252" s="192"/>
      <c r="C1252" s="128"/>
      <c r="D1252" s="192"/>
      <c r="E1252" s="192"/>
      <c r="F1252" s="192"/>
      <c r="G1252" s="128"/>
      <c r="H1252" s="128"/>
      <c r="I1252" s="192"/>
      <c r="J1252" s="128"/>
      <c r="K1252" s="128"/>
    </row>
    <row r="1253" spans="1:11" ht="12.75" x14ac:dyDescent="0.2">
      <c r="A1253" s="313" t="s">
        <v>3259</v>
      </c>
      <c r="B1253" s="313"/>
      <c r="C1253" s="313"/>
      <c r="D1253" s="313"/>
      <c r="E1253" s="313"/>
      <c r="F1253" s="313"/>
      <c r="G1253" s="313"/>
      <c r="H1253" s="313"/>
      <c r="I1253" s="313"/>
      <c r="J1253" s="313"/>
      <c r="K1253" s="313"/>
    </row>
    <row r="1254" spans="1:11" ht="12.75" x14ac:dyDescent="0.2">
      <c r="A1254" s="313" t="s">
        <v>3552</v>
      </c>
      <c r="B1254" s="313"/>
      <c r="C1254" s="313"/>
      <c r="D1254" s="313"/>
      <c r="E1254" s="313"/>
      <c r="F1254" s="313"/>
      <c r="G1254" s="313"/>
      <c r="H1254" s="313"/>
      <c r="I1254" s="313"/>
      <c r="J1254" s="313"/>
      <c r="K1254" s="313"/>
    </row>
    <row r="1255" spans="1:11" x14ac:dyDescent="0.2">
      <c r="A1255" s="18"/>
      <c r="B1255" s="18"/>
      <c r="C1255" s="18"/>
      <c r="D1255" s="18"/>
      <c r="E1255" s="18"/>
      <c r="F1255" s="18"/>
      <c r="G1255" s="18"/>
      <c r="H1255" s="18"/>
      <c r="I1255" s="18"/>
      <c r="J1255" s="18"/>
      <c r="K1255" s="18"/>
    </row>
    <row r="1256" spans="1:11" x14ac:dyDescent="0.2">
      <c r="A1256" s="287" t="s">
        <v>3260</v>
      </c>
      <c r="B1256" s="288"/>
      <c r="C1256" s="289" t="s">
        <v>8</v>
      </c>
      <c r="D1256" s="287" t="s">
        <v>3261</v>
      </c>
      <c r="E1256" s="288"/>
      <c r="F1256" s="308" t="s">
        <v>76</v>
      </c>
      <c r="G1256" s="309"/>
      <c r="H1256" s="310"/>
      <c r="I1256" s="308" t="s">
        <v>5</v>
      </c>
      <c r="J1256" s="309"/>
      <c r="K1256" s="310"/>
    </row>
    <row r="1257" spans="1:11" x14ac:dyDescent="0.2">
      <c r="A1257" s="289" t="s">
        <v>7</v>
      </c>
      <c r="B1257" s="289" t="s">
        <v>16</v>
      </c>
      <c r="C1257" s="290"/>
      <c r="D1257" s="292" t="s">
        <v>7</v>
      </c>
      <c r="E1257" s="292" t="s">
        <v>3262</v>
      </c>
      <c r="F1257" s="292" t="s">
        <v>3252</v>
      </c>
      <c r="G1257" s="292" t="s">
        <v>3251</v>
      </c>
      <c r="H1257" s="292" t="s">
        <v>3452</v>
      </c>
      <c r="I1257" s="292" t="s">
        <v>3252</v>
      </c>
      <c r="J1257" s="292" t="s">
        <v>3251</v>
      </c>
      <c r="K1257" s="292" t="s">
        <v>3452</v>
      </c>
    </row>
    <row r="1258" spans="1:11" x14ac:dyDescent="0.2">
      <c r="A1258" s="291"/>
      <c r="B1258" s="291"/>
      <c r="C1258" s="291"/>
      <c r="D1258" s="294"/>
      <c r="E1258" s="294"/>
      <c r="F1258" s="294"/>
      <c r="G1258" s="294"/>
      <c r="H1258" s="294"/>
      <c r="I1258" s="294"/>
      <c r="J1258" s="294"/>
      <c r="K1258" s="294"/>
    </row>
    <row r="1259" spans="1:11" x14ac:dyDescent="0.2">
      <c r="A1259" s="198"/>
      <c r="B1259" s="198"/>
      <c r="C1259" s="198"/>
      <c r="D1259" s="198"/>
      <c r="E1259" s="198"/>
      <c r="F1259" s="198"/>
      <c r="G1259" s="198"/>
      <c r="H1259" s="198"/>
      <c r="I1259" s="198"/>
      <c r="J1259" s="198"/>
      <c r="K1259" s="200">
        <f>H1259</f>
        <v>0</v>
      </c>
    </row>
    <row r="1260" spans="1:11" x14ac:dyDescent="0.2">
      <c r="A1260" s="62"/>
      <c r="B1260" s="62"/>
      <c r="C1260" s="62"/>
      <c r="D1260" s="62"/>
      <c r="E1260" s="62"/>
      <c r="F1260" s="62"/>
      <c r="G1260" s="62"/>
      <c r="H1260" s="62"/>
      <c r="I1260" s="62"/>
      <c r="J1260" s="62"/>
      <c r="K1260" s="200">
        <f t="shared" ref="K1260:K1323" si="32">H1260</f>
        <v>0</v>
      </c>
    </row>
    <row r="1261" spans="1:11" x14ac:dyDescent="0.2">
      <c r="A1261" s="62"/>
      <c r="B1261" s="62"/>
      <c r="C1261" s="62"/>
      <c r="D1261" s="62"/>
      <c r="E1261" s="62"/>
      <c r="F1261" s="62"/>
      <c r="G1261" s="62"/>
      <c r="H1261" s="62"/>
      <c r="I1261" s="62"/>
      <c r="J1261" s="62"/>
      <c r="K1261" s="200">
        <f t="shared" si="32"/>
        <v>0</v>
      </c>
    </row>
    <row r="1262" spans="1:11" x14ac:dyDescent="0.2">
      <c r="A1262" s="62"/>
      <c r="B1262" s="62"/>
      <c r="C1262" s="62"/>
      <c r="D1262" s="62"/>
      <c r="E1262" s="62"/>
      <c r="F1262" s="62"/>
      <c r="G1262" s="62"/>
      <c r="H1262" s="62"/>
      <c r="I1262" s="62"/>
      <c r="J1262" s="62"/>
      <c r="K1262" s="200">
        <f t="shared" si="32"/>
        <v>0</v>
      </c>
    </row>
    <row r="1263" spans="1:11" x14ac:dyDescent="0.2">
      <c r="A1263" s="62"/>
      <c r="B1263" s="62"/>
      <c r="C1263" s="62"/>
      <c r="D1263" s="62"/>
      <c r="E1263" s="62"/>
      <c r="F1263" s="62"/>
      <c r="G1263" s="62"/>
      <c r="H1263" s="62"/>
      <c r="I1263" s="62"/>
      <c r="J1263" s="62"/>
      <c r="K1263" s="200">
        <f t="shared" si="32"/>
        <v>0</v>
      </c>
    </row>
    <row r="1264" spans="1:11" x14ac:dyDescent="0.2">
      <c r="A1264" s="62"/>
      <c r="B1264" s="62"/>
      <c r="C1264" s="62"/>
      <c r="D1264" s="62"/>
      <c r="E1264" s="62"/>
      <c r="F1264" s="62"/>
      <c r="G1264" s="62"/>
      <c r="H1264" s="62"/>
      <c r="I1264" s="62"/>
      <c r="J1264" s="62"/>
      <c r="K1264" s="200">
        <f t="shared" si="32"/>
        <v>0</v>
      </c>
    </row>
    <row r="1265" spans="1:11" x14ac:dyDescent="0.2">
      <c r="A1265" s="62"/>
      <c r="B1265" s="62"/>
      <c r="C1265" s="62"/>
      <c r="D1265" s="62"/>
      <c r="E1265" s="62"/>
      <c r="F1265" s="62"/>
      <c r="G1265" s="62"/>
      <c r="H1265" s="62"/>
      <c r="I1265" s="62"/>
      <c r="J1265" s="62"/>
      <c r="K1265" s="200">
        <f t="shared" si="32"/>
        <v>0</v>
      </c>
    </row>
    <row r="1266" spans="1:11" x14ac:dyDescent="0.2">
      <c r="A1266" s="62"/>
      <c r="B1266" s="62"/>
      <c r="C1266" s="62"/>
      <c r="D1266" s="62"/>
      <c r="E1266" s="62"/>
      <c r="F1266" s="62"/>
      <c r="G1266" s="62"/>
      <c r="H1266" s="62"/>
      <c r="I1266" s="62"/>
      <c r="J1266" s="62"/>
      <c r="K1266" s="200">
        <f t="shared" si="32"/>
        <v>0</v>
      </c>
    </row>
    <row r="1267" spans="1:11" x14ac:dyDescent="0.2">
      <c r="A1267" s="62"/>
      <c r="B1267" s="62"/>
      <c r="C1267" s="62"/>
      <c r="D1267" s="62"/>
      <c r="E1267" s="62"/>
      <c r="F1267" s="62"/>
      <c r="G1267" s="62"/>
      <c r="H1267" s="62"/>
      <c r="I1267" s="62"/>
      <c r="J1267" s="62"/>
      <c r="K1267" s="200">
        <f t="shared" si="32"/>
        <v>0</v>
      </c>
    </row>
    <row r="1268" spans="1:11" x14ac:dyDescent="0.2">
      <c r="A1268" s="62"/>
      <c r="B1268" s="62"/>
      <c r="C1268" s="62"/>
      <c r="D1268" s="62"/>
      <c r="E1268" s="62"/>
      <c r="F1268" s="62"/>
      <c r="G1268" s="62"/>
      <c r="H1268" s="62"/>
      <c r="I1268" s="62"/>
      <c r="J1268" s="62"/>
      <c r="K1268" s="200">
        <f t="shared" si="32"/>
        <v>0</v>
      </c>
    </row>
    <row r="1269" spans="1:11" x14ac:dyDescent="0.2">
      <c r="A1269" s="62"/>
      <c r="B1269" s="62"/>
      <c r="C1269" s="62"/>
      <c r="D1269" s="62"/>
      <c r="E1269" s="62"/>
      <c r="F1269" s="62"/>
      <c r="G1269" s="62"/>
      <c r="H1269" s="62"/>
      <c r="I1269" s="62"/>
      <c r="J1269" s="62"/>
      <c r="K1269" s="200">
        <f t="shared" si="32"/>
        <v>0</v>
      </c>
    </row>
    <row r="1270" spans="1:11" x14ac:dyDescent="0.2">
      <c r="A1270" s="62"/>
      <c r="B1270" s="62"/>
      <c r="C1270" s="62"/>
      <c r="D1270" s="62"/>
      <c r="E1270" s="62"/>
      <c r="F1270" s="62"/>
      <c r="G1270" s="62"/>
      <c r="H1270" s="62"/>
      <c r="I1270" s="62"/>
      <c r="J1270" s="62"/>
      <c r="K1270" s="200">
        <f t="shared" si="32"/>
        <v>0</v>
      </c>
    </row>
    <row r="1271" spans="1:11" x14ac:dyDescent="0.2">
      <c r="A1271" s="62"/>
      <c r="B1271" s="62"/>
      <c r="C1271" s="62"/>
      <c r="D1271" s="62"/>
      <c r="E1271" s="62"/>
      <c r="F1271" s="62"/>
      <c r="G1271" s="62"/>
      <c r="H1271" s="62"/>
      <c r="I1271" s="62"/>
      <c r="J1271" s="62"/>
      <c r="K1271" s="200">
        <f t="shared" si="32"/>
        <v>0</v>
      </c>
    </row>
    <row r="1272" spans="1:11" x14ac:dyDescent="0.2">
      <c r="A1272" s="62"/>
      <c r="B1272" s="62"/>
      <c r="C1272" s="62"/>
      <c r="D1272" s="62"/>
      <c r="E1272" s="62"/>
      <c r="F1272" s="62"/>
      <c r="G1272" s="62"/>
      <c r="H1272" s="62"/>
      <c r="I1272" s="62"/>
      <c r="J1272" s="62"/>
      <c r="K1272" s="200">
        <f t="shared" si="32"/>
        <v>0</v>
      </c>
    </row>
    <row r="1273" spans="1:11" x14ac:dyDescent="0.2">
      <c r="A1273" s="62"/>
      <c r="B1273" s="62"/>
      <c r="C1273" s="62"/>
      <c r="D1273" s="62"/>
      <c r="E1273" s="62"/>
      <c r="F1273" s="62"/>
      <c r="G1273" s="62"/>
      <c r="H1273" s="62"/>
      <c r="I1273" s="62"/>
      <c r="J1273" s="62"/>
      <c r="K1273" s="200">
        <f t="shared" si="32"/>
        <v>0</v>
      </c>
    </row>
    <row r="1274" spans="1:11" x14ac:dyDescent="0.2">
      <c r="A1274" s="62"/>
      <c r="B1274" s="62"/>
      <c r="C1274" s="62"/>
      <c r="D1274" s="62"/>
      <c r="E1274" s="62"/>
      <c r="F1274" s="62"/>
      <c r="G1274" s="62"/>
      <c r="H1274" s="62"/>
      <c r="I1274" s="62"/>
      <c r="J1274" s="62"/>
      <c r="K1274" s="200">
        <f t="shared" si="32"/>
        <v>0</v>
      </c>
    </row>
    <row r="1275" spans="1:11" x14ac:dyDescent="0.2">
      <c r="A1275" s="62"/>
      <c r="B1275" s="62"/>
      <c r="C1275" s="62"/>
      <c r="D1275" s="62"/>
      <c r="E1275" s="62"/>
      <c r="F1275" s="62"/>
      <c r="G1275" s="62"/>
      <c r="H1275" s="62"/>
      <c r="I1275" s="62"/>
      <c r="J1275" s="62"/>
      <c r="K1275" s="200">
        <f t="shared" si="32"/>
        <v>0</v>
      </c>
    </row>
    <row r="1276" spans="1:11" x14ac:dyDescent="0.2">
      <c r="A1276" s="62"/>
      <c r="B1276" s="62"/>
      <c r="C1276" s="62"/>
      <c r="D1276" s="62"/>
      <c r="E1276" s="62"/>
      <c r="F1276" s="62"/>
      <c r="G1276" s="62"/>
      <c r="H1276" s="62"/>
      <c r="I1276" s="62"/>
      <c r="J1276" s="62"/>
      <c r="K1276" s="200">
        <f t="shared" si="32"/>
        <v>0</v>
      </c>
    </row>
    <row r="1277" spans="1:11" x14ac:dyDescent="0.2">
      <c r="A1277" s="62"/>
      <c r="B1277" s="62"/>
      <c r="C1277" s="62"/>
      <c r="D1277" s="62"/>
      <c r="E1277" s="62"/>
      <c r="F1277" s="62"/>
      <c r="G1277" s="62"/>
      <c r="H1277" s="62"/>
      <c r="I1277" s="62"/>
      <c r="J1277" s="62"/>
      <c r="K1277" s="200">
        <f t="shared" si="32"/>
        <v>0</v>
      </c>
    </row>
    <row r="1278" spans="1:11" x14ac:dyDescent="0.2">
      <c r="A1278" s="62"/>
      <c r="B1278" s="62"/>
      <c r="C1278" s="62"/>
      <c r="D1278" s="62"/>
      <c r="E1278" s="62"/>
      <c r="F1278" s="62"/>
      <c r="G1278" s="62"/>
      <c r="H1278" s="62"/>
      <c r="I1278" s="62"/>
      <c r="J1278" s="62"/>
      <c r="K1278" s="200">
        <f t="shared" si="32"/>
        <v>0</v>
      </c>
    </row>
    <row r="1279" spans="1:11" x14ac:dyDescent="0.2">
      <c r="A1279" s="62"/>
      <c r="B1279" s="62"/>
      <c r="C1279" s="62"/>
      <c r="D1279" s="62"/>
      <c r="E1279" s="62"/>
      <c r="F1279" s="62"/>
      <c r="G1279" s="62"/>
      <c r="H1279" s="62"/>
      <c r="I1279" s="62"/>
      <c r="J1279" s="62"/>
      <c r="K1279" s="200">
        <f t="shared" si="32"/>
        <v>0</v>
      </c>
    </row>
    <row r="1280" spans="1:11" x14ac:dyDescent="0.2">
      <c r="A1280" s="62"/>
      <c r="B1280" s="62"/>
      <c r="C1280" s="62"/>
      <c r="D1280" s="62"/>
      <c r="E1280" s="62"/>
      <c r="F1280" s="62"/>
      <c r="G1280" s="62"/>
      <c r="H1280" s="62"/>
      <c r="I1280" s="62"/>
      <c r="J1280" s="62"/>
      <c r="K1280" s="200">
        <f t="shared" si="32"/>
        <v>0</v>
      </c>
    </row>
    <row r="1281" spans="1:11" x14ac:dyDescent="0.2">
      <c r="A1281" s="62"/>
      <c r="B1281" s="62"/>
      <c r="C1281" s="62"/>
      <c r="D1281" s="62"/>
      <c r="E1281" s="62"/>
      <c r="F1281" s="62"/>
      <c r="G1281" s="62"/>
      <c r="H1281" s="62"/>
      <c r="I1281" s="62"/>
      <c r="J1281" s="62"/>
      <c r="K1281" s="200">
        <f t="shared" si="32"/>
        <v>0</v>
      </c>
    </row>
    <row r="1282" spans="1:11" x14ac:dyDescent="0.2">
      <c r="A1282" s="62"/>
      <c r="B1282" s="62"/>
      <c r="C1282" s="62"/>
      <c r="D1282" s="62"/>
      <c r="E1282" s="62"/>
      <c r="F1282" s="62"/>
      <c r="G1282" s="62"/>
      <c r="H1282" s="62"/>
      <c r="I1282" s="62"/>
      <c r="J1282" s="62"/>
      <c r="K1282" s="200">
        <f t="shared" si="32"/>
        <v>0</v>
      </c>
    </row>
    <row r="1283" spans="1:11" x14ac:dyDescent="0.2">
      <c r="A1283" s="62"/>
      <c r="B1283" s="62"/>
      <c r="C1283" s="62"/>
      <c r="D1283" s="62"/>
      <c r="E1283" s="62"/>
      <c r="F1283" s="62"/>
      <c r="G1283" s="62"/>
      <c r="H1283" s="62"/>
      <c r="I1283" s="62"/>
      <c r="J1283" s="62"/>
      <c r="K1283" s="200">
        <f t="shared" si="32"/>
        <v>0</v>
      </c>
    </row>
    <row r="1284" spans="1:11" x14ac:dyDescent="0.2">
      <c r="A1284" s="62"/>
      <c r="B1284" s="62"/>
      <c r="C1284" s="62"/>
      <c r="D1284" s="62"/>
      <c r="E1284" s="62"/>
      <c r="F1284" s="62"/>
      <c r="G1284" s="62"/>
      <c r="H1284" s="62"/>
      <c r="I1284" s="62"/>
      <c r="J1284" s="62"/>
      <c r="K1284" s="200">
        <f>H1284</f>
        <v>0</v>
      </c>
    </row>
    <row r="1285" spans="1:11" x14ac:dyDescent="0.2">
      <c r="A1285" s="62"/>
      <c r="B1285" s="62"/>
      <c r="C1285" s="62"/>
      <c r="D1285" s="62"/>
      <c r="E1285" s="62"/>
      <c r="F1285" s="62"/>
      <c r="G1285" s="62"/>
      <c r="H1285" s="62"/>
      <c r="I1285" s="62"/>
      <c r="J1285" s="62"/>
      <c r="K1285" s="200">
        <f>H1285</f>
        <v>0</v>
      </c>
    </row>
    <row r="1286" spans="1:11" x14ac:dyDescent="0.2">
      <c r="A1286" s="62"/>
      <c r="B1286" s="62"/>
      <c r="C1286" s="62"/>
      <c r="D1286" s="62"/>
      <c r="E1286" s="62"/>
      <c r="F1286" s="62"/>
      <c r="G1286" s="62"/>
      <c r="H1286" s="62"/>
      <c r="I1286" s="62"/>
      <c r="J1286" s="62"/>
      <c r="K1286" s="200">
        <f>H1286</f>
        <v>0</v>
      </c>
    </row>
    <row r="1287" spans="1:11" x14ac:dyDescent="0.2">
      <c r="A1287" s="62"/>
      <c r="B1287" s="62"/>
      <c r="C1287" s="62"/>
      <c r="D1287" s="62"/>
      <c r="E1287" s="62"/>
      <c r="F1287" s="62"/>
      <c r="G1287" s="62"/>
      <c r="H1287" s="62"/>
      <c r="I1287" s="62"/>
      <c r="J1287" s="62"/>
      <c r="K1287" s="200">
        <f>H1287</f>
        <v>0</v>
      </c>
    </row>
    <row r="1288" spans="1:11" x14ac:dyDescent="0.2">
      <c r="A1288" s="62"/>
      <c r="B1288" s="62"/>
      <c r="C1288" s="62"/>
      <c r="D1288" s="62"/>
      <c r="E1288" s="62"/>
      <c r="F1288" s="62"/>
      <c r="G1288" s="62"/>
      <c r="H1288" s="62"/>
      <c r="I1288" s="62"/>
      <c r="J1288" s="62"/>
      <c r="K1288" s="200">
        <f>H1288</f>
        <v>0</v>
      </c>
    </row>
    <row r="1289" spans="1:11" x14ac:dyDescent="0.2">
      <c r="A1289" s="62"/>
      <c r="B1289" s="62"/>
      <c r="C1289" s="62"/>
      <c r="D1289" s="62"/>
      <c r="E1289" s="62"/>
      <c r="F1289" s="62"/>
      <c r="G1289" s="62"/>
      <c r="H1289" s="62"/>
      <c r="I1289" s="62"/>
      <c r="J1289" s="62"/>
      <c r="K1289" s="200">
        <f t="shared" si="32"/>
        <v>0</v>
      </c>
    </row>
    <row r="1290" spans="1:11" x14ac:dyDescent="0.2">
      <c r="A1290" s="62"/>
      <c r="B1290" s="62"/>
      <c r="C1290" s="62"/>
      <c r="D1290" s="62"/>
      <c r="E1290" s="62"/>
      <c r="F1290" s="62"/>
      <c r="G1290" s="62"/>
      <c r="H1290" s="62"/>
      <c r="I1290" s="62"/>
      <c r="J1290" s="62"/>
      <c r="K1290" s="200">
        <f t="shared" si="32"/>
        <v>0</v>
      </c>
    </row>
    <row r="1291" spans="1:11" x14ac:dyDescent="0.2">
      <c r="A1291" s="62"/>
      <c r="B1291" s="62"/>
      <c r="C1291" s="62"/>
      <c r="D1291" s="62"/>
      <c r="E1291" s="62"/>
      <c r="F1291" s="62"/>
      <c r="G1291" s="62"/>
      <c r="H1291" s="62"/>
      <c r="I1291" s="62"/>
      <c r="J1291" s="62"/>
      <c r="K1291" s="200">
        <f t="shared" si="32"/>
        <v>0</v>
      </c>
    </row>
    <row r="1292" spans="1:11" x14ac:dyDescent="0.2">
      <c r="A1292" s="62"/>
      <c r="B1292" s="62"/>
      <c r="C1292" s="62"/>
      <c r="D1292" s="62"/>
      <c r="E1292" s="62"/>
      <c r="F1292" s="62"/>
      <c r="G1292" s="62"/>
      <c r="H1292" s="62"/>
      <c r="I1292" s="62"/>
      <c r="J1292" s="62"/>
      <c r="K1292" s="200">
        <f t="shared" si="32"/>
        <v>0</v>
      </c>
    </row>
    <row r="1293" spans="1:11" x14ac:dyDescent="0.2">
      <c r="A1293" s="62"/>
      <c r="B1293" s="62"/>
      <c r="C1293" s="62"/>
      <c r="D1293" s="62"/>
      <c r="E1293" s="62"/>
      <c r="F1293" s="62"/>
      <c r="G1293" s="62"/>
      <c r="H1293" s="62"/>
      <c r="I1293" s="62"/>
      <c r="J1293" s="62"/>
      <c r="K1293" s="200">
        <f t="shared" si="32"/>
        <v>0</v>
      </c>
    </row>
    <row r="1294" spans="1:11" x14ac:dyDescent="0.2">
      <c r="A1294" s="62"/>
      <c r="B1294" s="62"/>
      <c r="C1294" s="62"/>
      <c r="D1294" s="62"/>
      <c r="E1294" s="62"/>
      <c r="F1294" s="62"/>
      <c r="G1294" s="62"/>
      <c r="H1294" s="62"/>
      <c r="I1294" s="62"/>
      <c r="J1294" s="62"/>
      <c r="K1294" s="200">
        <f t="shared" si="32"/>
        <v>0</v>
      </c>
    </row>
    <row r="1295" spans="1:11" x14ac:dyDescent="0.2">
      <c r="A1295" s="62"/>
      <c r="B1295" s="62"/>
      <c r="C1295" s="62"/>
      <c r="D1295" s="62"/>
      <c r="E1295" s="62"/>
      <c r="F1295" s="62"/>
      <c r="G1295" s="62"/>
      <c r="H1295" s="62"/>
      <c r="I1295" s="62"/>
      <c r="J1295" s="62"/>
      <c r="K1295" s="200">
        <f t="shared" si="32"/>
        <v>0</v>
      </c>
    </row>
    <row r="1296" spans="1:11" x14ac:dyDescent="0.2">
      <c r="A1296" s="62"/>
      <c r="B1296" s="62"/>
      <c r="C1296" s="62"/>
      <c r="D1296" s="62"/>
      <c r="E1296" s="62"/>
      <c r="F1296" s="62"/>
      <c r="G1296" s="62"/>
      <c r="H1296" s="62"/>
      <c r="I1296" s="62"/>
      <c r="J1296" s="62"/>
      <c r="K1296" s="200">
        <f t="shared" si="32"/>
        <v>0</v>
      </c>
    </row>
    <row r="1297" spans="1:11" x14ac:dyDescent="0.2">
      <c r="A1297" s="62"/>
      <c r="B1297" s="62"/>
      <c r="C1297" s="62"/>
      <c r="D1297" s="62"/>
      <c r="E1297" s="62"/>
      <c r="F1297" s="62"/>
      <c r="G1297" s="62"/>
      <c r="H1297" s="62"/>
      <c r="I1297" s="62"/>
      <c r="J1297" s="62"/>
      <c r="K1297" s="200">
        <f t="shared" si="32"/>
        <v>0</v>
      </c>
    </row>
    <row r="1298" spans="1:11" x14ac:dyDescent="0.2">
      <c r="A1298" s="62"/>
      <c r="B1298" s="62"/>
      <c r="C1298" s="62"/>
      <c r="D1298" s="62"/>
      <c r="E1298" s="62"/>
      <c r="F1298" s="62"/>
      <c r="G1298" s="62"/>
      <c r="H1298" s="62"/>
      <c r="I1298" s="62"/>
      <c r="J1298" s="62"/>
      <c r="K1298" s="200">
        <f t="shared" si="32"/>
        <v>0</v>
      </c>
    </row>
    <row r="1299" spans="1:11" x14ac:dyDescent="0.2">
      <c r="A1299" s="62"/>
      <c r="B1299" s="62"/>
      <c r="C1299" s="62"/>
      <c r="D1299" s="62"/>
      <c r="E1299" s="62"/>
      <c r="F1299" s="62"/>
      <c r="G1299" s="62"/>
      <c r="H1299" s="62"/>
      <c r="I1299" s="62"/>
      <c r="J1299" s="62"/>
      <c r="K1299" s="200">
        <f t="shared" si="32"/>
        <v>0</v>
      </c>
    </row>
    <row r="1300" spans="1:11" x14ac:dyDescent="0.2">
      <c r="A1300" s="62"/>
      <c r="B1300" s="62"/>
      <c r="C1300" s="62"/>
      <c r="D1300" s="62"/>
      <c r="E1300" s="62"/>
      <c r="F1300" s="62"/>
      <c r="G1300" s="62"/>
      <c r="H1300" s="62"/>
      <c r="I1300" s="62"/>
      <c r="J1300" s="62"/>
      <c r="K1300" s="200">
        <f t="shared" si="32"/>
        <v>0</v>
      </c>
    </row>
    <row r="1301" spans="1:11" x14ac:dyDescent="0.2">
      <c r="A1301" s="62"/>
      <c r="B1301" s="62"/>
      <c r="C1301" s="62"/>
      <c r="D1301" s="62"/>
      <c r="E1301" s="62"/>
      <c r="F1301" s="62"/>
      <c r="G1301" s="62"/>
      <c r="H1301" s="62"/>
      <c r="I1301" s="62"/>
      <c r="J1301" s="62"/>
      <c r="K1301" s="200">
        <f t="shared" si="32"/>
        <v>0</v>
      </c>
    </row>
    <row r="1302" spans="1:11" x14ac:dyDescent="0.2">
      <c r="A1302" s="62"/>
      <c r="B1302" s="62"/>
      <c r="C1302" s="62"/>
      <c r="D1302" s="62"/>
      <c r="E1302" s="62"/>
      <c r="F1302" s="62"/>
      <c r="G1302" s="62"/>
      <c r="H1302" s="62"/>
      <c r="I1302" s="62"/>
      <c r="J1302" s="62"/>
      <c r="K1302" s="200">
        <f t="shared" si="32"/>
        <v>0</v>
      </c>
    </row>
    <row r="1303" spans="1:11" x14ac:dyDescent="0.2">
      <c r="A1303" s="62"/>
      <c r="B1303" s="62"/>
      <c r="C1303" s="62"/>
      <c r="D1303" s="62"/>
      <c r="E1303" s="62"/>
      <c r="F1303" s="62"/>
      <c r="G1303" s="62"/>
      <c r="H1303" s="62"/>
      <c r="I1303" s="62"/>
      <c r="J1303" s="62"/>
      <c r="K1303" s="200">
        <f t="shared" si="32"/>
        <v>0</v>
      </c>
    </row>
    <row r="1304" spans="1:11" x14ac:dyDescent="0.2">
      <c r="A1304" s="62"/>
      <c r="B1304" s="62"/>
      <c r="C1304" s="62"/>
      <c r="D1304" s="62"/>
      <c r="E1304" s="62"/>
      <c r="F1304" s="62"/>
      <c r="G1304" s="62"/>
      <c r="H1304" s="62"/>
      <c r="I1304" s="62"/>
      <c r="J1304" s="62"/>
      <c r="K1304" s="200">
        <f t="shared" si="32"/>
        <v>0</v>
      </c>
    </row>
    <row r="1305" spans="1:11" x14ac:dyDescent="0.2">
      <c r="A1305" s="62"/>
      <c r="B1305" s="62"/>
      <c r="C1305" s="62"/>
      <c r="D1305" s="62"/>
      <c r="E1305" s="62"/>
      <c r="F1305" s="62"/>
      <c r="G1305" s="62"/>
      <c r="H1305" s="62"/>
      <c r="I1305" s="62"/>
      <c r="J1305" s="62"/>
      <c r="K1305" s="200">
        <f t="shared" si="32"/>
        <v>0</v>
      </c>
    </row>
    <row r="1306" spans="1:11" x14ac:dyDescent="0.2">
      <c r="A1306" s="62"/>
      <c r="B1306" s="62"/>
      <c r="C1306" s="62"/>
      <c r="D1306" s="62"/>
      <c r="E1306" s="62"/>
      <c r="F1306" s="62"/>
      <c r="G1306" s="62"/>
      <c r="H1306" s="62"/>
      <c r="I1306" s="62"/>
      <c r="J1306" s="62"/>
      <c r="K1306" s="200">
        <f t="shared" si="32"/>
        <v>0</v>
      </c>
    </row>
    <row r="1307" spans="1:11" x14ac:dyDescent="0.2">
      <c r="A1307" s="62"/>
      <c r="B1307" s="62"/>
      <c r="C1307" s="62"/>
      <c r="D1307" s="62"/>
      <c r="E1307" s="62"/>
      <c r="F1307" s="62"/>
      <c r="G1307" s="62"/>
      <c r="H1307" s="62"/>
      <c r="I1307" s="62"/>
      <c r="J1307" s="62"/>
      <c r="K1307" s="200">
        <f t="shared" si="32"/>
        <v>0</v>
      </c>
    </row>
    <row r="1308" spans="1:11" x14ac:dyDescent="0.2">
      <c r="A1308" s="62"/>
      <c r="B1308" s="62"/>
      <c r="C1308" s="62"/>
      <c r="D1308" s="62"/>
      <c r="E1308" s="62"/>
      <c r="F1308" s="62"/>
      <c r="G1308" s="62"/>
      <c r="H1308" s="62"/>
      <c r="I1308" s="62"/>
      <c r="J1308" s="62"/>
      <c r="K1308" s="200">
        <f t="shared" si="32"/>
        <v>0</v>
      </c>
    </row>
    <row r="1309" spans="1:11" x14ac:dyDescent="0.2">
      <c r="A1309" s="62"/>
      <c r="B1309" s="62"/>
      <c r="C1309" s="62"/>
      <c r="D1309" s="62"/>
      <c r="E1309" s="62"/>
      <c r="F1309" s="62"/>
      <c r="G1309" s="62"/>
      <c r="H1309" s="62"/>
      <c r="I1309" s="62"/>
      <c r="J1309" s="62"/>
      <c r="K1309" s="200">
        <f t="shared" si="32"/>
        <v>0</v>
      </c>
    </row>
    <row r="1310" spans="1:11" x14ac:dyDescent="0.2">
      <c r="A1310" s="62"/>
      <c r="B1310" s="62"/>
      <c r="C1310" s="62"/>
      <c r="D1310" s="62"/>
      <c r="E1310" s="62"/>
      <c r="F1310" s="62"/>
      <c r="G1310" s="62"/>
      <c r="H1310" s="62"/>
      <c r="I1310" s="62"/>
      <c r="J1310" s="62"/>
      <c r="K1310" s="200">
        <f t="shared" si="32"/>
        <v>0</v>
      </c>
    </row>
    <row r="1311" spans="1:11" x14ac:dyDescent="0.2">
      <c r="A1311" s="62"/>
      <c r="B1311" s="62"/>
      <c r="C1311" s="62"/>
      <c r="D1311" s="62"/>
      <c r="E1311" s="62"/>
      <c r="F1311" s="62"/>
      <c r="G1311" s="62"/>
      <c r="H1311" s="62"/>
      <c r="I1311" s="62"/>
      <c r="J1311" s="62"/>
      <c r="K1311" s="200">
        <f t="shared" si="32"/>
        <v>0</v>
      </c>
    </row>
    <row r="1312" spans="1:11" x14ac:dyDescent="0.2">
      <c r="A1312" s="62"/>
      <c r="B1312" s="62"/>
      <c r="C1312" s="62"/>
      <c r="D1312" s="62"/>
      <c r="E1312" s="62"/>
      <c r="F1312" s="62"/>
      <c r="G1312" s="62"/>
      <c r="H1312" s="62"/>
      <c r="I1312" s="62"/>
      <c r="J1312" s="62"/>
      <c r="K1312" s="200">
        <f t="shared" si="32"/>
        <v>0</v>
      </c>
    </row>
    <row r="1313" spans="1:11" x14ac:dyDescent="0.2">
      <c r="A1313" s="62"/>
      <c r="B1313" s="62"/>
      <c r="C1313" s="62"/>
      <c r="D1313" s="62"/>
      <c r="E1313" s="62"/>
      <c r="F1313" s="62"/>
      <c r="G1313" s="62"/>
      <c r="H1313" s="62"/>
      <c r="I1313" s="62"/>
      <c r="J1313" s="62"/>
      <c r="K1313" s="200">
        <f t="shared" si="32"/>
        <v>0</v>
      </c>
    </row>
    <row r="1314" spans="1:11" x14ac:dyDescent="0.2">
      <c r="A1314" s="62"/>
      <c r="B1314" s="62"/>
      <c r="C1314" s="62"/>
      <c r="D1314" s="62"/>
      <c r="E1314" s="62"/>
      <c r="F1314" s="62"/>
      <c r="G1314" s="62"/>
      <c r="H1314" s="62"/>
      <c r="I1314" s="62"/>
      <c r="J1314" s="62"/>
      <c r="K1314" s="200">
        <f t="shared" si="32"/>
        <v>0</v>
      </c>
    </row>
    <row r="1315" spans="1:11" x14ac:dyDescent="0.2">
      <c r="A1315" s="62"/>
      <c r="B1315" s="62"/>
      <c r="C1315" s="62"/>
      <c r="D1315" s="62"/>
      <c r="E1315" s="62"/>
      <c r="F1315" s="62"/>
      <c r="G1315" s="62"/>
      <c r="H1315" s="62"/>
      <c r="I1315" s="62"/>
      <c r="J1315" s="62"/>
      <c r="K1315" s="200">
        <f t="shared" si="32"/>
        <v>0</v>
      </c>
    </row>
    <row r="1316" spans="1:11" x14ac:dyDescent="0.2">
      <c r="A1316" s="62"/>
      <c r="B1316" s="62"/>
      <c r="C1316" s="62"/>
      <c r="D1316" s="62"/>
      <c r="E1316" s="62"/>
      <c r="F1316" s="62"/>
      <c r="G1316" s="62"/>
      <c r="H1316" s="62"/>
      <c r="I1316" s="62"/>
      <c r="J1316" s="62"/>
      <c r="K1316" s="200">
        <f t="shared" si="32"/>
        <v>0</v>
      </c>
    </row>
    <row r="1317" spans="1:11" x14ac:dyDescent="0.2">
      <c r="A1317" s="62"/>
      <c r="B1317" s="62"/>
      <c r="C1317" s="62"/>
      <c r="D1317" s="62"/>
      <c r="E1317" s="62"/>
      <c r="F1317" s="62"/>
      <c r="G1317" s="62"/>
      <c r="H1317" s="62"/>
      <c r="I1317" s="62"/>
      <c r="J1317" s="62"/>
      <c r="K1317" s="200">
        <f t="shared" si="32"/>
        <v>0</v>
      </c>
    </row>
    <row r="1318" spans="1:11" x14ac:dyDescent="0.2">
      <c r="A1318" s="62"/>
      <c r="B1318" s="62"/>
      <c r="C1318" s="62"/>
      <c r="D1318" s="62"/>
      <c r="E1318" s="62"/>
      <c r="F1318" s="62"/>
      <c r="G1318" s="62"/>
      <c r="H1318" s="62"/>
      <c r="I1318" s="62"/>
      <c r="J1318" s="62"/>
      <c r="K1318" s="200">
        <f t="shared" si="32"/>
        <v>0</v>
      </c>
    </row>
    <row r="1319" spans="1:11" x14ac:dyDescent="0.2">
      <c r="A1319" s="62"/>
      <c r="B1319" s="62"/>
      <c r="C1319" s="62"/>
      <c r="D1319" s="62"/>
      <c r="E1319" s="62"/>
      <c r="F1319" s="62"/>
      <c r="G1319" s="62"/>
      <c r="H1319" s="62"/>
      <c r="I1319" s="62"/>
      <c r="J1319" s="62"/>
      <c r="K1319" s="200">
        <f t="shared" si="32"/>
        <v>0</v>
      </c>
    </row>
    <row r="1320" spans="1:11" x14ac:dyDescent="0.2">
      <c r="A1320" s="62"/>
      <c r="B1320" s="62"/>
      <c r="C1320" s="62"/>
      <c r="D1320" s="62"/>
      <c r="E1320" s="62"/>
      <c r="F1320" s="62"/>
      <c r="G1320" s="62"/>
      <c r="H1320" s="62"/>
      <c r="I1320" s="62"/>
      <c r="J1320" s="62"/>
      <c r="K1320" s="200">
        <f>H1320</f>
        <v>0</v>
      </c>
    </row>
    <row r="1321" spans="1:11" x14ac:dyDescent="0.2">
      <c r="A1321" s="62"/>
      <c r="B1321" s="62"/>
      <c r="C1321" s="62"/>
      <c r="D1321" s="62"/>
      <c r="E1321" s="62"/>
      <c r="F1321" s="62"/>
      <c r="G1321" s="62"/>
      <c r="H1321" s="62"/>
      <c r="I1321" s="62"/>
      <c r="J1321" s="62"/>
      <c r="K1321" s="200">
        <f t="shared" si="32"/>
        <v>0</v>
      </c>
    </row>
    <row r="1322" spans="1:11" x14ac:dyDescent="0.2">
      <c r="A1322" s="62"/>
      <c r="B1322" s="62"/>
      <c r="C1322" s="62"/>
      <c r="D1322" s="62"/>
      <c r="E1322" s="62"/>
      <c r="F1322" s="62"/>
      <c r="G1322" s="62"/>
      <c r="H1322" s="62"/>
      <c r="I1322" s="62"/>
      <c r="J1322" s="62"/>
      <c r="K1322" s="200">
        <f t="shared" si="32"/>
        <v>0</v>
      </c>
    </row>
    <row r="1323" spans="1:11" x14ac:dyDescent="0.2">
      <c r="A1323" s="62"/>
      <c r="B1323" s="62"/>
      <c r="C1323" s="62"/>
      <c r="D1323" s="62"/>
      <c r="E1323" s="62"/>
      <c r="F1323" s="62"/>
      <c r="G1323" s="62"/>
      <c r="H1323" s="62"/>
      <c r="I1323" s="62"/>
      <c r="J1323" s="62"/>
      <c r="K1323" s="200">
        <f t="shared" si="32"/>
        <v>0</v>
      </c>
    </row>
    <row r="1324" spans="1:11" x14ac:dyDescent="0.2">
      <c r="A1324" s="62"/>
      <c r="B1324" s="62"/>
      <c r="C1324" s="62"/>
      <c r="D1324" s="62"/>
      <c r="E1324" s="62"/>
      <c r="F1324" s="62"/>
      <c r="G1324" s="62"/>
      <c r="H1324" s="62"/>
      <c r="I1324" s="62"/>
      <c r="J1324" s="62"/>
      <c r="K1324" s="200">
        <f t="shared" ref="K1324:K1343" si="33">H1324</f>
        <v>0</v>
      </c>
    </row>
    <row r="1325" spans="1:11" x14ac:dyDescent="0.2">
      <c r="A1325" s="62"/>
      <c r="B1325" s="62"/>
      <c r="C1325" s="62"/>
      <c r="D1325" s="62"/>
      <c r="E1325" s="62"/>
      <c r="F1325" s="62"/>
      <c r="G1325" s="62"/>
      <c r="H1325" s="62"/>
      <c r="I1325" s="62"/>
      <c r="J1325" s="62"/>
      <c r="K1325" s="200">
        <f t="shared" si="33"/>
        <v>0</v>
      </c>
    </row>
    <row r="1326" spans="1:11" x14ac:dyDescent="0.2">
      <c r="A1326" s="62"/>
      <c r="B1326" s="62"/>
      <c r="C1326" s="62"/>
      <c r="D1326" s="62"/>
      <c r="E1326" s="62"/>
      <c r="F1326" s="62"/>
      <c r="G1326" s="62"/>
      <c r="H1326" s="62"/>
      <c r="I1326" s="62"/>
      <c r="J1326" s="62"/>
      <c r="K1326" s="200">
        <f t="shared" si="33"/>
        <v>0</v>
      </c>
    </row>
    <row r="1327" spans="1:11" x14ac:dyDescent="0.2">
      <c r="A1327" s="62"/>
      <c r="B1327" s="62"/>
      <c r="C1327" s="62"/>
      <c r="D1327" s="62"/>
      <c r="E1327" s="62"/>
      <c r="F1327" s="62"/>
      <c r="G1327" s="62"/>
      <c r="H1327" s="62"/>
      <c r="I1327" s="62"/>
      <c r="J1327" s="62"/>
      <c r="K1327" s="200">
        <f t="shared" si="33"/>
        <v>0</v>
      </c>
    </row>
    <row r="1328" spans="1:11" x14ac:dyDescent="0.2">
      <c r="A1328" s="62"/>
      <c r="B1328" s="62"/>
      <c r="C1328" s="62"/>
      <c r="D1328" s="62"/>
      <c r="E1328" s="62"/>
      <c r="F1328" s="62"/>
      <c r="G1328" s="62"/>
      <c r="H1328" s="62"/>
      <c r="I1328" s="62"/>
      <c r="J1328" s="62"/>
      <c r="K1328" s="200">
        <f t="shared" si="33"/>
        <v>0</v>
      </c>
    </row>
    <row r="1329" spans="1:11" x14ac:dyDescent="0.2">
      <c r="A1329" s="62"/>
      <c r="B1329" s="62"/>
      <c r="C1329" s="62"/>
      <c r="D1329" s="62"/>
      <c r="E1329" s="62"/>
      <c r="F1329" s="62"/>
      <c r="G1329" s="62"/>
      <c r="H1329" s="62"/>
      <c r="I1329" s="62"/>
      <c r="J1329" s="62"/>
      <c r="K1329" s="200">
        <f t="shared" si="33"/>
        <v>0</v>
      </c>
    </row>
    <row r="1330" spans="1:11" x14ac:dyDescent="0.2">
      <c r="A1330" s="62"/>
      <c r="B1330" s="62"/>
      <c r="C1330" s="62"/>
      <c r="D1330" s="62"/>
      <c r="E1330" s="62"/>
      <c r="F1330" s="62"/>
      <c r="G1330" s="62"/>
      <c r="H1330" s="62"/>
      <c r="I1330" s="62"/>
      <c r="J1330" s="62"/>
      <c r="K1330" s="200">
        <f t="shared" si="33"/>
        <v>0</v>
      </c>
    </row>
    <row r="1331" spans="1:11" x14ac:dyDescent="0.2">
      <c r="A1331" s="62"/>
      <c r="B1331" s="62"/>
      <c r="C1331" s="62"/>
      <c r="D1331" s="62"/>
      <c r="E1331" s="62"/>
      <c r="F1331" s="62"/>
      <c r="G1331" s="62"/>
      <c r="H1331" s="62"/>
      <c r="I1331" s="62"/>
      <c r="J1331" s="62"/>
      <c r="K1331" s="200">
        <f t="shared" si="33"/>
        <v>0</v>
      </c>
    </row>
    <row r="1332" spans="1:11" x14ac:dyDescent="0.2">
      <c r="A1332" s="62"/>
      <c r="B1332" s="62"/>
      <c r="C1332" s="62"/>
      <c r="D1332" s="62"/>
      <c r="E1332" s="62"/>
      <c r="F1332" s="62"/>
      <c r="G1332" s="62"/>
      <c r="H1332" s="62"/>
      <c r="I1332" s="62"/>
      <c r="J1332" s="62"/>
      <c r="K1332" s="200">
        <f t="shared" si="33"/>
        <v>0</v>
      </c>
    </row>
    <row r="1333" spans="1:11" x14ac:dyDescent="0.2">
      <c r="A1333" s="62"/>
      <c r="B1333" s="62"/>
      <c r="C1333" s="62"/>
      <c r="D1333" s="62"/>
      <c r="E1333" s="62"/>
      <c r="F1333" s="62"/>
      <c r="G1333" s="62"/>
      <c r="H1333" s="62"/>
      <c r="I1333" s="62"/>
      <c r="J1333" s="62"/>
      <c r="K1333" s="200">
        <f t="shared" si="33"/>
        <v>0</v>
      </c>
    </row>
    <row r="1334" spans="1:11" x14ac:dyDescent="0.2">
      <c r="A1334" s="62"/>
      <c r="B1334" s="62"/>
      <c r="C1334" s="62"/>
      <c r="D1334" s="62"/>
      <c r="E1334" s="62"/>
      <c r="F1334" s="62"/>
      <c r="G1334" s="62"/>
      <c r="H1334" s="62"/>
      <c r="I1334" s="62"/>
      <c r="J1334" s="62"/>
      <c r="K1334" s="200">
        <f t="shared" si="33"/>
        <v>0</v>
      </c>
    </row>
    <row r="1335" spans="1:11" x14ac:dyDescent="0.2">
      <c r="A1335" s="62"/>
      <c r="B1335" s="62"/>
      <c r="C1335" s="62"/>
      <c r="D1335" s="62"/>
      <c r="E1335" s="62"/>
      <c r="F1335" s="62"/>
      <c r="G1335" s="62"/>
      <c r="H1335" s="62"/>
      <c r="I1335" s="62"/>
      <c r="J1335" s="62"/>
      <c r="K1335" s="200">
        <f t="shared" si="33"/>
        <v>0</v>
      </c>
    </row>
    <row r="1336" spans="1:11" x14ac:dyDescent="0.2">
      <c r="A1336" s="62"/>
      <c r="B1336" s="62"/>
      <c r="C1336" s="62"/>
      <c r="D1336" s="62"/>
      <c r="E1336" s="62"/>
      <c r="F1336" s="62"/>
      <c r="G1336" s="62"/>
      <c r="H1336" s="62"/>
      <c r="I1336" s="62"/>
      <c r="J1336" s="62"/>
      <c r="K1336" s="200">
        <f t="shared" si="33"/>
        <v>0</v>
      </c>
    </row>
    <row r="1337" spans="1:11" x14ac:dyDescent="0.2">
      <c r="A1337" s="62"/>
      <c r="B1337" s="62"/>
      <c r="C1337" s="62"/>
      <c r="D1337" s="62"/>
      <c r="E1337" s="62"/>
      <c r="F1337" s="62"/>
      <c r="G1337" s="62"/>
      <c r="H1337" s="62"/>
      <c r="I1337" s="62"/>
      <c r="J1337" s="62"/>
      <c r="K1337" s="200">
        <f t="shared" si="33"/>
        <v>0</v>
      </c>
    </row>
    <row r="1338" spans="1:11" x14ac:dyDescent="0.2">
      <c r="A1338" s="62"/>
      <c r="B1338" s="62"/>
      <c r="C1338" s="62"/>
      <c r="D1338" s="62"/>
      <c r="E1338" s="62"/>
      <c r="F1338" s="62"/>
      <c r="G1338" s="62"/>
      <c r="H1338" s="62"/>
      <c r="I1338" s="62"/>
      <c r="J1338" s="62"/>
      <c r="K1338" s="200">
        <f t="shared" si="33"/>
        <v>0</v>
      </c>
    </row>
    <row r="1339" spans="1:11" x14ac:dyDescent="0.2">
      <c r="A1339" s="62"/>
      <c r="B1339" s="62"/>
      <c r="C1339" s="62"/>
      <c r="D1339" s="62"/>
      <c r="E1339" s="62"/>
      <c r="F1339" s="62"/>
      <c r="G1339" s="62"/>
      <c r="H1339" s="62"/>
      <c r="I1339" s="62"/>
      <c r="J1339" s="62"/>
      <c r="K1339" s="200">
        <f t="shared" si="33"/>
        <v>0</v>
      </c>
    </row>
    <row r="1340" spans="1:11" x14ac:dyDescent="0.2">
      <c r="A1340" s="62"/>
      <c r="B1340" s="62"/>
      <c r="C1340" s="62"/>
      <c r="D1340" s="62"/>
      <c r="E1340" s="62"/>
      <c r="F1340" s="62"/>
      <c r="G1340" s="62"/>
      <c r="H1340" s="62"/>
      <c r="I1340" s="62"/>
      <c r="J1340" s="62"/>
      <c r="K1340" s="200">
        <f t="shared" si="33"/>
        <v>0</v>
      </c>
    </row>
    <row r="1341" spans="1:11" x14ac:dyDescent="0.2">
      <c r="A1341" s="62"/>
      <c r="B1341" s="62"/>
      <c r="C1341" s="62"/>
      <c r="D1341" s="62"/>
      <c r="E1341" s="62"/>
      <c r="F1341" s="62"/>
      <c r="G1341" s="62"/>
      <c r="H1341" s="62"/>
      <c r="I1341" s="62"/>
      <c r="J1341" s="62"/>
      <c r="K1341" s="200">
        <f t="shared" si="33"/>
        <v>0</v>
      </c>
    </row>
    <row r="1342" spans="1:11" x14ac:dyDescent="0.2">
      <c r="A1342" s="62"/>
      <c r="B1342" s="62"/>
      <c r="C1342" s="62"/>
      <c r="D1342" s="62"/>
      <c r="E1342" s="62"/>
      <c r="F1342" s="62"/>
      <c r="G1342" s="62"/>
      <c r="H1342" s="62"/>
      <c r="I1342" s="62"/>
      <c r="J1342" s="62"/>
      <c r="K1342" s="200">
        <f t="shared" si="33"/>
        <v>0</v>
      </c>
    </row>
    <row r="1343" spans="1:11" x14ac:dyDescent="0.2">
      <c r="A1343" s="62"/>
      <c r="B1343" s="62"/>
      <c r="C1343" s="62"/>
      <c r="D1343" s="62"/>
      <c r="E1343" s="62"/>
      <c r="F1343" s="62"/>
      <c r="G1343" s="62"/>
      <c r="H1343" s="62"/>
      <c r="I1343" s="62"/>
      <c r="J1343" s="62"/>
      <c r="K1343" s="200">
        <f t="shared" si="33"/>
        <v>0</v>
      </c>
    </row>
    <row r="1344" spans="1:11" ht="12" x14ac:dyDescent="0.2">
      <c r="A1344" s="300" t="s">
        <v>3454</v>
      </c>
      <c r="B1344" s="301"/>
      <c r="C1344" s="301"/>
      <c r="D1344" s="301"/>
      <c r="E1344" s="301"/>
      <c r="F1344" s="301"/>
      <c r="G1344" s="302"/>
      <c r="H1344" s="205">
        <f>SUM(H1259:H1343)</f>
        <v>0</v>
      </c>
      <c r="I1344" s="303" t="s">
        <v>3454</v>
      </c>
      <c r="J1344" s="303"/>
      <c r="K1344" s="205">
        <f>SUM(K1259:K1343)</f>
        <v>0</v>
      </c>
    </row>
    <row r="1345" spans="1:11" ht="12" x14ac:dyDescent="0.2">
      <c r="A1345" s="300" t="s">
        <v>3455</v>
      </c>
      <c r="B1345" s="301"/>
      <c r="C1345" s="301"/>
      <c r="D1345" s="301"/>
      <c r="E1345" s="301"/>
      <c r="F1345" s="301"/>
      <c r="G1345" s="302"/>
      <c r="H1345" s="205">
        <f>H1238</f>
        <v>325000</v>
      </c>
      <c r="I1345" s="303" t="s">
        <v>3455</v>
      </c>
      <c r="J1345" s="303"/>
      <c r="K1345" s="205">
        <f>K1238</f>
        <v>325000</v>
      </c>
    </row>
    <row r="1346" spans="1:11" ht="12.75" thickBot="1" x14ac:dyDescent="0.25">
      <c r="A1346" s="304" t="s">
        <v>3456</v>
      </c>
      <c r="B1346" s="305"/>
      <c r="C1346" s="305"/>
      <c r="D1346" s="305"/>
      <c r="E1346" s="305"/>
      <c r="F1346" s="305"/>
      <c r="G1346" s="306"/>
      <c r="H1346" s="206">
        <f>SUM(H1344:H1345)</f>
        <v>325000</v>
      </c>
      <c r="I1346" s="307" t="s">
        <v>3456</v>
      </c>
      <c r="J1346" s="307"/>
      <c r="K1346" s="206">
        <f>SUM(K1344:K1345)</f>
        <v>325000</v>
      </c>
    </row>
    <row r="1347" spans="1:11" x14ac:dyDescent="0.2">
      <c r="A1347" s="181"/>
      <c r="B1347" s="181"/>
      <c r="C1347" s="181"/>
      <c r="D1347" s="181"/>
      <c r="E1347" s="181"/>
      <c r="F1347" s="181"/>
      <c r="G1347" s="181"/>
      <c r="H1347" s="203"/>
    </row>
    <row r="1349" spans="1:11" ht="12" x14ac:dyDescent="0.2">
      <c r="A1349" s="299"/>
      <c r="B1349" s="299"/>
      <c r="C1349" s="299"/>
      <c r="D1349" s="299"/>
      <c r="E1349" s="191"/>
      <c r="F1349" s="191"/>
      <c r="G1349" s="194" t="s">
        <v>3459</v>
      </c>
      <c r="H1349" s="219"/>
      <c r="I1349" s="299" t="s">
        <v>3450</v>
      </c>
      <c r="J1349" s="299"/>
      <c r="K1349" s="299"/>
    </row>
    <row r="1350" spans="1:11" ht="12" x14ac:dyDescent="0.2">
      <c r="A1350" s="299"/>
      <c r="B1350" s="299"/>
      <c r="C1350" s="299"/>
      <c r="D1350" s="299"/>
      <c r="E1350" s="191"/>
      <c r="F1350" s="191"/>
      <c r="G1350" s="220"/>
      <c r="H1350" s="237">
        <f>H1344-H1349</f>
        <v>0</v>
      </c>
      <c r="I1350" s="299" t="s">
        <v>3564</v>
      </c>
      <c r="J1350" s="299"/>
      <c r="K1350" s="299"/>
    </row>
    <row r="1351" spans="1:11" ht="12.75" x14ac:dyDescent="0.2">
      <c r="A1351" s="199" t="s">
        <v>3550</v>
      </c>
      <c r="B1351" s="192"/>
      <c r="C1351" s="128"/>
      <c r="D1351" s="192"/>
      <c r="E1351" s="192"/>
      <c r="F1351" s="192"/>
      <c r="G1351" s="128"/>
      <c r="H1351" s="128"/>
      <c r="I1351" s="192"/>
      <c r="J1351" s="128"/>
      <c r="K1351" s="128"/>
    </row>
    <row r="1352" spans="1:11" ht="12.75" x14ac:dyDescent="0.2">
      <c r="A1352" s="199" t="s">
        <v>3551</v>
      </c>
      <c r="B1352" s="192"/>
      <c r="C1352" s="128"/>
      <c r="D1352" s="192"/>
      <c r="E1352" s="192"/>
      <c r="F1352" s="192"/>
      <c r="G1352" s="128"/>
      <c r="H1352" s="128"/>
      <c r="I1352" s="192"/>
      <c r="J1352" s="128"/>
      <c r="K1352" s="128"/>
    </row>
    <row r="1353" spans="1:11" ht="12.75" x14ac:dyDescent="0.2">
      <c r="A1353" s="313" t="s">
        <v>3259</v>
      </c>
      <c r="B1353" s="313"/>
      <c r="C1353" s="313"/>
      <c r="D1353" s="313"/>
      <c r="E1353" s="313"/>
      <c r="F1353" s="313"/>
      <c r="G1353" s="313"/>
      <c r="H1353" s="313"/>
      <c r="I1353" s="313"/>
      <c r="J1353" s="313"/>
      <c r="K1353" s="313"/>
    </row>
    <row r="1354" spans="1:11" ht="12.75" x14ac:dyDescent="0.2">
      <c r="A1354" s="313" t="s">
        <v>3553</v>
      </c>
      <c r="B1354" s="313"/>
      <c r="C1354" s="313"/>
      <c r="D1354" s="313"/>
      <c r="E1354" s="313"/>
      <c r="F1354" s="313"/>
      <c r="G1354" s="313"/>
      <c r="H1354" s="313"/>
      <c r="I1354" s="313"/>
      <c r="J1354" s="313"/>
      <c r="K1354" s="313"/>
    </row>
    <row r="1355" spans="1:11" x14ac:dyDescent="0.2">
      <c r="A1355" s="18"/>
      <c r="B1355" s="18"/>
      <c r="C1355" s="18"/>
      <c r="D1355" s="18"/>
      <c r="E1355" s="18"/>
      <c r="F1355" s="18"/>
      <c r="G1355" s="18"/>
      <c r="H1355" s="18"/>
      <c r="I1355" s="18"/>
      <c r="J1355" s="18"/>
      <c r="K1355" s="18"/>
    </row>
    <row r="1356" spans="1:11" x14ac:dyDescent="0.2">
      <c r="A1356" s="287" t="s">
        <v>3260</v>
      </c>
      <c r="B1356" s="288"/>
      <c r="C1356" s="289" t="s">
        <v>8</v>
      </c>
      <c r="D1356" s="287" t="s">
        <v>3261</v>
      </c>
      <c r="E1356" s="288"/>
      <c r="F1356" s="308" t="s">
        <v>76</v>
      </c>
      <c r="G1356" s="309"/>
      <c r="H1356" s="310"/>
      <c r="I1356" s="308" t="s">
        <v>5</v>
      </c>
      <c r="J1356" s="309"/>
      <c r="K1356" s="310"/>
    </row>
    <row r="1357" spans="1:11" x14ac:dyDescent="0.2">
      <c r="A1357" s="289" t="s">
        <v>7</v>
      </c>
      <c r="B1357" s="289" t="s">
        <v>16</v>
      </c>
      <c r="C1357" s="290"/>
      <c r="D1357" s="292" t="s">
        <v>7</v>
      </c>
      <c r="E1357" s="292" t="s">
        <v>3262</v>
      </c>
      <c r="F1357" s="292" t="s">
        <v>3252</v>
      </c>
      <c r="G1357" s="292" t="s">
        <v>3251</v>
      </c>
      <c r="H1357" s="292" t="s">
        <v>3452</v>
      </c>
      <c r="I1357" s="292" t="s">
        <v>3252</v>
      </c>
      <c r="J1357" s="292" t="s">
        <v>3251</v>
      </c>
      <c r="K1357" s="292" t="s">
        <v>3452</v>
      </c>
    </row>
    <row r="1358" spans="1:11" x14ac:dyDescent="0.2">
      <c r="A1358" s="291"/>
      <c r="B1358" s="291"/>
      <c r="C1358" s="291"/>
      <c r="D1358" s="294"/>
      <c r="E1358" s="294"/>
      <c r="F1358" s="294"/>
      <c r="G1358" s="294"/>
      <c r="H1358" s="294"/>
      <c r="I1358" s="294"/>
      <c r="J1358" s="294"/>
      <c r="K1358" s="294"/>
    </row>
    <row r="1359" spans="1:11" x14ac:dyDescent="0.2">
      <c r="A1359" s="176"/>
      <c r="B1359" s="176"/>
      <c r="C1359" s="176"/>
      <c r="D1359" s="176"/>
      <c r="E1359" s="176"/>
      <c r="F1359" s="176"/>
      <c r="G1359" s="176"/>
      <c r="H1359" s="176"/>
      <c r="I1359" s="176"/>
      <c r="J1359" s="176"/>
      <c r="K1359" s="200">
        <f>H1359</f>
        <v>0</v>
      </c>
    </row>
    <row r="1360" spans="1:11" x14ac:dyDescent="0.2">
      <c r="A1360" s="62"/>
      <c r="B1360" s="62"/>
      <c r="C1360" s="62"/>
      <c r="D1360" s="62"/>
      <c r="E1360" s="62"/>
      <c r="F1360" s="62"/>
      <c r="G1360" s="62"/>
      <c r="H1360" s="62"/>
      <c r="I1360" s="62"/>
      <c r="J1360" s="62"/>
      <c r="K1360" s="200">
        <f t="shared" ref="K1360:K1415" si="34">H1360</f>
        <v>0</v>
      </c>
    </row>
    <row r="1361" spans="1:11" x14ac:dyDescent="0.2">
      <c r="A1361" s="62"/>
      <c r="B1361" s="62"/>
      <c r="C1361" s="62"/>
      <c r="D1361" s="62"/>
      <c r="E1361" s="62"/>
      <c r="F1361" s="62"/>
      <c r="G1361" s="62"/>
      <c r="H1361" s="62"/>
      <c r="I1361" s="62"/>
      <c r="J1361" s="62"/>
      <c r="K1361" s="200">
        <f t="shared" si="34"/>
        <v>0</v>
      </c>
    </row>
    <row r="1362" spans="1:11" x14ac:dyDescent="0.2">
      <c r="A1362" s="62"/>
      <c r="B1362" s="62"/>
      <c r="C1362" s="62"/>
      <c r="D1362" s="62"/>
      <c r="E1362" s="62"/>
      <c r="F1362" s="62"/>
      <c r="G1362" s="62"/>
      <c r="H1362" s="62"/>
      <c r="I1362" s="62"/>
      <c r="J1362" s="62"/>
      <c r="K1362" s="200">
        <f t="shared" si="34"/>
        <v>0</v>
      </c>
    </row>
    <row r="1363" spans="1:11" x14ac:dyDescent="0.2">
      <c r="A1363" s="62"/>
      <c r="B1363" s="62"/>
      <c r="C1363" s="62"/>
      <c r="D1363" s="62"/>
      <c r="E1363" s="62"/>
      <c r="F1363" s="62"/>
      <c r="G1363" s="62"/>
      <c r="H1363" s="62"/>
      <c r="I1363" s="62"/>
      <c r="J1363" s="62"/>
      <c r="K1363" s="200">
        <f t="shared" si="34"/>
        <v>0</v>
      </c>
    </row>
    <row r="1364" spans="1:11" x14ac:dyDescent="0.2">
      <c r="A1364" s="62"/>
      <c r="B1364" s="62"/>
      <c r="C1364" s="62"/>
      <c r="D1364" s="62"/>
      <c r="E1364" s="62"/>
      <c r="F1364" s="62"/>
      <c r="G1364" s="62"/>
      <c r="H1364" s="62"/>
      <c r="I1364" s="62"/>
      <c r="J1364" s="62"/>
      <c r="K1364" s="200">
        <f t="shared" si="34"/>
        <v>0</v>
      </c>
    </row>
    <row r="1365" spans="1:11" x14ac:dyDescent="0.2">
      <c r="A1365" s="62"/>
      <c r="B1365" s="62"/>
      <c r="C1365" s="62"/>
      <c r="D1365" s="62"/>
      <c r="E1365" s="62"/>
      <c r="F1365" s="62"/>
      <c r="G1365" s="62"/>
      <c r="H1365" s="62"/>
      <c r="I1365" s="62"/>
      <c r="J1365" s="62"/>
      <c r="K1365" s="200">
        <f t="shared" si="34"/>
        <v>0</v>
      </c>
    </row>
    <row r="1366" spans="1:11" x14ac:dyDescent="0.2">
      <c r="A1366" s="62"/>
      <c r="B1366" s="62"/>
      <c r="C1366" s="62"/>
      <c r="D1366" s="62"/>
      <c r="E1366" s="62"/>
      <c r="F1366" s="62"/>
      <c r="G1366" s="62"/>
      <c r="H1366" s="62"/>
      <c r="I1366" s="62"/>
      <c r="J1366" s="62"/>
      <c r="K1366" s="200">
        <f t="shared" si="34"/>
        <v>0</v>
      </c>
    </row>
    <row r="1367" spans="1:11" x14ac:dyDescent="0.2">
      <c r="A1367" s="62"/>
      <c r="B1367" s="62"/>
      <c r="C1367" s="62"/>
      <c r="D1367" s="62"/>
      <c r="E1367" s="62"/>
      <c r="F1367" s="62"/>
      <c r="G1367" s="62"/>
      <c r="H1367" s="62"/>
      <c r="I1367" s="62"/>
      <c r="J1367" s="62"/>
      <c r="K1367" s="200">
        <f t="shared" si="34"/>
        <v>0</v>
      </c>
    </row>
    <row r="1368" spans="1:11" x14ac:dyDescent="0.2">
      <c r="A1368" s="62"/>
      <c r="B1368" s="62"/>
      <c r="C1368" s="62"/>
      <c r="D1368" s="62"/>
      <c r="E1368" s="62"/>
      <c r="F1368" s="62"/>
      <c r="G1368" s="62"/>
      <c r="H1368" s="62"/>
      <c r="I1368" s="62"/>
      <c r="J1368" s="62"/>
      <c r="K1368" s="200">
        <f t="shared" si="34"/>
        <v>0</v>
      </c>
    </row>
    <row r="1369" spans="1:11" x14ac:dyDescent="0.2">
      <c r="A1369" s="62"/>
      <c r="B1369" s="62"/>
      <c r="C1369" s="62"/>
      <c r="D1369" s="62"/>
      <c r="E1369" s="62"/>
      <c r="F1369" s="62"/>
      <c r="G1369" s="62"/>
      <c r="H1369" s="62"/>
      <c r="I1369" s="62"/>
      <c r="J1369" s="62"/>
      <c r="K1369" s="200">
        <f t="shared" si="34"/>
        <v>0</v>
      </c>
    </row>
    <row r="1370" spans="1:11" x14ac:dyDescent="0.2">
      <c r="A1370" s="62"/>
      <c r="B1370" s="62"/>
      <c r="C1370" s="62"/>
      <c r="D1370" s="62"/>
      <c r="E1370" s="62"/>
      <c r="F1370" s="62"/>
      <c r="G1370" s="62"/>
      <c r="H1370" s="62"/>
      <c r="I1370" s="62"/>
      <c r="J1370" s="62"/>
      <c r="K1370" s="200">
        <f t="shared" si="34"/>
        <v>0</v>
      </c>
    </row>
    <row r="1371" spans="1:11" x14ac:dyDescent="0.2">
      <c r="A1371" s="62"/>
      <c r="B1371" s="62"/>
      <c r="C1371" s="62"/>
      <c r="D1371" s="62"/>
      <c r="E1371" s="62"/>
      <c r="F1371" s="62"/>
      <c r="G1371" s="62"/>
      <c r="H1371" s="62"/>
      <c r="I1371" s="62"/>
      <c r="J1371" s="62"/>
      <c r="K1371" s="200">
        <f t="shared" si="34"/>
        <v>0</v>
      </c>
    </row>
    <row r="1372" spans="1:11" x14ac:dyDescent="0.2">
      <c r="A1372" s="62"/>
      <c r="B1372" s="62"/>
      <c r="C1372" s="62"/>
      <c r="D1372" s="62"/>
      <c r="E1372" s="62"/>
      <c r="F1372" s="62"/>
      <c r="G1372" s="62"/>
      <c r="H1372" s="62"/>
      <c r="I1372" s="62"/>
      <c r="J1372" s="62"/>
      <c r="K1372" s="200">
        <f t="shared" si="34"/>
        <v>0</v>
      </c>
    </row>
    <row r="1373" spans="1:11" x14ac:dyDescent="0.2">
      <c r="A1373" s="62"/>
      <c r="B1373" s="62"/>
      <c r="C1373" s="62"/>
      <c r="D1373" s="62"/>
      <c r="E1373" s="62"/>
      <c r="F1373" s="62"/>
      <c r="G1373" s="62"/>
      <c r="H1373" s="62"/>
      <c r="I1373" s="62"/>
      <c r="J1373" s="62"/>
      <c r="K1373" s="200">
        <f t="shared" si="34"/>
        <v>0</v>
      </c>
    </row>
    <row r="1374" spans="1:11" x14ac:dyDescent="0.2">
      <c r="A1374" s="62"/>
      <c r="B1374" s="62"/>
      <c r="C1374" s="62"/>
      <c r="D1374" s="62"/>
      <c r="E1374" s="62"/>
      <c r="F1374" s="62"/>
      <c r="G1374" s="62"/>
      <c r="H1374" s="62"/>
      <c r="I1374" s="62"/>
      <c r="J1374" s="62"/>
      <c r="K1374" s="200">
        <f t="shared" si="34"/>
        <v>0</v>
      </c>
    </row>
    <row r="1375" spans="1:11" x14ac:dyDescent="0.2">
      <c r="A1375" s="62"/>
      <c r="B1375" s="62"/>
      <c r="C1375" s="62"/>
      <c r="D1375" s="62"/>
      <c r="E1375" s="62"/>
      <c r="F1375" s="62"/>
      <c r="G1375" s="62"/>
      <c r="H1375" s="62"/>
      <c r="I1375" s="62"/>
      <c r="J1375" s="62"/>
      <c r="K1375" s="200">
        <f t="shared" si="34"/>
        <v>0</v>
      </c>
    </row>
    <row r="1376" spans="1:11" x14ac:dyDescent="0.2">
      <c r="A1376" s="62"/>
      <c r="B1376" s="62"/>
      <c r="C1376" s="62"/>
      <c r="D1376" s="62"/>
      <c r="E1376" s="62"/>
      <c r="F1376" s="62"/>
      <c r="G1376" s="62"/>
      <c r="H1376" s="62"/>
      <c r="I1376" s="62"/>
      <c r="J1376" s="62"/>
      <c r="K1376" s="200">
        <f t="shared" si="34"/>
        <v>0</v>
      </c>
    </row>
    <row r="1377" spans="1:11" x14ac:dyDescent="0.2">
      <c r="A1377" s="62"/>
      <c r="B1377" s="62"/>
      <c r="C1377" s="62"/>
      <c r="D1377" s="62"/>
      <c r="E1377" s="62"/>
      <c r="F1377" s="62"/>
      <c r="G1377" s="62"/>
      <c r="H1377" s="62"/>
      <c r="I1377" s="62"/>
      <c r="J1377" s="62"/>
      <c r="K1377" s="200">
        <f t="shared" si="34"/>
        <v>0</v>
      </c>
    </row>
    <row r="1378" spans="1:11" x14ac:dyDescent="0.2">
      <c r="A1378" s="62"/>
      <c r="B1378" s="62"/>
      <c r="C1378" s="62"/>
      <c r="D1378" s="62"/>
      <c r="E1378" s="62"/>
      <c r="F1378" s="62"/>
      <c r="G1378" s="62"/>
      <c r="H1378" s="62"/>
      <c r="I1378" s="62"/>
      <c r="J1378" s="62"/>
      <c r="K1378" s="200">
        <f t="shared" si="34"/>
        <v>0</v>
      </c>
    </row>
    <row r="1379" spans="1:11" x14ac:dyDescent="0.2">
      <c r="A1379" s="62"/>
      <c r="B1379" s="62"/>
      <c r="C1379" s="62"/>
      <c r="D1379" s="62"/>
      <c r="E1379" s="62"/>
      <c r="F1379" s="62"/>
      <c r="G1379" s="62"/>
      <c r="H1379" s="62"/>
      <c r="I1379" s="62"/>
      <c r="J1379" s="62"/>
      <c r="K1379" s="200">
        <f t="shared" si="34"/>
        <v>0</v>
      </c>
    </row>
    <row r="1380" spans="1:11" x14ac:dyDescent="0.2">
      <c r="A1380" s="62"/>
      <c r="B1380" s="62"/>
      <c r="C1380" s="62"/>
      <c r="D1380" s="62"/>
      <c r="E1380" s="62"/>
      <c r="F1380" s="62"/>
      <c r="G1380" s="62"/>
      <c r="H1380" s="62"/>
      <c r="I1380" s="62"/>
      <c r="J1380" s="62"/>
      <c r="K1380" s="200">
        <f t="shared" si="34"/>
        <v>0</v>
      </c>
    </row>
    <row r="1381" spans="1:11" x14ac:dyDescent="0.2">
      <c r="A1381" s="62"/>
      <c r="B1381" s="62"/>
      <c r="C1381" s="62"/>
      <c r="D1381" s="62"/>
      <c r="E1381" s="62"/>
      <c r="F1381" s="62"/>
      <c r="G1381" s="62"/>
      <c r="H1381" s="62"/>
      <c r="I1381" s="62"/>
      <c r="J1381" s="62"/>
      <c r="K1381" s="200">
        <f t="shared" si="34"/>
        <v>0</v>
      </c>
    </row>
    <row r="1382" spans="1:11" x14ac:dyDescent="0.2">
      <c r="A1382" s="62"/>
      <c r="B1382" s="62"/>
      <c r="C1382" s="62"/>
      <c r="D1382" s="62"/>
      <c r="E1382" s="62"/>
      <c r="F1382" s="62"/>
      <c r="G1382" s="62"/>
      <c r="H1382" s="62"/>
      <c r="I1382" s="62"/>
      <c r="J1382" s="62"/>
      <c r="K1382" s="200">
        <f t="shared" si="34"/>
        <v>0</v>
      </c>
    </row>
    <row r="1383" spans="1:11" x14ac:dyDescent="0.2">
      <c r="A1383" s="62"/>
      <c r="B1383" s="62"/>
      <c r="C1383" s="62"/>
      <c r="D1383" s="62"/>
      <c r="E1383" s="62"/>
      <c r="F1383" s="62"/>
      <c r="G1383" s="62"/>
      <c r="H1383" s="62"/>
      <c r="I1383" s="62"/>
      <c r="J1383" s="62"/>
      <c r="K1383" s="200">
        <f t="shared" si="34"/>
        <v>0</v>
      </c>
    </row>
    <row r="1384" spans="1:11" x14ac:dyDescent="0.2">
      <c r="A1384" s="62"/>
      <c r="B1384" s="62"/>
      <c r="C1384" s="62"/>
      <c r="D1384" s="62"/>
      <c r="E1384" s="62"/>
      <c r="F1384" s="62"/>
      <c r="G1384" s="62"/>
      <c r="H1384" s="62"/>
      <c r="I1384" s="62"/>
      <c r="J1384" s="62"/>
      <c r="K1384" s="200">
        <f t="shared" si="34"/>
        <v>0</v>
      </c>
    </row>
    <row r="1385" spans="1:11" x14ac:dyDescent="0.2">
      <c r="A1385" s="62"/>
      <c r="B1385" s="62"/>
      <c r="C1385" s="62"/>
      <c r="D1385" s="62"/>
      <c r="E1385" s="62"/>
      <c r="F1385" s="62"/>
      <c r="G1385" s="62"/>
      <c r="H1385" s="62"/>
      <c r="I1385" s="62"/>
      <c r="J1385" s="62"/>
      <c r="K1385" s="200">
        <f t="shared" si="34"/>
        <v>0</v>
      </c>
    </row>
    <row r="1386" spans="1:11" x14ac:dyDescent="0.2">
      <c r="A1386" s="62"/>
      <c r="B1386" s="62"/>
      <c r="C1386" s="62"/>
      <c r="D1386" s="62"/>
      <c r="E1386" s="62"/>
      <c r="F1386" s="62"/>
      <c r="G1386" s="62"/>
      <c r="H1386" s="62"/>
      <c r="I1386" s="62"/>
      <c r="J1386" s="62"/>
      <c r="K1386" s="200">
        <f t="shared" si="34"/>
        <v>0</v>
      </c>
    </row>
    <row r="1387" spans="1:11" x14ac:dyDescent="0.2">
      <c r="A1387" s="62"/>
      <c r="B1387" s="62"/>
      <c r="C1387" s="62"/>
      <c r="D1387" s="62"/>
      <c r="E1387" s="62"/>
      <c r="F1387" s="62"/>
      <c r="G1387" s="62"/>
      <c r="H1387" s="62"/>
      <c r="I1387" s="62"/>
      <c r="J1387" s="62"/>
      <c r="K1387" s="200">
        <f t="shared" si="34"/>
        <v>0</v>
      </c>
    </row>
    <row r="1388" spans="1:11" x14ac:dyDescent="0.2">
      <c r="A1388" s="62"/>
      <c r="B1388" s="62"/>
      <c r="C1388" s="62"/>
      <c r="D1388" s="62"/>
      <c r="E1388" s="62"/>
      <c r="F1388" s="62"/>
      <c r="G1388" s="62"/>
      <c r="H1388" s="62"/>
      <c r="I1388" s="62"/>
      <c r="J1388" s="62"/>
      <c r="K1388" s="200">
        <f t="shared" si="34"/>
        <v>0</v>
      </c>
    </row>
    <row r="1389" spans="1:11" x14ac:dyDescent="0.2">
      <c r="A1389" s="62"/>
      <c r="B1389" s="62"/>
      <c r="C1389" s="62"/>
      <c r="D1389" s="62"/>
      <c r="E1389" s="62"/>
      <c r="F1389" s="62"/>
      <c r="G1389" s="62"/>
      <c r="H1389" s="62"/>
      <c r="I1389" s="62"/>
      <c r="J1389" s="62"/>
      <c r="K1389" s="200">
        <f t="shared" si="34"/>
        <v>0</v>
      </c>
    </row>
    <row r="1390" spans="1:11" x14ac:dyDescent="0.2">
      <c r="A1390" s="62"/>
      <c r="B1390" s="62"/>
      <c r="C1390" s="62"/>
      <c r="D1390" s="62"/>
      <c r="E1390" s="62"/>
      <c r="F1390" s="62"/>
      <c r="G1390" s="62"/>
      <c r="H1390" s="62"/>
      <c r="I1390" s="62"/>
      <c r="J1390" s="62"/>
      <c r="K1390" s="200">
        <f t="shared" si="34"/>
        <v>0</v>
      </c>
    </row>
    <row r="1391" spans="1:11" x14ac:dyDescent="0.2">
      <c r="A1391" s="62"/>
      <c r="B1391" s="62"/>
      <c r="C1391" s="62"/>
      <c r="D1391" s="62"/>
      <c r="E1391" s="62"/>
      <c r="F1391" s="62"/>
      <c r="G1391" s="62"/>
      <c r="H1391" s="62"/>
      <c r="I1391" s="62"/>
      <c r="J1391" s="62"/>
      <c r="K1391" s="200">
        <f t="shared" si="34"/>
        <v>0</v>
      </c>
    </row>
    <row r="1392" spans="1:11" x14ac:dyDescent="0.2">
      <c r="A1392" s="62"/>
      <c r="B1392" s="62"/>
      <c r="C1392" s="62"/>
      <c r="D1392" s="62"/>
      <c r="E1392" s="62"/>
      <c r="F1392" s="62"/>
      <c r="G1392" s="62"/>
      <c r="H1392" s="62"/>
      <c r="I1392" s="62"/>
      <c r="J1392" s="62"/>
      <c r="K1392" s="200">
        <f t="shared" si="34"/>
        <v>0</v>
      </c>
    </row>
    <row r="1393" spans="1:11" x14ac:dyDescent="0.2">
      <c r="A1393" s="62"/>
      <c r="B1393" s="62"/>
      <c r="C1393" s="62"/>
      <c r="D1393" s="62"/>
      <c r="E1393" s="62"/>
      <c r="F1393" s="62"/>
      <c r="G1393" s="62"/>
      <c r="H1393" s="62"/>
      <c r="I1393" s="62"/>
      <c r="J1393" s="62"/>
      <c r="K1393" s="200">
        <f t="shared" si="34"/>
        <v>0</v>
      </c>
    </row>
    <row r="1394" spans="1:11" x14ac:dyDescent="0.2">
      <c r="A1394" s="62"/>
      <c r="B1394" s="62"/>
      <c r="C1394" s="62"/>
      <c r="D1394" s="62"/>
      <c r="E1394" s="62"/>
      <c r="F1394" s="62"/>
      <c r="G1394" s="62"/>
      <c r="H1394" s="62"/>
      <c r="I1394" s="62"/>
      <c r="J1394" s="62"/>
      <c r="K1394" s="200">
        <f t="shared" si="34"/>
        <v>0</v>
      </c>
    </row>
    <row r="1395" spans="1:11" x14ac:dyDescent="0.2">
      <c r="A1395" s="62"/>
      <c r="B1395" s="62"/>
      <c r="C1395" s="62"/>
      <c r="D1395" s="62"/>
      <c r="E1395" s="62"/>
      <c r="F1395" s="62"/>
      <c r="G1395" s="62"/>
      <c r="H1395" s="62"/>
      <c r="I1395" s="62"/>
      <c r="J1395" s="62"/>
      <c r="K1395" s="200">
        <f t="shared" si="34"/>
        <v>0</v>
      </c>
    </row>
    <row r="1396" spans="1:11" x14ac:dyDescent="0.2">
      <c r="A1396" s="62"/>
      <c r="B1396" s="62"/>
      <c r="C1396" s="62"/>
      <c r="D1396" s="62"/>
      <c r="E1396" s="62"/>
      <c r="F1396" s="62"/>
      <c r="G1396" s="62"/>
      <c r="H1396" s="62"/>
      <c r="I1396" s="62"/>
      <c r="J1396" s="62"/>
      <c r="K1396" s="200">
        <f t="shared" si="34"/>
        <v>0</v>
      </c>
    </row>
    <row r="1397" spans="1:11" x14ac:dyDescent="0.2">
      <c r="A1397" s="62"/>
      <c r="B1397" s="62"/>
      <c r="C1397" s="62"/>
      <c r="D1397" s="62"/>
      <c r="E1397" s="62"/>
      <c r="F1397" s="62"/>
      <c r="G1397" s="62"/>
      <c r="H1397" s="62"/>
      <c r="I1397" s="62"/>
      <c r="J1397" s="62"/>
      <c r="K1397" s="200">
        <f t="shared" si="34"/>
        <v>0</v>
      </c>
    </row>
    <row r="1398" spans="1:11" x14ac:dyDescent="0.2">
      <c r="A1398" s="62"/>
      <c r="B1398" s="62"/>
      <c r="C1398" s="62"/>
      <c r="D1398" s="62"/>
      <c r="E1398" s="62"/>
      <c r="F1398" s="62"/>
      <c r="G1398" s="62"/>
      <c r="H1398" s="62"/>
      <c r="I1398" s="62"/>
      <c r="J1398" s="62"/>
      <c r="K1398" s="200">
        <f t="shared" si="34"/>
        <v>0</v>
      </c>
    </row>
    <row r="1399" spans="1:11" x14ac:dyDescent="0.2">
      <c r="A1399" s="62"/>
      <c r="B1399" s="62"/>
      <c r="C1399" s="62"/>
      <c r="D1399" s="62"/>
      <c r="E1399" s="62"/>
      <c r="F1399" s="62"/>
      <c r="G1399" s="62"/>
      <c r="H1399" s="62"/>
      <c r="I1399" s="62"/>
      <c r="J1399" s="62"/>
      <c r="K1399" s="200">
        <f t="shared" si="34"/>
        <v>0</v>
      </c>
    </row>
    <row r="1400" spans="1:11" x14ac:dyDescent="0.2">
      <c r="A1400" s="62"/>
      <c r="B1400" s="62"/>
      <c r="C1400" s="62"/>
      <c r="D1400" s="62"/>
      <c r="E1400" s="62"/>
      <c r="F1400" s="62"/>
      <c r="G1400" s="62"/>
      <c r="H1400" s="62"/>
      <c r="I1400" s="62"/>
      <c r="J1400" s="62"/>
      <c r="K1400" s="200">
        <f t="shared" si="34"/>
        <v>0</v>
      </c>
    </row>
    <row r="1401" spans="1:11" x14ac:dyDescent="0.2">
      <c r="A1401" s="62"/>
      <c r="B1401" s="62"/>
      <c r="C1401" s="62"/>
      <c r="D1401" s="62"/>
      <c r="E1401" s="62"/>
      <c r="F1401" s="62"/>
      <c r="G1401" s="62"/>
      <c r="H1401" s="62"/>
      <c r="I1401" s="62"/>
      <c r="J1401" s="62"/>
      <c r="K1401" s="200">
        <f t="shared" si="34"/>
        <v>0</v>
      </c>
    </row>
    <row r="1402" spans="1:11" x14ac:dyDescent="0.2">
      <c r="A1402" s="62"/>
      <c r="B1402" s="62"/>
      <c r="C1402" s="62"/>
      <c r="D1402" s="62"/>
      <c r="E1402" s="62"/>
      <c r="F1402" s="62"/>
      <c r="G1402" s="62"/>
      <c r="H1402" s="62"/>
      <c r="I1402" s="62"/>
      <c r="J1402" s="62"/>
      <c r="K1402" s="200">
        <f t="shared" si="34"/>
        <v>0</v>
      </c>
    </row>
    <row r="1403" spans="1:11" x14ac:dyDescent="0.2">
      <c r="A1403" s="62"/>
      <c r="B1403" s="62"/>
      <c r="C1403" s="62"/>
      <c r="D1403" s="62"/>
      <c r="E1403" s="62"/>
      <c r="F1403" s="62"/>
      <c r="G1403" s="62"/>
      <c r="H1403" s="62"/>
      <c r="I1403" s="62"/>
      <c r="J1403" s="62"/>
      <c r="K1403" s="200">
        <f t="shared" si="34"/>
        <v>0</v>
      </c>
    </row>
    <row r="1404" spans="1:11" x14ac:dyDescent="0.2">
      <c r="A1404" s="62"/>
      <c r="B1404" s="62"/>
      <c r="C1404" s="62"/>
      <c r="D1404" s="62"/>
      <c r="E1404" s="62"/>
      <c r="F1404" s="62"/>
      <c r="G1404" s="62"/>
      <c r="H1404" s="62"/>
      <c r="I1404" s="62"/>
      <c r="J1404" s="62"/>
      <c r="K1404" s="200">
        <f t="shared" si="34"/>
        <v>0</v>
      </c>
    </row>
    <row r="1405" spans="1:11" x14ac:dyDescent="0.2">
      <c r="A1405" s="62"/>
      <c r="B1405" s="62"/>
      <c r="C1405" s="62"/>
      <c r="D1405" s="62"/>
      <c r="E1405" s="62"/>
      <c r="F1405" s="62"/>
      <c r="G1405" s="62"/>
      <c r="H1405" s="62"/>
      <c r="I1405" s="62"/>
      <c r="J1405" s="62"/>
      <c r="K1405" s="200">
        <f t="shared" si="34"/>
        <v>0</v>
      </c>
    </row>
    <row r="1406" spans="1:11" x14ac:dyDescent="0.2">
      <c r="A1406" s="62"/>
      <c r="B1406" s="62"/>
      <c r="C1406" s="62"/>
      <c r="D1406" s="62"/>
      <c r="E1406" s="62"/>
      <c r="F1406" s="62"/>
      <c r="G1406" s="62"/>
      <c r="H1406" s="62"/>
      <c r="I1406" s="62"/>
      <c r="J1406" s="62"/>
      <c r="K1406" s="200">
        <f t="shared" si="34"/>
        <v>0</v>
      </c>
    </row>
    <row r="1407" spans="1:11" x14ac:dyDescent="0.2">
      <c r="A1407" s="62"/>
      <c r="B1407" s="62"/>
      <c r="C1407" s="62"/>
      <c r="D1407" s="62"/>
      <c r="E1407" s="62"/>
      <c r="F1407" s="62"/>
      <c r="G1407" s="62"/>
      <c r="H1407" s="62"/>
      <c r="I1407" s="62"/>
      <c r="J1407" s="62"/>
      <c r="K1407" s="200">
        <f t="shared" si="34"/>
        <v>0</v>
      </c>
    </row>
    <row r="1408" spans="1:11" x14ac:dyDescent="0.2">
      <c r="A1408" s="62"/>
      <c r="B1408" s="62"/>
      <c r="C1408" s="62"/>
      <c r="D1408" s="62"/>
      <c r="E1408" s="62"/>
      <c r="F1408" s="62"/>
      <c r="G1408" s="62"/>
      <c r="H1408" s="62"/>
      <c r="I1408" s="62"/>
      <c r="J1408" s="62"/>
      <c r="K1408" s="200">
        <f t="shared" si="34"/>
        <v>0</v>
      </c>
    </row>
    <row r="1409" spans="1:11" x14ac:dyDescent="0.2">
      <c r="A1409" s="62"/>
      <c r="B1409" s="62"/>
      <c r="C1409" s="62"/>
      <c r="D1409" s="62"/>
      <c r="E1409" s="62"/>
      <c r="F1409" s="62"/>
      <c r="G1409" s="62"/>
      <c r="H1409" s="62"/>
      <c r="I1409" s="62"/>
      <c r="J1409" s="62"/>
      <c r="K1409" s="200">
        <f t="shared" si="34"/>
        <v>0</v>
      </c>
    </row>
    <row r="1410" spans="1:11" x14ac:dyDescent="0.2">
      <c r="A1410" s="62"/>
      <c r="B1410" s="62"/>
      <c r="C1410" s="62"/>
      <c r="D1410" s="62"/>
      <c r="E1410" s="62"/>
      <c r="F1410" s="62"/>
      <c r="G1410" s="62"/>
      <c r="H1410" s="62"/>
      <c r="I1410" s="62"/>
      <c r="J1410" s="62"/>
      <c r="K1410" s="200">
        <f t="shared" si="34"/>
        <v>0</v>
      </c>
    </row>
    <row r="1411" spans="1:11" x14ac:dyDescent="0.2">
      <c r="A1411" s="62"/>
      <c r="B1411" s="62"/>
      <c r="C1411" s="62"/>
      <c r="D1411" s="62"/>
      <c r="E1411" s="62"/>
      <c r="F1411" s="62"/>
      <c r="G1411" s="62"/>
      <c r="H1411" s="62"/>
      <c r="I1411" s="62"/>
      <c r="J1411" s="62"/>
      <c r="K1411" s="200">
        <f>H1411</f>
        <v>0</v>
      </c>
    </row>
    <row r="1412" spans="1:11" x14ac:dyDescent="0.2">
      <c r="A1412" s="62"/>
      <c r="B1412" s="62"/>
      <c r="C1412" s="62"/>
      <c r="D1412" s="62"/>
      <c r="E1412" s="62"/>
      <c r="F1412" s="62"/>
      <c r="G1412" s="62"/>
      <c r="H1412" s="62"/>
      <c r="I1412" s="62"/>
      <c r="J1412" s="62"/>
      <c r="K1412" s="200">
        <f>H1412</f>
        <v>0</v>
      </c>
    </row>
    <row r="1413" spans="1:11" x14ac:dyDescent="0.2">
      <c r="A1413" s="62"/>
      <c r="B1413" s="62"/>
      <c r="C1413" s="62"/>
      <c r="D1413" s="62"/>
      <c r="E1413" s="62"/>
      <c r="F1413" s="62"/>
      <c r="G1413" s="62"/>
      <c r="H1413" s="62"/>
      <c r="I1413" s="62"/>
      <c r="J1413" s="62"/>
      <c r="K1413" s="200">
        <f t="shared" si="34"/>
        <v>0</v>
      </c>
    </row>
    <row r="1414" spans="1:11" x14ac:dyDescent="0.2">
      <c r="A1414" s="62"/>
      <c r="B1414" s="62"/>
      <c r="C1414" s="62"/>
      <c r="D1414" s="62"/>
      <c r="E1414" s="62"/>
      <c r="F1414" s="62"/>
      <c r="G1414" s="62"/>
      <c r="H1414" s="62"/>
      <c r="I1414" s="62"/>
      <c r="J1414" s="62"/>
      <c r="K1414" s="200">
        <f t="shared" si="34"/>
        <v>0</v>
      </c>
    </row>
    <row r="1415" spans="1:11" x14ac:dyDescent="0.2">
      <c r="A1415" s="62"/>
      <c r="B1415" s="62"/>
      <c r="C1415" s="62"/>
      <c r="D1415" s="62"/>
      <c r="E1415" s="62"/>
      <c r="F1415" s="62"/>
      <c r="G1415" s="62"/>
      <c r="H1415" s="62"/>
      <c r="I1415" s="62"/>
      <c r="J1415" s="62"/>
      <c r="K1415" s="200">
        <f t="shared" si="34"/>
        <v>0</v>
      </c>
    </row>
    <row r="1416" spans="1:11" x14ac:dyDescent="0.2">
      <c r="A1416" s="62"/>
      <c r="B1416" s="62"/>
      <c r="C1416" s="62"/>
      <c r="D1416" s="62"/>
      <c r="E1416" s="62"/>
      <c r="F1416" s="62"/>
      <c r="G1416" s="62"/>
      <c r="H1416" s="62"/>
      <c r="I1416" s="62"/>
      <c r="J1416" s="62"/>
      <c r="K1416" s="200">
        <f>H1416</f>
        <v>0</v>
      </c>
    </row>
    <row r="1417" spans="1:11" x14ac:dyDescent="0.2">
      <c r="A1417" s="62"/>
      <c r="B1417" s="62"/>
      <c r="C1417" s="62"/>
      <c r="D1417" s="62"/>
      <c r="E1417" s="62"/>
      <c r="F1417" s="62"/>
      <c r="G1417" s="62"/>
      <c r="H1417" s="62"/>
      <c r="I1417" s="62"/>
      <c r="J1417" s="62"/>
      <c r="K1417" s="200">
        <f>H1417</f>
        <v>0</v>
      </c>
    </row>
    <row r="1418" spans="1:11" x14ac:dyDescent="0.2">
      <c r="A1418" s="62"/>
      <c r="B1418" s="62"/>
      <c r="C1418" s="62"/>
      <c r="D1418" s="62"/>
      <c r="E1418" s="62"/>
      <c r="F1418" s="62"/>
      <c r="G1418" s="62"/>
      <c r="H1418" s="62"/>
      <c r="I1418" s="62"/>
      <c r="J1418" s="62"/>
      <c r="K1418" s="200">
        <f>H1418</f>
        <v>0</v>
      </c>
    </row>
    <row r="1419" spans="1:11" x14ac:dyDescent="0.2">
      <c r="A1419" s="62"/>
      <c r="B1419" s="62"/>
      <c r="C1419" s="62"/>
      <c r="D1419" s="62"/>
      <c r="E1419" s="62"/>
      <c r="F1419" s="62"/>
      <c r="G1419" s="62"/>
      <c r="H1419" s="62"/>
      <c r="I1419" s="62"/>
      <c r="J1419" s="62"/>
      <c r="K1419" s="200">
        <f>H1419</f>
        <v>0</v>
      </c>
    </row>
    <row r="1420" spans="1:11" x14ac:dyDescent="0.2">
      <c r="A1420" s="62"/>
      <c r="B1420" s="62"/>
      <c r="C1420" s="62"/>
      <c r="D1420" s="62"/>
      <c r="E1420" s="62"/>
      <c r="F1420" s="62"/>
      <c r="G1420" s="62"/>
      <c r="H1420" s="62"/>
      <c r="I1420" s="62"/>
      <c r="J1420" s="62"/>
      <c r="K1420" s="200">
        <f t="shared" ref="K1420:K1476" si="35">H1420</f>
        <v>0</v>
      </c>
    </row>
    <row r="1421" spans="1:11" x14ac:dyDescent="0.2">
      <c r="A1421" s="62"/>
      <c r="B1421" s="62"/>
      <c r="C1421" s="62"/>
      <c r="D1421" s="62"/>
      <c r="E1421" s="62"/>
      <c r="F1421" s="62"/>
      <c r="G1421" s="62"/>
      <c r="H1421" s="62"/>
      <c r="I1421" s="62"/>
      <c r="J1421" s="62"/>
      <c r="K1421" s="200">
        <f t="shared" si="35"/>
        <v>0</v>
      </c>
    </row>
    <row r="1422" spans="1:11" x14ac:dyDescent="0.2">
      <c r="A1422" s="62"/>
      <c r="B1422" s="62"/>
      <c r="C1422" s="62"/>
      <c r="D1422" s="62"/>
      <c r="E1422" s="62"/>
      <c r="F1422" s="62"/>
      <c r="G1422" s="62"/>
      <c r="H1422" s="62"/>
      <c r="I1422" s="62"/>
      <c r="J1422" s="62"/>
      <c r="K1422" s="200">
        <f t="shared" si="35"/>
        <v>0</v>
      </c>
    </row>
    <row r="1423" spans="1:11" x14ac:dyDescent="0.2">
      <c r="A1423" s="62"/>
      <c r="B1423" s="62"/>
      <c r="C1423" s="62"/>
      <c r="D1423" s="62"/>
      <c r="E1423" s="62"/>
      <c r="F1423" s="62"/>
      <c r="G1423" s="62"/>
      <c r="H1423" s="62"/>
      <c r="I1423" s="62"/>
      <c r="J1423" s="62"/>
      <c r="K1423" s="200">
        <f t="shared" si="35"/>
        <v>0</v>
      </c>
    </row>
    <row r="1424" spans="1:11" x14ac:dyDescent="0.2">
      <c r="A1424" s="62"/>
      <c r="B1424" s="62"/>
      <c r="C1424" s="62"/>
      <c r="D1424" s="62"/>
      <c r="E1424" s="62"/>
      <c r="F1424" s="62"/>
      <c r="G1424" s="62"/>
      <c r="H1424" s="62"/>
      <c r="I1424" s="62"/>
      <c r="J1424" s="62"/>
      <c r="K1424" s="200">
        <f t="shared" si="35"/>
        <v>0</v>
      </c>
    </row>
    <row r="1425" spans="1:11" x14ac:dyDescent="0.2">
      <c r="A1425" s="62"/>
      <c r="B1425" s="62"/>
      <c r="C1425" s="62"/>
      <c r="D1425" s="62"/>
      <c r="E1425" s="62"/>
      <c r="F1425" s="62"/>
      <c r="G1425" s="62"/>
      <c r="H1425" s="62"/>
      <c r="I1425" s="62"/>
      <c r="J1425" s="62"/>
      <c r="K1425" s="200">
        <f t="shared" si="35"/>
        <v>0</v>
      </c>
    </row>
    <row r="1426" spans="1:11" x14ac:dyDescent="0.2">
      <c r="A1426" s="62"/>
      <c r="B1426" s="62"/>
      <c r="C1426" s="62"/>
      <c r="D1426" s="62"/>
      <c r="E1426" s="62"/>
      <c r="F1426" s="62"/>
      <c r="G1426" s="62"/>
      <c r="H1426" s="62"/>
      <c r="I1426" s="62"/>
      <c r="J1426" s="62"/>
      <c r="K1426" s="200">
        <f t="shared" si="35"/>
        <v>0</v>
      </c>
    </row>
    <row r="1427" spans="1:11" x14ac:dyDescent="0.2">
      <c r="A1427" s="62"/>
      <c r="B1427" s="62"/>
      <c r="C1427" s="62"/>
      <c r="D1427" s="62"/>
      <c r="E1427" s="62"/>
      <c r="F1427" s="62"/>
      <c r="G1427" s="62"/>
      <c r="H1427" s="62"/>
      <c r="I1427" s="62"/>
      <c r="J1427" s="62"/>
      <c r="K1427" s="200">
        <f t="shared" si="35"/>
        <v>0</v>
      </c>
    </row>
    <row r="1428" spans="1:11" x14ac:dyDescent="0.2">
      <c r="A1428" s="62"/>
      <c r="B1428" s="62"/>
      <c r="C1428" s="62"/>
      <c r="D1428" s="62"/>
      <c r="E1428" s="62"/>
      <c r="F1428" s="62"/>
      <c r="G1428" s="62"/>
      <c r="H1428" s="62"/>
      <c r="I1428" s="62"/>
      <c r="J1428" s="62"/>
      <c r="K1428" s="200">
        <f t="shared" si="35"/>
        <v>0</v>
      </c>
    </row>
    <row r="1429" spans="1:11" x14ac:dyDescent="0.2">
      <c r="A1429" s="62"/>
      <c r="B1429" s="62"/>
      <c r="C1429" s="62"/>
      <c r="D1429" s="62"/>
      <c r="E1429" s="62"/>
      <c r="F1429" s="62"/>
      <c r="G1429" s="62"/>
      <c r="H1429" s="62"/>
      <c r="I1429" s="62"/>
      <c r="J1429" s="62"/>
      <c r="K1429" s="200">
        <f t="shared" si="35"/>
        <v>0</v>
      </c>
    </row>
    <row r="1430" spans="1:11" x14ac:dyDescent="0.2">
      <c r="A1430" s="62"/>
      <c r="B1430" s="62"/>
      <c r="C1430" s="62"/>
      <c r="D1430" s="62"/>
      <c r="E1430" s="62"/>
      <c r="F1430" s="62"/>
      <c r="G1430" s="62"/>
      <c r="H1430" s="62"/>
      <c r="I1430" s="62"/>
      <c r="J1430" s="62"/>
      <c r="K1430" s="200">
        <f t="shared" si="35"/>
        <v>0</v>
      </c>
    </row>
    <row r="1431" spans="1:11" x14ac:dyDescent="0.2">
      <c r="A1431" s="62"/>
      <c r="B1431" s="62"/>
      <c r="C1431" s="62"/>
      <c r="D1431" s="62"/>
      <c r="E1431" s="62"/>
      <c r="F1431" s="62"/>
      <c r="G1431" s="62"/>
      <c r="H1431" s="62"/>
      <c r="I1431" s="62"/>
      <c r="J1431" s="62"/>
      <c r="K1431" s="200">
        <f>H1431</f>
        <v>0</v>
      </c>
    </row>
    <row r="1432" spans="1:11" x14ac:dyDescent="0.2">
      <c r="A1432" s="62"/>
      <c r="B1432" s="62"/>
      <c r="C1432" s="62"/>
      <c r="D1432" s="62"/>
      <c r="E1432" s="62"/>
      <c r="F1432" s="62"/>
      <c r="G1432" s="62"/>
      <c r="H1432" s="62"/>
      <c r="I1432" s="62"/>
      <c r="J1432" s="62"/>
      <c r="K1432" s="200">
        <f>H1432</f>
        <v>0</v>
      </c>
    </row>
    <row r="1433" spans="1:11" x14ac:dyDescent="0.2">
      <c r="A1433" s="62"/>
      <c r="B1433" s="62"/>
      <c r="C1433" s="62"/>
      <c r="D1433" s="62"/>
      <c r="E1433" s="62"/>
      <c r="F1433" s="62"/>
      <c r="G1433" s="62"/>
      <c r="H1433" s="62"/>
      <c r="I1433" s="62"/>
      <c r="J1433" s="62"/>
      <c r="K1433" s="200">
        <f>H1433</f>
        <v>0</v>
      </c>
    </row>
    <row r="1434" spans="1:11" x14ac:dyDescent="0.2">
      <c r="A1434" s="62"/>
      <c r="B1434" s="62"/>
      <c r="C1434" s="62"/>
      <c r="D1434" s="62"/>
      <c r="E1434" s="62"/>
      <c r="F1434" s="62"/>
      <c r="G1434" s="62"/>
      <c r="H1434" s="62"/>
      <c r="I1434" s="62"/>
      <c r="J1434" s="62"/>
      <c r="K1434" s="200">
        <f t="shared" si="35"/>
        <v>0</v>
      </c>
    </row>
    <row r="1435" spans="1:11" x14ac:dyDescent="0.2">
      <c r="A1435" s="62"/>
      <c r="B1435" s="62"/>
      <c r="C1435" s="62"/>
      <c r="D1435" s="62"/>
      <c r="E1435" s="62"/>
      <c r="F1435" s="62"/>
      <c r="G1435" s="62"/>
      <c r="H1435" s="62"/>
      <c r="I1435" s="62"/>
      <c r="J1435" s="62"/>
      <c r="K1435" s="200">
        <f t="shared" si="35"/>
        <v>0</v>
      </c>
    </row>
    <row r="1436" spans="1:11" x14ac:dyDescent="0.2">
      <c r="A1436" s="62"/>
      <c r="B1436" s="62"/>
      <c r="C1436" s="62"/>
      <c r="D1436" s="62"/>
      <c r="E1436" s="62"/>
      <c r="F1436" s="62"/>
      <c r="G1436" s="62"/>
      <c r="H1436" s="62"/>
      <c r="I1436" s="62"/>
      <c r="J1436" s="62"/>
      <c r="K1436" s="200">
        <f t="shared" si="35"/>
        <v>0</v>
      </c>
    </row>
    <row r="1437" spans="1:11" x14ac:dyDescent="0.2">
      <c r="A1437" s="62"/>
      <c r="B1437" s="62"/>
      <c r="C1437" s="62"/>
      <c r="D1437" s="62"/>
      <c r="E1437" s="62"/>
      <c r="F1437" s="62"/>
      <c r="G1437" s="62"/>
      <c r="H1437" s="62"/>
      <c r="I1437" s="62"/>
      <c r="J1437" s="62"/>
      <c r="K1437" s="200">
        <f t="shared" si="35"/>
        <v>0</v>
      </c>
    </row>
    <row r="1438" spans="1:11" x14ac:dyDescent="0.2">
      <c r="A1438" s="62"/>
      <c r="B1438" s="62"/>
      <c r="C1438" s="62"/>
      <c r="D1438" s="62"/>
      <c r="E1438" s="62"/>
      <c r="F1438" s="62"/>
      <c r="G1438" s="62"/>
      <c r="H1438" s="62"/>
      <c r="I1438" s="62"/>
      <c r="J1438" s="62"/>
      <c r="K1438" s="200">
        <f t="shared" si="35"/>
        <v>0</v>
      </c>
    </row>
    <row r="1439" spans="1:11" x14ac:dyDescent="0.2">
      <c r="A1439" s="62"/>
      <c r="B1439" s="62"/>
      <c r="C1439" s="62"/>
      <c r="D1439" s="62"/>
      <c r="E1439" s="62"/>
      <c r="F1439" s="62"/>
      <c r="G1439" s="62"/>
      <c r="H1439" s="62"/>
      <c r="I1439" s="62"/>
      <c r="J1439" s="62"/>
      <c r="K1439" s="200">
        <f t="shared" si="35"/>
        <v>0</v>
      </c>
    </row>
    <row r="1440" spans="1:11" x14ac:dyDescent="0.2">
      <c r="A1440" s="62"/>
      <c r="B1440" s="62"/>
      <c r="C1440" s="62"/>
      <c r="D1440" s="62"/>
      <c r="E1440" s="62"/>
      <c r="F1440" s="62"/>
      <c r="G1440" s="62"/>
      <c r="H1440" s="62"/>
      <c r="I1440" s="62"/>
      <c r="J1440" s="62"/>
      <c r="K1440" s="200">
        <f t="shared" si="35"/>
        <v>0</v>
      </c>
    </row>
    <row r="1441" spans="1:11" x14ac:dyDescent="0.2">
      <c r="A1441" s="62"/>
      <c r="B1441" s="62"/>
      <c r="C1441" s="62"/>
      <c r="D1441" s="62"/>
      <c r="E1441" s="62"/>
      <c r="F1441" s="62"/>
      <c r="G1441" s="62"/>
      <c r="H1441" s="62"/>
      <c r="I1441" s="62"/>
      <c r="J1441" s="62"/>
      <c r="K1441" s="200">
        <f t="shared" si="35"/>
        <v>0</v>
      </c>
    </row>
    <row r="1442" spans="1:11" x14ac:dyDescent="0.2">
      <c r="A1442" s="62"/>
      <c r="B1442" s="62"/>
      <c r="C1442" s="62"/>
      <c r="D1442" s="62"/>
      <c r="E1442" s="62"/>
      <c r="F1442" s="62"/>
      <c r="G1442" s="62"/>
      <c r="H1442" s="62"/>
      <c r="I1442" s="62"/>
      <c r="J1442" s="62"/>
      <c r="K1442" s="200">
        <f t="shared" si="35"/>
        <v>0</v>
      </c>
    </row>
    <row r="1443" spans="1:11" x14ac:dyDescent="0.2">
      <c r="A1443" s="62"/>
      <c r="B1443" s="62"/>
      <c r="C1443" s="62"/>
      <c r="D1443" s="62"/>
      <c r="E1443" s="62"/>
      <c r="F1443" s="62"/>
      <c r="G1443" s="62"/>
      <c r="H1443" s="62"/>
      <c r="I1443" s="62"/>
      <c r="J1443" s="62"/>
      <c r="K1443" s="200">
        <f t="shared" si="35"/>
        <v>0</v>
      </c>
    </row>
    <row r="1444" spans="1:11" x14ac:dyDescent="0.2">
      <c r="A1444" s="62"/>
      <c r="B1444" s="62"/>
      <c r="C1444" s="62"/>
      <c r="D1444" s="62"/>
      <c r="E1444" s="62"/>
      <c r="F1444" s="62"/>
      <c r="G1444" s="62"/>
      <c r="H1444" s="62"/>
      <c r="I1444" s="62"/>
      <c r="J1444" s="62"/>
      <c r="K1444" s="200">
        <f t="shared" si="35"/>
        <v>0</v>
      </c>
    </row>
    <row r="1445" spans="1:11" x14ac:dyDescent="0.2">
      <c r="A1445" s="62"/>
      <c r="B1445" s="62"/>
      <c r="C1445" s="62"/>
      <c r="D1445" s="62"/>
      <c r="E1445" s="62"/>
      <c r="F1445" s="62"/>
      <c r="G1445" s="62"/>
      <c r="H1445" s="62"/>
      <c r="I1445" s="62"/>
      <c r="J1445" s="62"/>
      <c r="K1445" s="200">
        <f t="shared" si="35"/>
        <v>0</v>
      </c>
    </row>
    <row r="1446" spans="1:11" x14ac:dyDescent="0.2">
      <c r="A1446" s="62"/>
      <c r="B1446" s="62"/>
      <c r="C1446" s="62"/>
      <c r="D1446" s="62"/>
      <c r="E1446" s="62"/>
      <c r="F1446" s="62"/>
      <c r="G1446" s="62"/>
      <c r="H1446" s="62"/>
      <c r="I1446" s="62"/>
      <c r="J1446" s="62"/>
      <c r="K1446" s="200">
        <f t="shared" si="35"/>
        <v>0</v>
      </c>
    </row>
    <row r="1447" spans="1:11" x14ac:dyDescent="0.2">
      <c r="A1447" s="62"/>
      <c r="B1447" s="62"/>
      <c r="C1447" s="62"/>
      <c r="D1447" s="62"/>
      <c r="E1447" s="62"/>
      <c r="F1447" s="62"/>
      <c r="G1447" s="62"/>
      <c r="H1447" s="62"/>
      <c r="I1447" s="62"/>
      <c r="J1447" s="62"/>
      <c r="K1447" s="200">
        <f t="shared" si="35"/>
        <v>0</v>
      </c>
    </row>
    <row r="1448" spans="1:11" x14ac:dyDescent="0.2">
      <c r="A1448" s="62"/>
      <c r="B1448" s="62"/>
      <c r="C1448" s="62"/>
      <c r="D1448" s="62"/>
      <c r="E1448" s="62"/>
      <c r="F1448" s="62"/>
      <c r="G1448" s="62"/>
      <c r="H1448" s="62"/>
      <c r="I1448" s="62"/>
      <c r="J1448" s="62"/>
      <c r="K1448" s="200">
        <f t="shared" si="35"/>
        <v>0</v>
      </c>
    </row>
    <row r="1449" spans="1:11" x14ac:dyDescent="0.2">
      <c r="A1449" s="62"/>
      <c r="B1449" s="62"/>
      <c r="C1449" s="62"/>
      <c r="D1449" s="62"/>
      <c r="E1449" s="62"/>
      <c r="F1449" s="62"/>
      <c r="G1449" s="62"/>
      <c r="H1449" s="62"/>
      <c r="I1449" s="62"/>
      <c r="J1449" s="62"/>
      <c r="K1449" s="200">
        <f t="shared" si="35"/>
        <v>0</v>
      </c>
    </row>
    <row r="1450" spans="1:11" x14ac:dyDescent="0.2">
      <c r="A1450" s="62"/>
      <c r="B1450" s="62"/>
      <c r="C1450" s="62"/>
      <c r="D1450" s="62"/>
      <c r="E1450" s="62"/>
      <c r="F1450" s="62"/>
      <c r="G1450" s="62"/>
      <c r="H1450" s="62"/>
      <c r="I1450" s="62"/>
      <c r="J1450" s="62"/>
      <c r="K1450" s="200">
        <f t="shared" si="35"/>
        <v>0</v>
      </c>
    </row>
    <row r="1451" spans="1:11" x14ac:dyDescent="0.2">
      <c r="A1451" s="62"/>
      <c r="B1451" s="62"/>
      <c r="C1451" s="62"/>
      <c r="D1451" s="62"/>
      <c r="E1451" s="62"/>
      <c r="F1451" s="62"/>
      <c r="G1451" s="62"/>
      <c r="H1451" s="62"/>
      <c r="I1451" s="62"/>
      <c r="J1451" s="62"/>
      <c r="K1451" s="200">
        <f t="shared" si="35"/>
        <v>0</v>
      </c>
    </row>
    <row r="1452" spans="1:11" x14ac:dyDescent="0.2">
      <c r="A1452" s="62"/>
      <c r="B1452" s="62"/>
      <c r="C1452" s="62"/>
      <c r="D1452" s="62"/>
      <c r="E1452" s="62"/>
      <c r="F1452" s="62"/>
      <c r="G1452" s="62"/>
      <c r="H1452" s="62"/>
      <c r="I1452" s="62"/>
      <c r="J1452" s="62"/>
      <c r="K1452" s="200">
        <f t="shared" si="35"/>
        <v>0</v>
      </c>
    </row>
    <row r="1453" spans="1:11" x14ac:dyDescent="0.2">
      <c r="A1453" s="62"/>
      <c r="B1453" s="62"/>
      <c r="C1453" s="62"/>
      <c r="D1453" s="62"/>
      <c r="E1453" s="62"/>
      <c r="F1453" s="62"/>
      <c r="G1453" s="62"/>
      <c r="H1453" s="62"/>
      <c r="I1453" s="62"/>
      <c r="J1453" s="62"/>
      <c r="K1453" s="200">
        <f t="shared" si="35"/>
        <v>0</v>
      </c>
    </row>
    <row r="1454" spans="1:11" x14ac:dyDescent="0.2">
      <c r="A1454" s="62"/>
      <c r="B1454" s="62"/>
      <c r="C1454" s="62"/>
      <c r="D1454" s="62"/>
      <c r="E1454" s="62"/>
      <c r="F1454" s="62"/>
      <c r="G1454" s="62"/>
      <c r="H1454" s="62"/>
      <c r="I1454" s="62"/>
      <c r="J1454" s="62"/>
      <c r="K1454" s="200">
        <f t="shared" si="35"/>
        <v>0</v>
      </c>
    </row>
    <row r="1455" spans="1:11" x14ac:dyDescent="0.2">
      <c r="A1455" s="62"/>
      <c r="B1455" s="62"/>
      <c r="C1455" s="62"/>
      <c r="D1455" s="62"/>
      <c r="E1455" s="62"/>
      <c r="F1455" s="62"/>
      <c r="G1455" s="62"/>
      <c r="H1455" s="62"/>
      <c r="I1455" s="62"/>
      <c r="J1455" s="62"/>
      <c r="K1455" s="200">
        <f t="shared" si="35"/>
        <v>0</v>
      </c>
    </row>
    <row r="1456" spans="1:11" x14ac:dyDescent="0.2">
      <c r="A1456" s="62"/>
      <c r="B1456" s="62"/>
      <c r="C1456" s="62"/>
      <c r="D1456" s="62"/>
      <c r="E1456" s="62"/>
      <c r="F1456" s="62"/>
      <c r="G1456" s="62"/>
      <c r="H1456" s="62"/>
      <c r="I1456" s="62"/>
      <c r="J1456" s="62"/>
      <c r="K1456" s="200">
        <f>H1456</f>
        <v>0</v>
      </c>
    </row>
    <row r="1457" spans="1:11" x14ac:dyDescent="0.2">
      <c r="A1457" s="62"/>
      <c r="B1457" s="62"/>
      <c r="C1457" s="62"/>
      <c r="D1457" s="62"/>
      <c r="E1457" s="62"/>
      <c r="F1457" s="62"/>
      <c r="G1457" s="62"/>
      <c r="H1457" s="62"/>
      <c r="I1457" s="62"/>
      <c r="J1457" s="62"/>
      <c r="K1457" s="200">
        <f t="shared" si="35"/>
        <v>0</v>
      </c>
    </row>
    <row r="1458" spans="1:11" x14ac:dyDescent="0.2">
      <c r="A1458" s="62"/>
      <c r="B1458" s="62"/>
      <c r="C1458" s="62"/>
      <c r="D1458" s="62"/>
      <c r="E1458" s="62"/>
      <c r="F1458" s="62"/>
      <c r="G1458" s="62"/>
      <c r="H1458" s="62"/>
      <c r="I1458" s="62"/>
      <c r="J1458" s="62"/>
      <c r="K1458" s="200">
        <f>H1458</f>
        <v>0</v>
      </c>
    </row>
    <row r="1459" spans="1:11" x14ac:dyDescent="0.2">
      <c r="A1459" s="62"/>
      <c r="B1459" s="62"/>
      <c r="C1459" s="62"/>
      <c r="D1459" s="62"/>
      <c r="E1459" s="62"/>
      <c r="F1459" s="62"/>
      <c r="G1459" s="62"/>
      <c r="H1459" s="62"/>
      <c r="I1459" s="62"/>
      <c r="J1459" s="62"/>
      <c r="K1459" s="200">
        <f t="shared" si="35"/>
        <v>0</v>
      </c>
    </row>
    <row r="1460" spans="1:11" x14ac:dyDescent="0.2">
      <c r="A1460" s="62"/>
      <c r="B1460" s="62"/>
      <c r="C1460" s="62"/>
      <c r="D1460" s="62"/>
      <c r="E1460" s="62"/>
      <c r="F1460" s="62"/>
      <c r="G1460" s="62"/>
      <c r="H1460" s="62"/>
      <c r="I1460" s="62"/>
      <c r="J1460" s="62"/>
      <c r="K1460" s="200">
        <f t="shared" si="35"/>
        <v>0</v>
      </c>
    </row>
    <row r="1461" spans="1:11" x14ac:dyDescent="0.2">
      <c r="A1461" s="62"/>
      <c r="B1461" s="62"/>
      <c r="C1461" s="62"/>
      <c r="D1461" s="62"/>
      <c r="E1461" s="62"/>
      <c r="F1461" s="62"/>
      <c r="G1461" s="62"/>
      <c r="H1461" s="62"/>
      <c r="I1461" s="62"/>
      <c r="J1461" s="62"/>
      <c r="K1461" s="200">
        <f t="shared" si="35"/>
        <v>0</v>
      </c>
    </row>
    <row r="1462" spans="1:11" x14ac:dyDescent="0.2">
      <c r="A1462" s="62"/>
      <c r="B1462" s="62"/>
      <c r="C1462" s="62"/>
      <c r="D1462" s="62"/>
      <c r="E1462" s="62"/>
      <c r="F1462" s="62"/>
      <c r="G1462" s="62"/>
      <c r="H1462" s="62"/>
      <c r="I1462" s="62"/>
      <c r="J1462" s="62"/>
      <c r="K1462" s="200">
        <f t="shared" si="35"/>
        <v>0</v>
      </c>
    </row>
    <row r="1463" spans="1:11" x14ac:dyDescent="0.2">
      <c r="A1463" s="62"/>
      <c r="B1463" s="62"/>
      <c r="C1463" s="62"/>
      <c r="D1463" s="62"/>
      <c r="E1463" s="62"/>
      <c r="F1463" s="62"/>
      <c r="G1463" s="62"/>
      <c r="H1463" s="62"/>
      <c r="I1463" s="62"/>
      <c r="J1463" s="62"/>
      <c r="K1463" s="200">
        <f t="shared" si="35"/>
        <v>0</v>
      </c>
    </row>
    <row r="1464" spans="1:11" x14ac:dyDescent="0.2">
      <c r="A1464" s="62"/>
      <c r="B1464" s="62"/>
      <c r="C1464" s="62"/>
      <c r="D1464" s="62"/>
      <c r="E1464" s="62"/>
      <c r="F1464" s="62"/>
      <c r="G1464" s="62"/>
      <c r="H1464" s="62"/>
      <c r="I1464" s="62"/>
      <c r="J1464" s="62"/>
      <c r="K1464" s="200">
        <f t="shared" si="35"/>
        <v>0</v>
      </c>
    </row>
    <row r="1465" spans="1:11" x14ac:dyDescent="0.2">
      <c r="A1465" s="62"/>
      <c r="B1465" s="62"/>
      <c r="C1465" s="62"/>
      <c r="D1465" s="62"/>
      <c r="E1465" s="62"/>
      <c r="F1465" s="62"/>
      <c r="G1465" s="62"/>
      <c r="H1465" s="62"/>
      <c r="I1465" s="62"/>
      <c r="J1465" s="62"/>
      <c r="K1465" s="200">
        <f>SUM(H1465:H1468)</f>
        <v>0</v>
      </c>
    </row>
    <row r="1466" spans="1:11" x14ac:dyDescent="0.2">
      <c r="A1466" s="62"/>
      <c r="B1466" s="62"/>
      <c r="C1466" s="62"/>
      <c r="D1466" s="62"/>
      <c r="E1466" s="62"/>
      <c r="F1466" s="62"/>
      <c r="G1466" s="62"/>
      <c r="H1466" s="62"/>
      <c r="I1466" s="62"/>
      <c r="J1466" s="62"/>
      <c r="K1466" s="200"/>
    </row>
    <row r="1467" spans="1:11" x14ac:dyDescent="0.2">
      <c r="A1467" s="62"/>
      <c r="B1467" s="62"/>
      <c r="C1467" s="62"/>
      <c r="D1467" s="62"/>
      <c r="E1467" s="62"/>
      <c r="F1467" s="62"/>
      <c r="G1467" s="62"/>
      <c r="H1467" s="62"/>
      <c r="I1467" s="62"/>
      <c r="J1467" s="62"/>
      <c r="K1467" s="200"/>
    </row>
    <row r="1468" spans="1:11" x14ac:dyDescent="0.2">
      <c r="A1468" s="62"/>
      <c r="B1468" s="62"/>
      <c r="C1468" s="62"/>
      <c r="D1468" s="62"/>
      <c r="E1468" s="62"/>
      <c r="F1468" s="62"/>
      <c r="G1468" s="62"/>
      <c r="H1468" s="62"/>
      <c r="I1468" s="62"/>
      <c r="J1468" s="62"/>
      <c r="K1468" s="200"/>
    </row>
    <row r="1469" spans="1:11" x14ac:dyDescent="0.2">
      <c r="A1469" s="62"/>
      <c r="B1469" s="62"/>
      <c r="C1469" s="62"/>
      <c r="D1469" s="62"/>
      <c r="E1469" s="62"/>
      <c r="F1469" s="62"/>
      <c r="G1469" s="62"/>
      <c r="H1469" s="62"/>
      <c r="I1469" s="62"/>
      <c r="J1469" s="62"/>
      <c r="K1469" s="200">
        <f t="shared" si="35"/>
        <v>0</v>
      </c>
    </row>
    <row r="1470" spans="1:11" x14ac:dyDescent="0.2">
      <c r="A1470" s="62"/>
      <c r="B1470" s="62"/>
      <c r="C1470" s="62"/>
      <c r="D1470" s="62"/>
      <c r="E1470" s="62"/>
      <c r="F1470" s="62"/>
      <c r="G1470" s="62"/>
      <c r="H1470" s="62"/>
      <c r="I1470" s="62"/>
      <c r="J1470" s="62"/>
      <c r="K1470" s="200">
        <f t="shared" si="35"/>
        <v>0</v>
      </c>
    </row>
    <row r="1471" spans="1:11" x14ac:dyDescent="0.2">
      <c r="A1471" s="62"/>
      <c r="B1471" s="62"/>
      <c r="C1471" s="62"/>
      <c r="D1471" s="62"/>
      <c r="E1471" s="62"/>
      <c r="F1471" s="62"/>
      <c r="G1471" s="62"/>
      <c r="H1471" s="62"/>
      <c r="I1471" s="62"/>
      <c r="J1471" s="62"/>
      <c r="K1471" s="200">
        <f t="shared" si="35"/>
        <v>0</v>
      </c>
    </row>
    <row r="1472" spans="1:11" x14ac:dyDescent="0.2">
      <c r="A1472" s="62"/>
      <c r="B1472" s="62"/>
      <c r="C1472" s="62"/>
      <c r="D1472" s="62"/>
      <c r="E1472" s="62"/>
      <c r="F1472" s="62"/>
      <c r="G1472" s="62"/>
      <c r="H1472" s="62"/>
      <c r="I1472" s="62"/>
      <c r="J1472" s="62"/>
      <c r="K1472" s="200">
        <f t="shared" si="35"/>
        <v>0</v>
      </c>
    </row>
    <row r="1473" spans="1:11" x14ac:dyDescent="0.2">
      <c r="A1473" s="62"/>
      <c r="B1473" s="62"/>
      <c r="C1473" s="62"/>
      <c r="D1473" s="62"/>
      <c r="E1473" s="62"/>
      <c r="F1473" s="62"/>
      <c r="G1473" s="62"/>
      <c r="H1473" s="62"/>
      <c r="I1473" s="62"/>
      <c r="J1473" s="62"/>
      <c r="K1473" s="200">
        <f t="shared" si="35"/>
        <v>0</v>
      </c>
    </row>
    <row r="1474" spans="1:11" x14ac:dyDescent="0.2">
      <c r="A1474" s="62"/>
      <c r="B1474" s="62"/>
      <c r="C1474" s="62"/>
      <c r="D1474" s="62"/>
      <c r="E1474" s="62"/>
      <c r="F1474" s="62"/>
      <c r="G1474" s="62"/>
      <c r="H1474" s="62"/>
      <c r="I1474" s="62"/>
      <c r="J1474" s="62"/>
      <c r="K1474" s="200">
        <f t="shared" si="35"/>
        <v>0</v>
      </c>
    </row>
    <row r="1475" spans="1:11" x14ac:dyDescent="0.2">
      <c r="A1475" s="62"/>
      <c r="B1475" s="62"/>
      <c r="C1475" s="62"/>
      <c r="D1475" s="62"/>
      <c r="E1475" s="62"/>
      <c r="F1475" s="62"/>
      <c r="G1475" s="62"/>
      <c r="H1475" s="62"/>
      <c r="I1475" s="62"/>
      <c r="J1475" s="62"/>
      <c r="K1475" s="200">
        <f t="shared" si="35"/>
        <v>0</v>
      </c>
    </row>
    <row r="1476" spans="1:11" x14ac:dyDescent="0.2">
      <c r="A1476" s="62"/>
      <c r="B1476" s="62"/>
      <c r="C1476" s="62"/>
      <c r="D1476" s="62"/>
      <c r="E1476" s="62"/>
      <c r="F1476" s="62"/>
      <c r="G1476" s="62"/>
      <c r="H1476" s="62"/>
      <c r="I1476" s="62"/>
      <c r="J1476" s="62"/>
      <c r="K1476" s="200">
        <f t="shared" si="35"/>
        <v>0</v>
      </c>
    </row>
    <row r="1477" spans="1:11" ht="12" x14ac:dyDescent="0.2">
      <c r="A1477" s="300" t="s">
        <v>3454</v>
      </c>
      <c r="B1477" s="301"/>
      <c r="C1477" s="301"/>
      <c r="D1477" s="301"/>
      <c r="E1477" s="301"/>
      <c r="F1477" s="301"/>
      <c r="G1477" s="302"/>
      <c r="H1477" s="205">
        <f>SUM(H1359:H1476)</f>
        <v>0</v>
      </c>
      <c r="I1477" s="303" t="s">
        <v>3454</v>
      </c>
      <c r="J1477" s="303"/>
      <c r="K1477" s="205">
        <f>SUM(K1359:K1476)</f>
        <v>0</v>
      </c>
    </row>
    <row r="1478" spans="1:11" ht="12" x14ac:dyDescent="0.2">
      <c r="A1478" s="300" t="s">
        <v>3455</v>
      </c>
      <c r="B1478" s="301"/>
      <c r="C1478" s="301"/>
      <c r="D1478" s="301"/>
      <c r="E1478" s="301"/>
      <c r="F1478" s="301"/>
      <c r="G1478" s="302"/>
      <c r="H1478" s="205">
        <f>H1346</f>
        <v>325000</v>
      </c>
      <c r="I1478" s="303" t="s">
        <v>3455</v>
      </c>
      <c r="J1478" s="303"/>
      <c r="K1478" s="205">
        <f>K1346</f>
        <v>325000</v>
      </c>
    </row>
    <row r="1479" spans="1:11" ht="12.75" thickBot="1" x14ac:dyDescent="0.25">
      <c r="A1479" s="304" t="s">
        <v>3456</v>
      </c>
      <c r="B1479" s="305"/>
      <c r="C1479" s="305"/>
      <c r="D1479" s="305"/>
      <c r="E1479" s="305"/>
      <c r="F1479" s="305"/>
      <c r="G1479" s="306"/>
      <c r="H1479" s="206">
        <f>SUM(H1477:H1478)</f>
        <v>325000</v>
      </c>
      <c r="I1479" s="307" t="s">
        <v>3456</v>
      </c>
      <c r="J1479" s="307"/>
      <c r="K1479" s="206">
        <f>SUM(K1477:K1478)</f>
        <v>325000</v>
      </c>
    </row>
    <row r="1480" spans="1:11" ht="12" x14ac:dyDescent="0.2">
      <c r="A1480" s="221"/>
      <c r="B1480" s="181"/>
      <c r="C1480" s="181"/>
      <c r="D1480" s="181"/>
      <c r="E1480" s="181"/>
      <c r="F1480" s="181"/>
      <c r="G1480" s="181"/>
      <c r="H1480" s="203"/>
      <c r="I1480" s="203"/>
      <c r="J1480" s="203"/>
      <c r="K1480" s="203"/>
    </row>
    <row r="1481" spans="1:11" ht="12" x14ac:dyDescent="0.2">
      <c r="A1481" s="222"/>
      <c r="H1481" s="182"/>
    </row>
    <row r="1482" spans="1:11" ht="12" x14ac:dyDescent="0.2">
      <c r="A1482" s="181"/>
      <c r="B1482" s="191"/>
      <c r="C1482" s="191"/>
      <c r="D1482" s="191"/>
      <c r="E1482" s="191"/>
      <c r="F1482" s="191"/>
      <c r="G1482" s="183"/>
      <c r="H1482" s="204"/>
      <c r="I1482" s="1"/>
      <c r="J1482" s="191" t="s">
        <v>3450</v>
      </c>
      <c r="K1482" s="191"/>
    </row>
    <row r="1483" spans="1:11" ht="12" x14ac:dyDescent="0.2">
      <c r="B1483" s="191"/>
      <c r="C1483" s="191"/>
      <c r="D1483" s="191"/>
      <c r="E1483" s="191"/>
      <c r="F1483" s="191"/>
      <c r="G1483" s="183"/>
      <c r="H1483" s="187"/>
      <c r="I1483" s="1"/>
      <c r="J1483" s="191" t="s">
        <v>3564</v>
      </c>
      <c r="K1483" s="191"/>
    </row>
    <row r="1484" spans="1:11" ht="12" x14ac:dyDescent="0.2">
      <c r="A1484" s="191"/>
      <c r="B1484" s="191"/>
      <c r="C1484" s="191"/>
      <c r="D1484" s="191"/>
      <c r="E1484" s="191"/>
      <c r="F1484" s="191"/>
      <c r="G1484" s="183" t="s">
        <v>3459</v>
      </c>
      <c r="H1484" s="187"/>
      <c r="I1484" s="1"/>
      <c r="J1484" s="191"/>
      <c r="K1484" s="191"/>
    </row>
    <row r="1485" spans="1:11" ht="12" x14ac:dyDescent="0.2">
      <c r="A1485" s="191"/>
      <c r="B1485" s="191"/>
      <c r="C1485" s="191"/>
      <c r="D1485" s="191"/>
      <c r="E1485" s="191"/>
      <c r="F1485" s="191"/>
      <c r="G1485" s="323"/>
      <c r="H1485" s="182">
        <f>H1484-H1477</f>
        <v>0</v>
      </c>
      <c r="I1485" s="1"/>
      <c r="J1485" s="191"/>
      <c r="K1485" s="191"/>
    </row>
    <row r="1486" spans="1:11" ht="12" x14ac:dyDescent="0.2">
      <c r="A1486" s="191"/>
      <c r="B1486" s="191"/>
      <c r="C1486" s="191"/>
      <c r="D1486" s="191"/>
      <c r="E1486" s="191"/>
      <c r="F1486" s="191"/>
      <c r="G1486" s="323"/>
      <c r="H1486" s="63"/>
      <c r="I1486" s="1"/>
      <c r="J1486" s="195" t="s">
        <v>3451</v>
      </c>
      <c r="K1486" s="191"/>
    </row>
  </sheetData>
  <mergeCells count="348">
    <mergeCell ref="G1485:G1486"/>
    <mergeCell ref="A1354:K1354"/>
    <mergeCell ref="A1356:B1356"/>
    <mergeCell ref="C1356:C1358"/>
    <mergeCell ref="D1356:E1356"/>
    <mergeCell ref="F1356:H1356"/>
    <mergeCell ref="I1356:K1356"/>
    <mergeCell ref="A1357:A1358"/>
    <mergeCell ref="B1357:B1358"/>
    <mergeCell ref="D1357:D1358"/>
    <mergeCell ref="E1357:E1358"/>
    <mergeCell ref="F1357:F1358"/>
    <mergeCell ref="G1357:G1358"/>
    <mergeCell ref="H1357:H1358"/>
    <mergeCell ref="I1357:I1358"/>
    <mergeCell ref="J1357:J1358"/>
    <mergeCell ref="K1357:K1358"/>
    <mergeCell ref="A1349:D1349"/>
    <mergeCell ref="I1349:K1349"/>
    <mergeCell ref="A1350:D1350"/>
    <mergeCell ref="I1350:K1350"/>
    <mergeCell ref="A1477:G1477"/>
    <mergeCell ref="I1477:J1477"/>
    <mergeCell ref="A1478:G1478"/>
    <mergeCell ref="I1478:J1478"/>
    <mergeCell ref="A1479:G1479"/>
    <mergeCell ref="I1479:J1479"/>
    <mergeCell ref="A1353:K1353"/>
    <mergeCell ref="A1253:K1253"/>
    <mergeCell ref="A1254:K1254"/>
    <mergeCell ref="A1256:B1256"/>
    <mergeCell ref="C1256:C1258"/>
    <mergeCell ref="D1256:E1256"/>
    <mergeCell ref="F1256:H1256"/>
    <mergeCell ref="I1256:K1256"/>
    <mergeCell ref="A1257:A1258"/>
    <mergeCell ref="B1257:B1258"/>
    <mergeCell ref="D1257:D1258"/>
    <mergeCell ref="E1257:E1258"/>
    <mergeCell ref="F1257:F1258"/>
    <mergeCell ref="G1257:G1258"/>
    <mergeCell ref="H1257:H1258"/>
    <mergeCell ref="I1257:I1258"/>
    <mergeCell ref="J1257:J1258"/>
    <mergeCell ref="K1257:K1258"/>
    <mergeCell ref="A1344:G1344"/>
    <mergeCell ref="I1344:J1344"/>
    <mergeCell ref="A1345:G1345"/>
    <mergeCell ref="I1345:J1345"/>
    <mergeCell ref="A1346:G1346"/>
    <mergeCell ref="I1346:J1346"/>
    <mergeCell ref="I1118:K1118"/>
    <mergeCell ref="I1119:K1119"/>
    <mergeCell ref="A1109:G1109"/>
    <mergeCell ref="I1109:J1109"/>
    <mergeCell ref="A1110:G1110"/>
    <mergeCell ref="I1110:J1110"/>
    <mergeCell ref="A1111:G1111"/>
    <mergeCell ref="I1111:J1111"/>
    <mergeCell ref="I1114:K1114"/>
    <mergeCell ref="I1116:K1116"/>
    <mergeCell ref="I1117:K1117"/>
    <mergeCell ref="I1115:K1115"/>
    <mergeCell ref="A1153:K1153"/>
    <mergeCell ref="A1154:K1154"/>
    <mergeCell ref="A1156:B1156"/>
    <mergeCell ref="C1156:C1158"/>
    <mergeCell ref="D1156:E1156"/>
    <mergeCell ref="F1156:H1156"/>
    <mergeCell ref="A1001:K1001"/>
    <mergeCell ref="A1002:K1002"/>
    <mergeCell ref="A1004:B1004"/>
    <mergeCell ref="C1004:C1006"/>
    <mergeCell ref="D1004:E1004"/>
    <mergeCell ref="F1004:H1004"/>
    <mergeCell ref="I1004:K1004"/>
    <mergeCell ref="A1005:A1006"/>
    <mergeCell ref="B1005:B1006"/>
    <mergeCell ref="D1005:D1006"/>
    <mergeCell ref="E1005:E1006"/>
    <mergeCell ref="F1005:F1006"/>
    <mergeCell ref="G1005:G1006"/>
    <mergeCell ref="H1005:H1006"/>
    <mergeCell ref="I1005:I1006"/>
    <mergeCell ref="J1005:J1006"/>
    <mergeCell ref="K1005:K1006"/>
    <mergeCell ref="A948:G948"/>
    <mergeCell ref="I948:J948"/>
    <mergeCell ref="I952:K952"/>
    <mergeCell ref="I953:K953"/>
    <mergeCell ref="I657:K657"/>
    <mergeCell ref="I658:K658"/>
    <mergeCell ref="A649:G649"/>
    <mergeCell ref="I649:J649"/>
    <mergeCell ref="A650:G650"/>
    <mergeCell ref="I650:J650"/>
    <mergeCell ref="A651:G651"/>
    <mergeCell ref="I651:J651"/>
    <mergeCell ref="I654:K654"/>
    <mergeCell ref="I655:K655"/>
    <mergeCell ref="I656:K656"/>
    <mergeCell ref="A676:G676"/>
    <mergeCell ref="I676:J676"/>
    <mergeCell ref="A677:G677"/>
    <mergeCell ref="I677:J677"/>
    <mergeCell ref="A678:G678"/>
    <mergeCell ref="I678:J678"/>
    <mergeCell ref="A693:K693"/>
    <mergeCell ref="A694:K694"/>
    <mergeCell ref="A696:B696"/>
    <mergeCell ref="A551:K551"/>
    <mergeCell ref="A552:K552"/>
    <mergeCell ref="A554:B554"/>
    <mergeCell ref="C554:C556"/>
    <mergeCell ref="D554:E554"/>
    <mergeCell ref="F554:H554"/>
    <mergeCell ref="I554:K554"/>
    <mergeCell ref="A555:A556"/>
    <mergeCell ref="B555:B556"/>
    <mergeCell ref="D555:D556"/>
    <mergeCell ref="E555:E556"/>
    <mergeCell ref="F555:F556"/>
    <mergeCell ref="G555:G556"/>
    <mergeCell ref="H555:H556"/>
    <mergeCell ref="I555:I556"/>
    <mergeCell ref="J555:J556"/>
    <mergeCell ref="K555:K556"/>
    <mergeCell ref="A445:G445"/>
    <mergeCell ref="I445:J445"/>
    <mergeCell ref="K353:K354"/>
    <mergeCell ref="A443:G443"/>
    <mergeCell ref="I443:J443"/>
    <mergeCell ref="A444:G444"/>
    <mergeCell ref="I444:J444"/>
    <mergeCell ref="A349:K349"/>
    <mergeCell ref="A350:K350"/>
    <mergeCell ref="A352:B352"/>
    <mergeCell ref="C352:C354"/>
    <mergeCell ref="D352:E352"/>
    <mergeCell ref="F352:H352"/>
    <mergeCell ref="I352:K352"/>
    <mergeCell ref="A353:A354"/>
    <mergeCell ref="B353:B354"/>
    <mergeCell ref="D353:D354"/>
    <mergeCell ref="E353:E354"/>
    <mergeCell ref="F353:F354"/>
    <mergeCell ref="G353:G354"/>
    <mergeCell ref="H353:H354"/>
    <mergeCell ref="I353:I354"/>
    <mergeCell ref="J353:J354"/>
    <mergeCell ref="A332:G332"/>
    <mergeCell ref="I332:J332"/>
    <mergeCell ref="K253:K254"/>
    <mergeCell ref="A330:G330"/>
    <mergeCell ref="I330:J330"/>
    <mergeCell ref="A331:G331"/>
    <mergeCell ref="I331:J331"/>
    <mergeCell ref="A249:K249"/>
    <mergeCell ref="A250:K250"/>
    <mergeCell ref="A252:B252"/>
    <mergeCell ref="C252:C254"/>
    <mergeCell ref="D252:E252"/>
    <mergeCell ref="F252:H252"/>
    <mergeCell ref="I252:K252"/>
    <mergeCell ref="A253:A254"/>
    <mergeCell ref="B253:B254"/>
    <mergeCell ref="D253:D254"/>
    <mergeCell ref="E253:E254"/>
    <mergeCell ref="F253:F254"/>
    <mergeCell ref="G253:G254"/>
    <mergeCell ref="H253:H254"/>
    <mergeCell ref="I253:I254"/>
    <mergeCell ref="J253:J254"/>
    <mergeCell ref="A219:D219"/>
    <mergeCell ref="I219:K219"/>
    <mergeCell ref="I220:K220"/>
    <mergeCell ref="A211:G211"/>
    <mergeCell ref="I211:J211"/>
    <mergeCell ref="A212:G212"/>
    <mergeCell ref="I212:J212"/>
    <mergeCell ref="A216:D216"/>
    <mergeCell ref="I216:K216"/>
    <mergeCell ref="A217:D217"/>
    <mergeCell ref="I217:K217"/>
    <mergeCell ref="A218:D218"/>
    <mergeCell ref="I218:K218"/>
    <mergeCell ref="A101:K101"/>
    <mergeCell ref="A102:K102"/>
    <mergeCell ref="A104:B104"/>
    <mergeCell ref="C104:C106"/>
    <mergeCell ref="D104:E104"/>
    <mergeCell ref="F104:H104"/>
    <mergeCell ref="I104:K104"/>
    <mergeCell ref="A105:A106"/>
    <mergeCell ref="B105:B106"/>
    <mergeCell ref="D105:D106"/>
    <mergeCell ref="E105:E106"/>
    <mergeCell ref="F105:F106"/>
    <mergeCell ref="G105:G106"/>
    <mergeCell ref="H105:H106"/>
    <mergeCell ref="I105:I106"/>
    <mergeCell ref="J105:J106"/>
    <mergeCell ref="A82:G82"/>
    <mergeCell ref="A3:K3"/>
    <mergeCell ref="A4:K4"/>
    <mergeCell ref="A6:B6"/>
    <mergeCell ref="D6:E6"/>
    <mergeCell ref="A7:A8"/>
    <mergeCell ref="B7:B8"/>
    <mergeCell ref="F7:F8"/>
    <mergeCell ref="G7:G8"/>
    <mergeCell ref="H7:H8"/>
    <mergeCell ref="F6:H6"/>
    <mergeCell ref="I6:K6"/>
    <mergeCell ref="E7:E8"/>
    <mergeCell ref="D7:D8"/>
    <mergeCell ref="C6:C8"/>
    <mergeCell ref="I7:I8"/>
    <mergeCell ref="J7:J8"/>
    <mergeCell ref="K7:K8"/>
    <mergeCell ref="I82:J82"/>
    <mergeCell ref="I85:K85"/>
    <mergeCell ref="A85:D85"/>
    <mergeCell ref="A450:K450"/>
    <mergeCell ref="A451:K451"/>
    <mergeCell ref="A453:B453"/>
    <mergeCell ref="C453:C455"/>
    <mergeCell ref="D453:E453"/>
    <mergeCell ref="F453:H453"/>
    <mergeCell ref="I453:K453"/>
    <mergeCell ref="A454:A455"/>
    <mergeCell ref="B454:B455"/>
    <mergeCell ref="D454:D455"/>
    <mergeCell ref="E454:E455"/>
    <mergeCell ref="F454:F455"/>
    <mergeCell ref="G454:G455"/>
    <mergeCell ref="H454:H455"/>
    <mergeCell ref="I454:I455"/>
    <mergeCell ref="J454:J455"/>
    <mergeCell ref="K454:K455"/>
    <mergeCell ref="K105:K106"/>
    <mergeCell ref="A210:G210"/>
    <mergeCell ref="I210:J210"/>
    <mergeCell ref="A215:D215"/>
    <mergeCell ref="I215:K215"/>
    <mergeCell ref="A546:D546"/>
    <mergeCell ref="I546:K546"/>
    <mergeCell ref="A547:D547"/>
    <mergeCell ref="I547:K547"/>
    <mergeCell ref="A548:D548"/>
    <mergeCell ref="I548:K548"/>
    <mergeCell ref="A540:G540"/>
    <mergeCell ref="I540:J540"/>
    <mergeCell ref="A541:G541"/>
    <mergeCell ref="I541:J541"/>
    <mergeCell ref="A542:G542"/>
    <mergeCell ref="I542:J542"/>
    <mergeCell ref="A544:D544"/>
    <mergeCell ref="I544:K544"/>
    <mergeCell ref="A545:D545"/>
    <mergeCell ref="I545:K545"/>
    <mergeCell ref="A854:B854"/>
    <mergeCell ref="C696:C698"/>
    <mergeCell ref="D696:E696"/>
    <mergeCell ref="F696:H696"/>
    <mergeCell ref="I696:K696"/>
    <mergeCell ref="A697:A698"/>
    <mergeCell ref="B697:B698"/>
    <mergeCell ref="D697:D698"/>
    <mergeCell ref="E697:E698"/>
    <mergeCell ref="F697:F698"/>
    <mergeCell ref="G697:G698"/>
    <mergeCell ref="H697:H698"/>
    <mergeCell ref="I697:I698"/>
    <mergeCell ref="J697:J698"/>
    <mergeCell ref="K697:K698"/>
    <mergeCell ref="K855:K856"/>
    <mergeCell ref="A950:G950"/>
    <mergeCell ref="I950:J950"/>
    <mergeCell ref="A701:K701"/>
    <mergeCell ref="A702:K702"/>
    <mergeCell ref="A704:B704"/>
    <mergeCell ref="C704:C706"/>
    <mergeCell ref="D704:E704"/>
    <mergeCell ref="F704:H704"/>
    <mergeCell ref="I704:K704"/>
    <mergeCell ref="A705:A706"/>
    <mergeCell ref="B705:B706"/>
    <mergeCell ref="D705:D706"/>
    <mergeCell ref="E705:E706"/>
    <mergeCell ref="F705:F706"/>
    <mergeCell ref="G705:G706"/>
    <mergeCell ref="H705:H706"/>
    <mergeCell ref="I705:I706"/>
    <mergeCell ref="J705:J706"/>
    <mergeCell ref="K705:K706"/>
    <mergeCell ref="A797:G797"/>
    <mergeCell ref="I797:J797"/>
    <mergeCell ref="A851:K851"/>
    <mergeCell ref="A852:K852"/>
    <mergeCell ref="K1157:K1158"/>
    <mergeCell ref="A798:G798"/>
    <mergeCell ref="I798:J798"/>
    <mergeCell ref="A799:G799"/>
    <mergeCell ref="I799:J799"/>
    <mergeCell ref="I802:K802"/>
    <mergeCell ref="I803:K803"/>
    <mergeCell ref="A804:D804"/>
    <mergeCell ref="L913:M913"/>
    <mergeCell ref="A949:G949"/>
    <mergeCell ref="I949:J949"/>
    <mergeCell ref="C854:C856"/>
    <mergeCell ref="D854:E854"/>
    <mergeCell ref="F854:H854"/>
    <mergeCell ref="I854:K854"/>
    <mergeCell ref="A855:A856"/>
    <mergeCell ref="B855:B856"/>
    <mergeCell ref="D855:D856"/>
    <mergeCell ref="E855:E856"/>
    <mergeCell ref="F855:F856"/>
    <mergeCell ref="G855:G856"/>
    <mergeCell ref="H855:H856"/>
    <mergeCell ref="I855:I856"/>
    <mergeCell ref="J855:J856"/>
    <mergeCell ref="L9:L10"/>
    <mergeCell ref="I1243:K1243"/>
    <mergeCell ref="I1244:K1244"/>
    <mergeCell ref="I1245:K1245"/>
    <mergeCell ref="A1236:G1236"/>
    <mergeCell ref="I1236:J1236"/>
    <mergeCell ref="A1237:G1237"/>
    <mergeCell ref="I1237:J1237"/>
    <mergeCell ref="A1238:G1238"/>
    <mergeCell ref="I1238:J1238"/>
    <mergeCell ref="A1241:D1241"/>
    <mergeCell ref="I1241:K1241"/>
    <mergeCell ref="A1242:D1242"/>
    <mergeCell ref="I1242:K1242"/>
    <mergeCell ref="I1156:K1156"/>
    <mergeCell ref="A1157:A1158"/>
    <mergeCell ref="B1157:B1158"/>
    <mergeCell ref="D1157:D1158"/>
    <mergeCell ref="E1157:E1158"/>
    <mergeCell ref="F1157:F1158"/>
    <mergeCell ref="G1157:G1158"/>
    <mergeCell ref="H1157:H1158"/>
    <mergeCell ref="I1157:I1158"/>
    <mergeCell ref="J1157:J1158"/>
  </mergeCells>
  <phoneticPr fontId="5" type="noConversion"/>
  <pageMargins left="0.31496062992125984" right="0.31496062992125984" top="0.74803149606299213" bottom="0.74803149606299213" header="0.31496062992125984" footer="0.31496062992125984"/>
  <pageSetup paperSize="5" scale="90" orientation="landscape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M606"/>
  <sheetViews>
    <sheetView showWhiteSpace="0" view="pageLayout" workbookViewId="0">
      <selection activeCell="B15" sqref="B15:E16"/>
    </sheetView>
  </sheetViews>
  <sheetFormatPr defaultRowHeight="15" x14ac:dyDescent="0.25"/>
  <cols>
    <col min="1" max="1" width="5.7109375" style="3" customWidth="1"/>
    <col min="2" max="2" width="9.85546875" customWidth="1"/>
    <col min="3" max="3" width="4.85546875" customWidth="1"/>
    <col min="4" max="4" width="26.5703125" customWidth="1"/>
    <col min="5" max="5" width="6.42578125" customWidth="1"/>
    <col min="6" max="6" width="14.5703125" customWidth="1"/>
    <col min="7" max="7" width="15.28515625" customWidth="1"/>
    <col min="8" max="8" width="14.7109375" customWidth="1"/>
    <col min="9" max="9" width="11.140625" customWidth="1"/>
    <col min="10" max="10" width="10.5703125" customWidth="1"/>
    <col min="11" max="11" width="23.85546875" customWidth="1"/>
    <col min="12" max="12" width="18.140625" customWidth="1"/>
  </cols>
  <sheetData>
    <row r="1" spans="1:13" x14ac:dyDescent="0.25">
      <c r="A1" s="45" t="s">
        <v>0</v>
      </c>
      <c r="B1" s="45"/>
      <c r="C1" s="45"/>
      <c r="D1" s="9"/>
      <c r="E1" s="9"/>
      <c r="F1" s="9"/>
      <c r="G1" s="9"/>
      <c r="H1" s="9"/>
      <c r="I1" s="9"/>
      <c r="J1" s="9"/>
      <c r="K1" s="9"/>
      <c r="L1" s="9"/>
      <c r="M1" s="1"/>
    </row>
    <row r="2" spans="1:13" x14ac:dyDescent="0.25">
      <c r="A2" s="45" t="s">
        <v>1</v>
      </c>
      <c r="B2" s="45"/>
      <c r="C2" s="45"/>
      <c r="D2" s="9"/>
      <c r="E2" s="9"/>
      <c r="F2" s="9"/>
      <c r="G2" s="9"/>
      <c r="H2" s="9"/>
      <c r="I2" s="9"/>
      <c r="J2" s="9"/>
      <c r="K2" s="9"/>
      <c r="L2" s="9"/>
      <c r="M2" s="1"/>
    </row>
    <row r="3" spans="1:13" x14ac:dyDescent="0.25">
      <c r="A3" s="45" t="s">
        <v>11</v>
      </c>
      <c r="B3" s="45"/>
      <c r="C3" s="45"/>
      <c r="D3" s="9"/>
      <c r="E3" s="9"/>
      <c r="F3" s="9"/>
      <c r="G3" s="9"/>
      <c r="H3" s="9"/>
      <c r="I3" s="9"/>
      <c r="J3" s="9"/>
      <c r="K3" s="9"/>
      <c r="L3" s="9"/>
      <c r="M3" s="1"/>
    </row>
    <row r="4" spans="1:13" x14ac:dyDescent="0.25">
      <c r="A4" s="1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1"/>
    </row>
    <row r="5" spans="1:13" x14ac:dyDescent="0.25">
      <c r="A5" s="314" t="s">
        <v>50</v>
      </c>
      <c r="B5" s="314"/>
      <c r="C5" s="314"/>
      <c r="D5" s="314"/>
      <c r="E5" s="314"/>
      <c r="F5" s="314"/>
      <c r="G5" s="314"/>
      <c r="H5" s="9"/>
      <c r="I5" s="9"/>
      <c r="J5" s="9"/>
      <c r="K5" s="9"/>
      <c r="L5" s="9"/>
      <c r="M5" s="1"/>
    </row>
    <row r="6" spans="1:13" x14ac:dyDescent="0.25">
      <c r="A6" s="314" t="s">
        <v>3215</v>
      </c>
      <c r="B6" s="314"/>
      <c r="C6" s="314"/>
      <c r="D6" s="314"/>
      <c r="E6" s="314"/>
      <c r="F6" s="314"/>
      <c r="G6" s="314"/>
      <c r="H6" s="9"/>
      <c r="I6" s="9"/>
      <c r="J6" s="9"/>
      <c r="K6" s="9"/>
      <c r="L6" s="9"/>
      <c r="M6" s="1"/>
    </row>
    <row r="7" spans="1:13" ht="15.75" thickBot="1" x14ac:dyDescent="0.3">
      <c r="A7" s="19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27.75" customHeight="1" x14ac:dyDescent="0.25">
      <c r="A8" s="32" t="s">
        <v>46</v>
      </c>
      <c r="B8" s="48" t="s">
        <v>3</v>
      </c>
      <c r="C8" s="272" t="s">
        <v>4</v>
      </c>
      <c r="D8" s="272"/>
      <c r="E8" s="33" t="s">
        <v>47</v>
      </c>
      <c r="F8" s="33" t="s">
        <v>48</v>
      </c>
      <c r="G8" s="34" t="s">
        <v>49</v>
      </c>
      <c r="H8" s="9"/>
      <c r="I8" s="9"/>
      <c r="J8" s="9"/>
      <c r="K8" s="9"/>
      <c r="L8" s="9"/>
      <c r="M8" s="1"/>
    </row>
    <row r="9" spans="1:13" x14ac:dyDescent="0.25">
      <c r="A9" s="41"/>
      <c r="B9" s="24"/>
      <c r="C9" s="35"/>
      <c r="D9" s="38"/>
      <c r="E9" s="24"/>
      <c r="F9" s="24"/>
      <c r="G9" s="25"/>
      <c r="H9" s="9"/>
      <c r="I9" s="9"/>
      <c r="J9" s="9"/>
      <c r="K9" s="9"/>
      <c r="L9" s="2"/>
      <c r="M9" s="1"/>
    </row>
    <row r="10" spans="1:13" x14ac:dyDescent="0.25">
      <c r="A10" s="41">
        <v>1</v>
      </c>
      <c r="B10" s="53" t="s">
        <v>3232</v>
      </c>
      <c r="C10" s="46" t="s">
        <v>52</v>
      </c>
      <c r="D10" s="47"/>
      <c r="E10" s="51" t="s">
        <v>3234</v>
      </c>
      <c r="F10" s="61">
        <v>107317500</v>
      </c>
      <c r="G10" s="25"/>
      <c r="H10" s="9"/>
      <c r="I10" s="9"/>
      <c r="J10" s="9"/>
      <c r="K10" s="9"/>
      <c r="L10" s="2"/>
      <c r="M10" s="1"/>
    </row>
    <row r="11" spans="1:13" x14ac:dyDescent="0.25">
      <c r="A11" s="41"/>
      <c r="B11" s="49"/>
      <c r="C11" s="46" t="s">
        <v>53</v>
      </c>
      <c r="D11" s="47"/>
      <c r="E11" s="51" t="str">
        <f>E10</f>
        <v>JP '18</v>
      </c>
      <c r="F11" s="61">
        <v>7112000</v>
      </c>
      <c r="G11" s="25"/>
      <c r="H11" s="9"/>
      <c r="I11" s="9"/>
      <c r="J11" s="9"/>
      <c r="K11" s="9"/>
      <c r="L11" s="2"/>
      <c r="M11" s="1"/>
    </row>
    <row r="12" spans="1:13" x14ac:dyDescent="0.25">
      <c r="A12" s="41"/>
      <c r="B12" s="49"/>
      <c r="C12" s="46" t="s">
        <v>54</v>
      </c>
      <c r="D12" s="47"/>
      <c r="E12" s="51" t="str">
        <f>E11</f>
        <v>JP '18</v>
      </c>
      <c r="F12" s="61">
        <v>44280000</v>
      </c>
      <c r="G12" s="25"/>
      <c r="H12" s="9"/>
      <c r="I12" s="9"/>
      <c r="J12" s="9"/>
      <c r="K12" s="9"/>
      <c r="L12" s="2"/>
      <c r="M12" s="1"/>
    </row>
    <row r="13" spans="1:13" x14ac:dyDescent="0.25">
      <c r="A13" s="41"/>
      <c r="B13" s="24"/>
      <c r="C13" s="46"/>
      <c r="D13" s="50" t="s">
        <v>51</v>
      </c>
      <c r="E13" s="51" t="str">
        <f>E12</f>
        <v>JP '18</v>
      </c>
      <c r="F13" s="61"/>
      <c r="G13" s="52">
        <f>SUM(F10:F12)</f>
        <v>158709500</v>
      </c>
      <c r="H13" s="18"/>
      <c r="I13" s="18"/>
      <c r="J13" s="23"/>
      <c r="K13" s="23"/>
      <c r="L13" s="2"/>
      <c r="M13" s="1"/>
    </row>
    <row r="14" spans="1:13" x14ac:dyDescent="0.25">
      <c r="A14" s="41"/>
      <c r="B14" s="24"/>
      <c r="C14" s="46"/>
      <c r="D14" s="47"/>
      <c r="E14" s="51"/>
      <c r="F14" s="27"/>
      <c r="G14" s="25"/>
      <c r="H14" s="18"/>
      <c r="I14" s="18"/>
      <c r="J14" s="23"/>
      <c r="K14" s="23"/>
      <c r="L14" s="2"/>
      <c r="M14" s="1"/>
    </row>
    <row r="15" spans="1:13" x14ac:dyDescent="0.25">
      <c r="A15" s="26"/>
      <c r="B15" s="62" t="s">
        <v>3233</v>
      </c>
      <c r="C15" s="46" t="s">
        <v>66</v>
      </c>
      <c r="D15" s="39"/>
      <c r="E15" s="51" t="str">
        <f>E13</f>
        <v>JP '18</v>
      </c>
      <c r="F15" s="27">
        <v>681000</v>
      </c>
      <c r="G15" s="28"/>
      <c r="H15" s="21"/>
      <c r="I15" s="20"/>
      <c r="J15" s="22"/>
      <c r="K15" s="21"/>
      <c r="L15" s="20"/>
      <c r="M15" s="1"/>
    </row>
    <row r="16" spans="1:13" x14ac:dyDescent="0.25">
      <c r="A16" s="29"/>
      <c r="B16" s="30"/>
      <c r="C16" s="37"/>
      <c r="D16" s="40" t="s">
        <v>68</v>
      </c>
      <c r="E16" s="51" t="str">
        <f>E15</f>
        <v>JP '18</v>
      </c>
      <c r="F16" s="30"/>
      <c r="G16" s="42">
        <f>F15</f>
        <v>681000</v>
      </c>
      <c r="H16" s="17"/>
      <c r="I16" s="1"/>
      <c r="J16" s="1"/>
      <c r="K16" s="1"/>
      <c r="L16" s="1"/>
      <c r="M16" s="1"/>
    </row>
    <row r="17" spans="1:13" ht="15.75" thickBot="1" x14ac:dyDescent="0.3">
      <c r="A17" s="29"/>
      <c r="B17" s="30"/>
      <c r="C17" s="37"/>
      <c r="D17" s="40"/>
      <c r="E17" s="30"/>
      <c r="F17" s="30"/>
      <c r="G17" s="31"/>
      <c r="H17" s="17"/>
      <c r="I17" s="1"/>
      <c r="J17" s="1"/>
      <c r="K17" s="1"/>
      <c r="L17" s="1"/>
      <c r="M17" s="1"/>
    </row>
    <row r="18" spans="1:13" ht="20.25" customHeight="1" thickBot="1" x14ac:dyDescent="0.3">
      <c r="A18" s="324" t="s">
        <v>10</v>
      </c>
      <c r="B18" s="325"/>
      <c r="C18" s="325"/>
      <c r="D18" s="325"/>
      <c r="E18" s="325"/>
      <c r="F18" s="43">
        <f>SUM(F10:F17)</f>
        <v>159390500</v>
      </c>
      <c r="G18" s="43">
        <f>SUM(G10:G17)</f>
        <v>159390500</v>
      </c>
      <c r="H18" s="44"/>
      <c r="I18" s="1"/>
      <c r="J18" s="1"/>
      <c r="K18" s="1"/>
      <c r="L18" s="1"/>
      <c r="M18" s="1"/>
    </row>
    <row r="19" spans="1:13" x14ac:dyDescent="0.25">
      <c r="A19" s="19"/>
      <c r="B19" s="1"/>
      <c r="C19" s="1"/>
      <c r="D19" s="1"/>
      <c r="E19" s="1"/>
      <c r="F19" s="1"/>
      <c r="G19" s="1"/>
      <c r="H19" s="17"/>
      <c r="I19" s="1"/>
      <c r="J19" s="1"/>
      <c r="K19" s="1"/>
      <c r="L19" s="1"/>
      <c r="M19" s="1"/>
    </row>
    <row r="20" spans="1:13" x14ac:dyDescent="0.25">
      <c r="A20" s="19"/>
      <c r="B20" s="1"/>
      <c r="C20" s="1"/>
      <c r="D20" s="1"/>
      <c r="E20" s="1"/>
      <c r="F20" s="1"/>
      <c r="G20" s="1"/>
      <c r="H20" s="17"/>
      <c r="I20" s="1"/>
      <c r="J20" s="1"/>
      <c r="K20" s="1"/>
      <c r="L20" s="1"/>
      <c r="M20" s="1"/>
    </row>
    <row r="21" spans="1:13" x14ac:dyDescent="0.25">
      <c r="A21" s="19"/>
      <c r="B21" s="1"/>
      <c r="C21" s="1"/>
      <c r="D21" s="1"/>
      <c r="E21" s="1"/>
      <c r="F21" s="1"/>
      <c r="G21" s="1"/>
      <c r="H21" s="17"/>
      <c r="I21" s="1"/>
      <c r="J21" s="1"/>
      <c r="K21" s="1"/>
      <c r="L21" s="1"/>
      <c r="M21" s="1"/>
    </row>
    <row r="22" spans="1:13" x14ac:dyDescent="0.25">
      <c r="A22" s="19"/>
      <c r="B22" s="1"/>
      <c r="C22" s="1"/>
      <c r="D22" s="1"/>
      <c r="E22" s="1"/>
      <c r="F22" s="1"/>
      <c r="G22" s="1"/>
      <c r="J22" s="1"/>
      <c r="K22" s="1"/>
      <c r="L22" s="1"/>
      <c r="M22" s="1"/>
    </row>
    <row r="23" spans="1:13" x14ac:dyDescent="0.25">
      <c r="A23" s="19"/>
      <c r="B23" s="1"/>
      <c r="C23" s="1"/>
      <c r="D23" s="1"/>
      <c r="E23" s="1"/>
      <c r="F23" s="1"/>
      <c r="G23" s="1"/>
      <c r="J23" s="1"/>
      <c r="K23" s="1"/>
      <c r="L23" s="1"/>
      <c r="M23" s="1"/>
    </row>
    <row r="24" spans="1:13" x14ac:dyDescent="0.25">
      <c r="A24" s="19"/>
      <c r="B24" s="1"/>
      <c r="C24" s="1"/>
      <c r="D24" s="1"/>
      <c r="E24" s="1"/>
      <c r="F24" s="1"/>
      <c r="G24" s="1"/>
      <c r="J24" s="1"/>
      <c r="K24" s="1"/>
      <c r="L24" s="1"/>
      <c r="M24" s="1"/>
    </row>
    <row r="25" spans="1:13" x14ac:dyDescent="0.25">
      <c r="A25" s="19"/>
      <c r="B25" s="1"/>
      <c r="C25" s="1"/>
      <c r="D25" s="1"/>
      <c r="E25" s="1"/>
      <c r="F25" s="1"/>
      <c r="G25" s="1"/>
      <c r="J25" s="1"/>
      <c r="K25" s="1"/>
      <c r="L25" s="1"/>
      <c r="M25" s="1"/>
    </row>
    <row r="26" spans="1:13" x14ac:dyDescent="0.25">
      <c r="A26" s="19"/>
      <c r="B26" s="1"/>
      <c r="C26" s="1"/>
      <c r="D26" s="1"/>
      <c r="E26" s="1"/>
      <c r="F26" s="1"/>
      <c r="G26" s="1"/>
      <c r="J26" s="1"/>
      <c r="K26" s="1"/>
      <c r="L26" s="1"/>
      <c r="M26" s="1"/>
    </row>
    <row r="27" spans="1:13" x14ac:dyDescent="0.25">
      <c r="A27" s="19"/>
      <c r="B27" s="1"/>
      <c r="C27" s="1"/>
      <c r="D27" s="1"/>
      <c r="E27" s="1"/>
      <c r="F27" s="1"/>
      <c r="G27" s="1"/>
      <c r="H27" s="17"/>
      <c r="I27" s="1"/>
      <c r="J27" s="1"/>
      <c r="K27" s="1"/>
      <c r="L27" s="1"/>
      <c r="M27" s="1"/>
    </row>
    <row r="28" spans="1:13" x14ac:dyDescent="0.25">
      <c r="A28" s="19"/>
      <c r="B28" s="1"/>
      <c r="C28" s="1"/>
      <c r="D28" s="1"/>
      <c r="E28" s="1"/>
      <c r="F28" s="1"/>
      <c r="G28" s="1"/>
      <c r="J28" s="1"/>
      <c r="K28" s="1"/>
      <c r="L28" s="1"/>
      <c r="M28" s="1"/>
    </row>
    <row r="29" spans="1:13" x14ac:dyDescent="0.25">
      <c r="A29" s="19"/>
      <c r="B29" s="1"/>
      <c r="C29" s="1"/>
      <c r="D29" s="1"/>
      <c r="E29" s="1"/>
      <c r="F29" s="1"/>
      <c r="G29" s="1"/>
      <c r="J29" s="1"/>
      <c r="K29" s="1"/>
      <c r="L29" s="1"/>
      <c r="M29" s="1"/>
    </row>
    <row r="30" spans="1:13" x14ac:dyDescent="0.25">
      <c r="A30" s="19"/>
      <c r="B30" s="1"/>
      <c r="C30" s="1"/>
      <c r="D30" s="1"/>
      <c r="E30" s="1"/>
      <c r="F30" s="1"/>
      <c r="G30" s="1"/>
      <c r="J30" s="1"/>
      <c r="K30" s="1"/>
      <c r="L30" s="1"/>
      <c r="M30" s="1"/>
    </row>
    <row r="31" spans="1:13" x14ac:dyDescent="0.25">
      <c r="A31" s="19"/>
      <c r="B31" s="1"/>
      <c r="C31" s="1"/>
      <c r="D31" s="1"/>
      <c r="E31" s="1"/>
      <c r="F31" s="1"/>
      <c r="G31" s="1"/>
      <c r="J31" s="1"/>
      <c r="K31" s="1"/>
      <c r="L31" s="1"/>
      <c r="M31" s="1"/>
    </row>
    <row r="32" spans="1:13" x14ac:dyDescent="0.25">
      <c r="A32" s="19"/>
      <c r="B32" s="1"/>
      <c r="C32" s="1"/>
      <c r="D32" s="1"/>
      <c r="E32" s="1"/>
      <c r="F32" s="1"/>
      <c r="G32" s="1"/>
      <c r="J32" s="1"/>
      <c r="K32" s="1"/>
      <c r="L32" s="1"/>
      <c r="M32" s="1"/>
    </row>
    <row r="33" spans="1:13" x14ac:dyDescent="0.25">
      <c r="A33" s="19"/>
      <c r="B33" s="1"/>
      <c r="C33" s="1"/>
      <c r="D33" s="1"/>
      <c r="E33" s="1"/>
      <c r="F33" s="1"/>
      <c r="G33" s="1"/>
      <c r="H33" s="17"/>
      <c r="I33" s="1"/>
      <c r="J33" s="1"/>
      <c r="K33" s="1"/>
      <c r="L33" s="1"/>
      <c r="M33" s="1"/>
    </row>
    <row r="34" spans="1:13" x14ac:dyDescent="0.25">
      <c r="A34" s="19"/>
      <c r="B34" s="1"/>
      <c r="C34" s="1"/>
      <c r="D34" s="1"/>
      <c r="E34" s="1"/>
      <c r="F34" s="1"/>
      <c r="G34" s="1"/>
      <c r="H34" s="17"/>
      <c r="I34" s="1"/>
      <c r="J34" s="1"/>
      <c r="K34" s="1"/>
      <c r="L34" s="1"/>
      <c r="M34" s="1"/>
    </row>
    <row r="35" spans="1:13" x14ac:dyDescent="0.25">
      <c r="A35" s="19"/>
      <c r="B35" s="1"/>
      <c r="C35" s="1"/>
      <c r="D35" s="1"/>
      <c r="E35" s="1"/>
      <c r="F35" s="1"/>
      <c r="G35" s="1"/>
      <c r="H35" s="17"/>
      <c r="I35" s="1"/>
      <c r="J35" s="1"/>
      <c r="K35" s="1"/>
      <c r="L35" s="1"/>
      <c r="M35" s="1"/>
    </row>
    <row r="36" spans="1:13" x14ac:dyDescent="0.25">
      <c r="A36" s="19"/>
      <c r="B36" s="1"/>
      <c r="C36" s="1"/>
      <c r="D36" s="1"/>
      <c r="E36" s="1"/>
      <c r="F36" s="1"/>
      <c r="G36" s="1"/>
      <c r="H36" s="17"/>
      <c r="I36" s="1"/>
      <c r="J36" s="1"/>
      <c r="K36" s="1"/>
      <c r="L36" s="1"/>
      <c r="M36" s="1"/>
    </row>
    <row r="37" spans="1:13" x14ac:dyDescent="0.25">
      <c r="A37" s="19"/>
      <c r="B37" s="1"/>
      <c r="C37" s="1"/>
      <c r="D37" s="1"/>
      <c r="E37" s="1"/>
      <c r="F37" s="1"/>
      <c r="G37" s="1"/>
      <c r="H37" s="17"/>
      <c r="I37" s="1"/>
      <c r="J37" s="1"/>
      <c r="K37" s="1"/>
      <c r="L37" s="1"/>
      <c r="M37" s="1"/>
    </row>
    <row r="38" spans="1:13" x14ac:dyDescent="0.25">
      <c r="A38" s="19"/>
      <c r="B38" s="1"/>
      <c r="C38" s="1"/>
      <c r="D38" s="1"/>
      <c r="E38" s="1"/>
      <c r="F38" s="1"/>
      <c r="G38" s="1"/>
      <c r="H38" s="17"/>
      <c r="I38" s="1"/>
      <c r="J38" s="1"/>
      <c r="K38" s="1"/>
      <c r="L38" s="1"/>
      <c r="M38" s="1"/>
    </row>
    <row r="39" spans="1:13" x14ac:dyDescent="0.25">
      <c r="A39" s="19"/>
      <c r="B39" s="1"/>
      <c r="C39" s="1"/>
      <c r="D39" s="1"/>
      <c r="E39" s="1"/>
      <c r="F39" s="1"/>
      <c r="G39" s="1"/>
      <c r="H39" s="17"/>
      <c r="I39" s="1"/>
      <c r="J39" s="1"/>
      <c r="K39" s="1"/>
      <c r="L39" s="1"/>
      <c r="M39" s="1"/>
    </row>
    <row r="40" spans="1:13" x14ac:dyDescent="0.25">
      <c r="A40" s="19"/>
      <c r="B40" s="1"/>
      <c r="C40" s="1"/>
      <c r="D40" s="1"/>
      <c r="E40" s="1"/>
      <c r="F40" s="1"/>
      <c r="G40" s="1"/>
      <c r="H40" s="17"/>
      <c r="I40" s="1"/>
      <c r="J40" s="1"/>
      <c r="K40" s="1"/>
      <c r="L40" s="1"/>
      <c r="M40" s="1"/>
    </row>
    <row r="41" spans="1:13" x14ac:dyDescent="0.25">
      <c r="A41" s="19"/>
      <c r="B41" s="1"/>
      <c r="C41" s="1"/>
      <c r="D41" s="1"/>
      <c r="E41" s="1"/>
      <c r="F41" s="1"/>
      <c r="G41" s="1"/>
      <c r="H41" s="17"/>
      <c r="I41" s="1"/>
      <c r="J41" s="1"/>
      <c r="K41" s="1"/>
      <c r="L41" s="1"/>
      <c r="M41" s="1"/>
    </row>
    <row r="42" spans="1:13" x14ac:dyDescent="0.25">
      <c r="A42" s="19"/>
      <c r="B42" s="1"/>
      <c r="C42" s="1"/>
      <c r="D42" s="1"/>
      <c r="E42" s="1"/>
      <c r="F42" s="1"/>
      <c r="G42" s="1"/>
      <c r="H42" s="17"/>
      <c r="I42" s="1"/>
      <c r="J42" s="1"/>
      <c r="K42" s="1"/>
      <c r="L42" s="1"/>
      <c r="M42" s="1"/>
    </row>
    <row r="43" spans="1:13" x14ac:dyDescent="0.25">
      <c r="A43" s="19"/>
      <c r="B43" s="1"/>
      <c r="C43" s="1"/>
      <c r="D43" s="1"/>
      <c r="E43" s="1"/>
      <c r="F43" s="1"/>
      <c r="G43" s="1"/>
      <c r="H43" s="17"/>
      <c r="I43" s="1"/>
      <c r="J43" s="1"/>
      <c r="K43" s="1"/>
      <c r="L43" s="1"/>
      <c r="M43" s="1"/>
    </row>
    <row r="44" spans="1:13" x14ac:dyDescent="0.25">
      <c r="A44" s="19"/>
      <c r="B44" s="1"/>
      <c r="C44" s="1"/>
      <c r="D44" s="1"/>
      <c r="E44" s="1"/>
      <c r="F44" s="1"/>
      <c r="G44" s="1"/>
      <c r="H44" s="17"/>
      <c r="I44" s="1"/>
      <c r="J44" s="1"/>
      <c r="K44" s="1"/>
      <c r="L44" s="1"/>
      <c r="M44" s="1"/>
    </row>
    <row r="45" spans="1:13" x14ac:dyDescent="0.25">
      <c r="A45" s="19"/>
      <c r="B45" s="1"/>
      <c r="C45" s="1"/>
      <c r="D45" s="1"/>
      <c r="E45" s="1"/>
      <c r="F45" s="1"/>
      <c r="G45" s="1"/>
      <c r="H45" s="17"/>
      <c r="I45" s="1"/>
      <c r="J45" s="1"/>
      <c r="K45" s="1"/>
      <c r="L45" s="1"/>
      <c r="M45" s="1"/>
    </row>
    <row r="46" spans="1:13" x14ac:dyDescent="0.25">
      <c r="A46" s="19"/>
      <c r="B46" s="1"/>
      <c r="C46" s="1"/>
      <c r="D46" s="1"/>
      <c r="E46" s="1"/>
      <c r="F46" s="1"/>
      <c r="G46" s="1"/>
      <c r="H46" s="17"/>
      <c r="I46" s="1"/>
      <c r="J46" s="1"/>
      <c r="K46" s="1"/>
      <c r="L46" s="1"/>
      <c r="M46" s="1"/>
    </row>
    <row r="47" spans="1:13" x14ac:dyDescent="0.25">
      <c r="A47" s="19"/>
      <c r="B47" s="1"/>
      <c r="C47" s="1"/>
      <c r="D47" s="1"/>
      <c r="E47" s="1"/>
      <c r="F47" s="1"/>
      <c r="G47" s="1"/>
      <c r="H47" s="17"/>
      <c r="I47" s="1"/>
      <c r="J47" s="1"/>
      <c r="K47" s="1"/>
      <c r="L47" s="1"/>
      <c r="M47" s="1"/>
    </row>
    <row r="48" spans="1:13" x14ac:dyDescent="0.25">
      <c r="A48" s="19"/>
      <c r="B48" s="1"/>
      <c r="C48" s="1"/>
      <c r="D48" s="1"/>
      <c r="E48" s="1"/>
      <c r="F48" s="1"/>
      <c r="G48" s="1"/>
      <c r="H48" s="17"/>
      <c r="I48" s="1"/>
      <c r="J48" s="1"/>
      <c r="K48" s="1"/>
      <c r="L48" s="1"/>
      <c r="M48" s="1"/>
    </row>
    <row r="49" spans="1:13" x14ac:dyDescent="0.25">
      <c r="A49" s="19"/>
      <c r="B49" s="1"/>
      <c r="C49" s="1"/>
      <c r="D49" s="1"/>
      <c r="E49" s="1"/>
      <c r="F49" s="1"/>
      <c r="G49" s="1"/>
      <c r="H49" s="17"/>
      <c r="I49" s="1"/>
      <c r="J49" s="1"/>
      <c r="K49" s="1"/>
      <c r="L49" s="1"/>
      <c r="M49" s="1"/>
    </row>
    <row r="50" spans="1:13" x14ac:dyDescent="0.25">
      <c r="A50" s="45" t="s">
        <v>0</v>
      </c>
      <c r="B50" s="45"/>
      <c r="C50" s="45"/>
      <c r="D50" s="9"/>
      <c r="E50" s="9"/>
      <c r="F50" s="9"/>
      <c r="G50" s="9"/>
      <c r="H50" s="17"/>
      <c r="I50" s="1"/>
      <c r="J50" s="1"/>
      <c r="K50" s="1"/>
      <c r="L50" s="1"/>
      <c r="M50" s="1"/>
    </row>
    <row r="51" spans="1:13" x14ac:dyDescent="0.25">
      <c r="A51" s="45" t="s">
        <v>1</v>
      </c>
      <c r="B51" s="45"/>
      <c r="C51" s="45"/>
      <c r="D51" s="9"/>
      <c r="E51" s="9"/>
      <c r="F51" s="9"/>
      <c r="G51" s="9"/>
      <c r="H51" s="17"/>
      <c r="I51" s="1"/>
      <c r="J51" s="1"/>
      <c r="K51" s="1"/>
      <c r="L51" s="1"/>
      <c r="M51" s="1"/>
    </row>
    <row r="52" spans="1:13" x14ac:dyDescent="0.25">
      <c r="A52" s="45" t="s">
        <v>11</v>
      </c>
      <c r="B52" s="45"/>
      <c r="C52" s="45"/>
      <c r="D52" s="9"/>
      <c r="E52" s="9"/>
      <c r="F52" s="9"/>
      <c r="G52" s="9"/>
      <c r="H52" s="17"/>
      <c r="I52" s="1"/>
      <c r="J52" s="1"/>
      <c r="K52" s="1"/>
      <c r="L52" s="1"/>
      <c r="M52" s="1"/>
    </row>
    <row r="53" spans="1:13" x14ac:dyDescent="0.25">
      <c r="A53" s="18"/>
      <c r="B53" s="9"/>
      <c r="C53" s="9"/>
      <c r="D53" s="9"/>
      <c r="E53" s="9"/>
      <c r="F53" s="9"/>
      <c r="G53" s="9"/>
      <c r="H53" s="17"/>
      <c r="I53" s="1"/>
      <c r="J53" s="1"/>
      <c r="K53" s="1"/>
      <c r="L53" s="1"/>
      <c r="M53" s="1"/>
    </row>
    <row r="54" spans="1:13" x14ac:dyDescent="0.25">
      <c r="A54" s="314" t="s">
        <v>50</v>
      </c>
      <c r="B54" s="314"/>
      <c r="C54" s="314"/>
      <c r="D54" s="314"/>
      <c r="E54" s="314"/>
      <c r="F54" s="314"/>
      <c r="G54" s="314"/>
      <c r="H54" s="17"/>
      <c r="I54" s="1"/>
      <c r="J54" s="1"/>
      <c r="K54" s="1"/>
      <c r="L54" s="1"/>
      <c r="M54" s="1"/>
    </row>
    <row r="55" spans="1:13" x14ac:dyDescent="0.25">
      <c r="A55" s="314" t="s">
        <v>3226</v>
      </c>
      <c r="B55" s="314"/>
      <c r="C55" s="314"/>
      <c r="D55" s="314"/>
      <c r="E55" s="314"/>
      <c r="F55" s="314"/>
      <c r="G55" s="314"/>
      <c r="H55" s="17"/>
      <c r="I55" s="1"/>
      <c r="J55" s="1"/>
      <c r="K55" s="1"/>
      <c r="L55" s="1"/>
      <c r="M55" s="1"/>
    </row>
    <row r="56" spans="1:13" ht="15.75" thickBot="1" x14ac:dyDescent="0.3">
      <c r="A56" s="19"/>
      <c r="B56" s="1"/>
      <c r="C56" s="1"/>
      <c r="D56" s="1"/>
      <c r="E56" s="1"/>
      <c r="F56" s="1"/>
      <c r="G56" s="1"/>
      <c r="H56" s="17"/>
      <c r="I56" s="1"/>
      <c r="J56" s="1"/>
      <c r="K56" s="1"/>
      <c r="L56" s="1"/>
      <c r="M56" s="1"/>
    </row>
    <row r="57" spans="1:13" x14ac:dyDescent="0.25">
      <c r="A57" s="32" t="s">
        <v>46</v>
      </c>
      <c r="B57" s="48" t="s">
        <v>3</v>
      </c>
      <c r="C57" s="272" t="s">
        <v>4</v>
      </c>
      <c r="D57" s="272"/>
      <c r="E57" s="33" t="s">
        <v>47</v>
      </c>
      <c r="F57" s="33" t="s">
        <v>48</v>
      </c>
      <c r="G57" s="34" t="s">
        <v>49</v>
      </c>
      <c r="H57" s="17"/>
      <c r="I57" s="1"/>
      <c r="J57" s="1"/>
      <c r="K57" s="1"/>
      <c r="L57" s="1"/>
      <c r="M57" s="1"/>
    </row>
    <row r="58" spans="1:13" x14ac:dyDescent="0.25">
      <c r="A58" s="41"/>
      <c r="B58" s="24"/>
      <c r="C58" s="35"/>
      <c r="D58" s="38"/>
      <c r="E58" s="24"/>
      <c r="F58" s="24"/>
      <c r="G58" s="25"/>
      <c r="H58" s="17"/>
      <c r="I58" s="1"/>
      <c r="J58" s="1"/>
      <c r="K58" s="1"/>
      <c r="L58" s="1"/>
      <c r="M58" s="1"/>
    </row>
    <row r="59" spans="1:13" x14ac:dyDescent="0.25">
      <c r="A59" s="41">
        <v>1</v>
      </c>
      <c r="B59" s="53" t="s">
        <v>3231</v>
      </c>
      <c r="C59" s="46" t="s">
        <v>52</v>
      </c>
      <c r="D59" s="47"/>
      <c r="E59" s="51" t="s">
        <v>55</v>
      </c>
      <c r="F59" s="27" t="e">
        <f>#REF!</f>
        <v>#REF!</v>
      </c>
      <c r="G59" s="25"/>
      <c r="H59" s="17"/>
      <c r="I59" s="1"/>
      <c r="J59" s="1"/>
      <c r="K59" s="1"/>
      <c r="L59" s="1"/>
      <c r="M59" s="1"/>
    </row>
    <row r="60" spans="1:13" x14ac:dyDescent="0.25">
      <c r="A60" s="41"/>
      <c r="B60" s="49"/>
      <c r="C60" s="46" t="s">
        <v>53</v>
      </c>
      <c r="D60" s="47"/>
      <c r="E60" s="51" t="s">
        <v>55</v>
      </c>
      <c r="F60" s="27" t="e">
        <f>#REF!</f>
        <v>#REF!</v>
      </c>
      <c r="G60" s="25"/>
      <c r="H60" s="17"/>
      <c r="I60" s="1"/>
      <c r="J60" s="1"/>
      <c r="K60" s="1"/>
      <c r="L60" s="1"/>
      <c r="M60" s="1"/>
    </row>
    <row r="61" spans="1:13" x14ac:dyDescent="0.25">
      <c r="A61" s="41"/>
      <c r="B61" s="49"/>
      <c r="C61" s="46" t="s">
        <v>54</v>
      </c>
      <c r="D61" s="47"/>
      <c r="E61" s="51" t="s">
        <v>55</v>
      </c>
      <c r="F61" s="27" t="e">
        <f>#REF!</f>
        <v>#REF!</v>
      </c>
      <c r="G61" s="25"/>
      <c r="H61" s="17"/>
      <c r="I61" s="1"/>
      <c r="J61" s="1"/>
      <c r="K61" s="1"/>
      <c r="L61" s="1"/>
      <c r="M61" s="1"/>
    </row>
    <row r="62" spans="1:13" x14ac:dyDescent="0.25">
      <c r="A62" s="41"/>
      <c r="B62" s="24"/>
      <c r="C62" s="46"/>
      <c r="D62" s="50" t="s">
        <v>51</v>
      </c>
      <c r="E62" s="51" t="s">
        <v>55</v>
      </c>
      <c r="F62" s="27"/>
      <c r="G62" s="52" t="e">
        <f>#REF!</f>
        <v>#REF!</v>
      </c>
      <c r="H62" s="17"/>
      <c r="I62" s="1"/>
      <c r="J62" s="1"/>
      <c r="K62" s="1"/>
      <c r="L62" s="1"/>
      <c r="M62" s="1"/>
    </row>
    <row r="63" spans="1:13" x14ac:dyDescent="0.25">
      <c r="A63" s="41"/>
      <c r="B63" s="24"/>
      <c r="C63" s="46"/>
      <c r="D63" s="47"/>
      <c r="E63" s="51"/>
      <c r="F63" s="27"/>
      <c r="G63" s="25"/>
      <c r="H63" s="17"/>
      <c r="I63" s="1"/>
      <c r="J63" s="1"/>
      <c r="K63" s="1"/>
      <c r="L63" s="1"/>
      <c r="M63" s="1"/>
    </row>
    <row r="64" spans="1:13" x14ac:dyDescent="0.25">
      <c r="A64" s="29"/>
      <c r="B64" s="30"/>
      <c r="C64" s="37"/>
      <c r="D64" s="40"/>
      <c r="E64" s="30"/>
      <c r="F64" s="30"/>
      <c r="G64" s="42"/>
      <c r="H64" s="17"/>
      <c r="I64" s="1"/>
      <c r="J64" s="1"/>
      <c r="K64" s="1"/>
      <c r="L64" s="1"/>
      <c r="M64" s="1"/>
    </row>
    <row r="65" spans="1:13" ht="15.75" thickBot="1" x14ac:dyDescent="0.3">
      <c r="A65" s="29"/>
      <c r="B65" s="30"/>
      <c r="C65" s="37"/>
      <c r="D65" s="40"/>
      <c r="E65" s="30"/>
      <c r="F65" s="30"/>
      <c r="G65" s="31"/>
      <c r="H65" s="17"/>
      <c r="I65" s="1"/>
      <c r="J65" s="1"/>
      <c r="K65" s="1"/>
      <c r="L65" s="1"/>
      <c r="M65" s="1"/>
    </row>
    <row r="66" spans="1:13" ht="15.75" thickBot="1" x14ac:dyDescent="0.3">
      <c r="A66" s="324" t="s">
        <v>10</v>
      </c>
      <c r="B66" s="325"/>
      <c r="C66" s="325"/>
      <c r="D66" s="325"/>
      <c r="E66" s="325"/>
      <c r="F66" s="43" t="e">
        <f>SUM(F59:F65)</f>
        <v>#REF!</v>
      </c>
      <c r="G66" s="43" t="e">
        <f>SUM(G59:G65)</f>
        <v>#REF!</v>
      </c>
      <c r="H66" s="17"/>
      <c r="I66" s="1"/>
      <c r="J66" s="1"/>
      <c r="K66" s="1"/>
      <c r="L66" s="1"/>
      <c r="M66" s="1"/>
    </row>
    <row r="67" spans="1:13" x14ac:dyDescent="0.25">
      <c r="A67" s="19"/>
      <c r="B67" s="1"/>
      <c r="C67" s="1"/>
      <c r="D67" s="1"/>
      <c r="E67" s="1"/>
      <c r="F67" s="1"/>
      <c r="G67" s="1"/>
      <c r="H67" s="17"/>
      <c r="I67" s="1"/>
      <c r="J67" s="1"/>
      <c r="K67" s="1"/>
      <c r="L67" s="1"/>
      <c r="M67" s="1"/>
    </row>
    <row r="68" spans="1:13" x14ac:dyDescent="0.25">
      <c r="A68" s="19"/>
      <c r="B68" s="1"/>
      <c r="C68" s="1"/>
      <c r="D68" s="1"/>
      <c r="E68" s="1"/>
      <c r="F68" s="1"/>
      <c r="G68" s="1"/>
      <c r="H68" s="17"/>
      <c r="I68" s="1"/>
      <c r="J68" s="1"/>
      <c r="K68" s="1"/>
      <c r="L68" s="1"/>
      <c r="M68" s="1"/>
    </row>
    <row r="69" spans="1:13" x14ac:dyDescent="0.25">
      <c r="A69" s="19"/>
      <c r="B69" s="1"/>
      <c r="C69" s="1"/>
      <c r="D69" s="1"/>
      <c r="E69" s="1"/>
      <c r="F69" s="1"/>
      <c r="G69" s="1"/>
      <c r="H69" s="17"/>
      <c r="I69" s="1"/>
      <c r="J69" s="1"/>
      <c r="K69" s="1"/>
      <c r="L69" s="1"/>
      <c r="M69" s="1"/>
    </row>
    <row r="70" spans="1:13" x14ac:dyDescent="0.25">
      <c r="A70" s="19"/>
      <c r="B70" s="1"/>
      <c r="C70" s="1"/>
      <c r="D70" s="1"/>
      <c r="E70" s="1"/>
      <c r="F70" s="1"/>
      <c r="G70" s="1"/>
      <c r="H70" s="17"/>
      <c r="I70" s="1"/>
      <c r="J70" s="1"/>
      <c r="K70" s="1"/>
      <c r="L70" s="1"/>
      <c r="M70" s="1"/>
    </row>
    <row r="71" spans="1:13" x14ac:dyDescent="0.25">
      <c r="A71" s="19"/>
      <c r="B71" s="1"/>
      <c r="C71" s="1"/>
      <c r="D71" s="1"/>
      <c r="E71" s="1"/>
      <c r="F71" s="1"/>
      <c r="G71" s="1"/>
      <c r="H71" s="17"/>
      <c r="I71" s="1"/>
      <c r="J71" s="1"/>
      <c r="K71" s="1"/>
      <c r="L71" s="1"/>
      <c r="M71" s="1"/>
    </row>
    <row r="72" spans="1:13" x14ac:dyDescent="0.25">
      <c r="A72" s="19"/>
      <c r="B72" s="1"/>
      <c r="C72" s="1"/>
      <c r="D72" s="1"/>
      <c r="E72" s="1"/>
      <c r="F72" s="1"/>
      <c r="G72" s="1"/>
      <c r="H72" s="17"/>
      <c r="I72" s="1"/>
      <c r="J72" s="1"/>
      <c r="K72" s="1"/>
      <c r="L72" s="1"/>
      <c r="M72" s="1"/>
    </row>
    <row r="73" spans="1:13" x14ac:dyDescent="0.25">
      <c r="A73" s="19"/>
      <c r="B73" s="1"/>
      <c r="C73" s="1"/>
      <c r="D73" s="1"/>
      <c r="E73" s="1"/>
      <c r="F73" s="1"/>
      <c r="G73" s="1"/>
      <c r="H73" s="17"/>
      <c r="I73" s="1"/>
      <c r="J73" s="1"/>
      <c r="K73" s="1"/>
      <c r="L73" s="1"/>
      <c r="M73" s="1"/>
    </row>
    <row r="74" spans="1:13" x14ac:dyDescent="0.25">
      <c r="A74" s="19"/>
      <c r="B74" s="1"/>
      <c r="C74" s="1"/>
      <c r="D74" s="1"/>
      <c r="E74" s="1"/>
      <c r="F74" s="1"/>
      <c r="G74" s="1"/>
      <c r="H74" s="17"/>
      <c r="I74" s="1"/>
      <c r="J74" s="1"/>
      <c r="K74" s="1"/>
      <c r="L74" s="1"/>
      <c r="M74" s="1"/>
    </row>
    <row r="75" spans="1:13" x14ac:dyDescent="0.25">
      <c r="A75" s="19"/>
      <c r="B75" s="1"/>
      <c r="C75" s="1"/>
      <c r="D75" s="1"/>
      <c r="E75" s="1"/>
      <c r="F75" s="1"/>
      <c r="G75" s="1"/>
      <c r="H75" s="17"/>
      <c r="I75" s="1"/>
      <c r="J75" s="1"/>
      <c r="K75" s="1"/>
      <c r="L75" s="1"/>
      <c r="M75" s="1"/>
    </row>
    <row r="76" spans="1:13" x14ac:dyDescent="0.25">
      <c r="A76" s="19"/>
      <c r="B76" s="1"/>
      <c r="C76" s="1"/>
      <c r="D76" s="1"/>
      <c r="E76" s="1"/>
      <c r="F76" s="1"/>
      <c r="G76" s="1"/>
      <c r="H76" s="17"/>
      <c r="I76" s="1"/>
      <c r="J76" s="1"/>
      <c r="K76" s="1"/>
      <c r="L76" s="1"/>
      <c r="M76" s="1"/>
    </row>
    <row r="77" spans="1:13" x14ac:dyDescent="0.25">
      <c r="A77" s="19"/>
      <c r="B77" s="1"/>
      <c r="C77" s="1"/>
      <c r="D77" s="1"/>
      <c r="E77" s="1"/>
      <c r="F77" s="1"/>
      <c r="G77" s="1"/>
      <c r="H77" s="17"/>
      <c r="I77" s="1"/>
      <c r="J77" s="1"/>
      <c r="K77" s="1"/>
      <c r="L77" s="1"/>
      <c r="M77" s="1"/>
    </row>
    <row r="78" spans="1:13" x14ac:dyDescent="0.25">
      <c r="A78" s="19"/>
      <c r="B78" s="1"/>
      <c r="C78" s="1"/>
      <c r="D78" s="1"/>
      <c r="E78" s="1"/>
      <c r="F78" s="1"/>
      <c r="G78" s="1"/>
      <c r="H78" s="17"/>
      <c r="I78" s="1"/>
      <c r="J78" s="1"/>
      <c r="K78" s="1"/>
      <c r="L78" s="1"/>
      <c r="M78" s="1"/>
    </row>
    <row r="79" spans="1:13" x14ac:dyDescent="0.25">
      <c r="A79" s="19"/>
      <c r="B79" s="1"/>
      <c r="C79" s="1"/>
      <c r="D79" s="1"/>
      <c r="E79" s="1"/>
      <c r="F79" s="1"/>
      <c r="G79" s="1"/>
      <c r="H79" s="17"/>
      <c r="I79" s="1"/>
      <c r="J79" s="1"/>
      <c r="K79" s="1"/>
      <c r="L79" s="1"/>
      <c r="M79" s="1"/>
    </row>
    <row r="80" spans="1:13" x14ac:dyDescent="0.25">
      <c r="A80" s="19"/>
      <c r="B80" s="1"/>
      <c r="C80" s="1"/>
      <c r="D80" s="1"/>
      <c r="E80" s="1"/>
      <c r="F80" s="1"/>
      <c r="G80" s="1"/>
      <c r="H80" s="17"/>
      <c r="I80" s="1"/>
      <c r="J80" s="1"/>
      <c r="K80" s="1"/>
      <c r="L80" s="1"/>
      <c r="M80" s="1"/>
    </row>
    <row r="81" spans="1:13" x14ac:dyDescent="0.25">
      <c r="A81" s="19"/>
      <c r="B81" s="1"/>
      <c r="C81" s="1"/>
      <c r="D81" s="1"/>
      <c r="E81" s="1"/>
      <c r="F81" s="1"/>
      <c r="G81" s="1"/>
      <c r="H81" s="17"/>
      <c r="I81" s="1"/>
      <c r="J81" s="1"/>
      <c r="K81" s="1"/>
      <c r="L81" s="1"/>
      <c r="M81" s="1"/>
    </row>
    <row r="82" spans="1:13" x14ac:dyDescent="0.25">
      <c r="A82" s="19"/>
      <c r="B82" s="1"/>
      <c r="C82" s="1"/>
      <c r="D82" s="1"/>
      <c r="E82" s="1"/>
      <c r="F82" s="1"/>
      <c r="G82" s="1"/>
      <c r="H82" s="17"/>
      <c r="I82" s="1"/>
      <c r="J82" s="1"/>
      <c r="K82" s="1"/>
      <c r="L82" s="1"/>
      <c r="M82" s="1"/>
    </row>
    <row r="83" spans="1:13" x14ac:dyDescent="0.25">
      <c r="A83" s="19"/>
      <c r="B83" s="1"/>
      <c r="C83" s="1"/>
      <c r="D83" s="1"/>
      <c r="E83" s="1"/>
      <c r="F83" s="1"/>
      <c r="G83" s="1"/>
      <c r="H83" s="17"/>
      <c r="I83" s="1"/>
      <c r="J83" s="1"/>
      <c r="K83" s="1"/>
      <c r="L83" s="1"/>
      <c r="M83" s="1"/>
    </row>
    <row r="84" spans="1:13" x14ac:dyDescent="0.25">
      <c r="A84" s="19"/>
      <c r="B84" s="1"/>
      <c r="C84" s="1"/>
      <c r="D84" s="1"/>
      <c r="E84" s="1"/>
      <c r="F84" s="1"/>
      <c r="G84" s="1"/>
      <c r="H84" s="17"/>
      <c r="I84" s="1"/>
      <c r="J84" s="1"/>
      <c r="K84" s="1"/>
      <c r="L84" s="1"/>
      <c r="M84" s="1"/>
    </row>
    <row r="85" spans="1:13" x14ac:dyDescent="0.25">
      <c r="A85" s="19"/>
      <c r="B85" s="1"/>
      <c r="C85" s="1"/>
      <c r="D85" s="1"/>
      <c r="E85" s="1"/>
      <c r="F85" s="1"/>
      <c r="G85" s="1"/>
      <c r="H85" s="17"/>
      <c r="I85" s="1"/>
      <c r="J85" s="1"/>
      <c r="K85" s="1"/>
      <c r="L85" s="1"/>
      <c r="M85" s="1"/>
    </row>
    <row r="86" spans="1:13" x14ac:dyDescent="0.25">
      <c r="A86" s="19"/>
      <c r="B86" s="1"/>
      <c r="C86" s="1"/>
      <c r="D86" s="1"/>
      <c r="E86" s="1"/>
      <c r="F86" s="1"/>
      <c r="G86" s="1"/>
      <c r="H86" s="17"/>
      <c r="I86" s="1"/>
      <c r="J86" s="1"/>
      <c r="K86" s="1"/>
      <c r="L86" s="1"/>
      <c r="M86" s="1"/>
    </row>
    <row r="87" spans="1:13" x14ac:dyDescent="0.25">
      <c r="A87" s="19"/>
      <c r="B87" s="1"/>
      <c r="C87" s="1"/>
      <c r="D87" s="1"/>
      <c r="E87" s="1"/>
      <c r="F87" s="1"/>
      <c r="G87" s="1"/>
      <c r="H87" s="17"/>
      <c r="I87" s="1"/>
      <c r="J87" s="1"/>
      <c r="K87" s="1"/>
      <c r="L87" s="1"/>
      <c r="M87" s="1"/>
    </row>
    <row r="88" spans="1:13" x14ac:dyDescent="0.25">
      <c r="A88" s="19"/>
      <c r="B88" s="1"/>
      <c r="C88" s="1"/>
      <c r="D88" s="1"/>
      <c r="E88" s="1"/>
      <c r="F88" s="1"/>
      <c r="G88" s="1"/>
      <c r="H88" s="17"/>
      <c r="I88" s="1"/>
      <c r="J88" s="1"/>
      <c r="K88" s="1"/>
      <c r="L88" s="1"/>
      <c r="M88" s="1"/>
    </row>
    <row r="89" spans="1:13" x14ac:dyDescent="0.25">
      <c r="A89" s="19"/>
      <c r="B89" s="1"/>
      <c r="C89" s="1"/>
      <c r="D89" s="1"/>
      <c r="E89" s="1"/>
      <c r="F89" s="1"/>
      <c r="G89" s="1"/>
      <c r="H89" s="17"/>
      <c r="I89" s="1"/>
      <c r="J89" s="1"/>
      <c r="K89" s="1"/>
      <c r="L89" s="1"/>
      <c r="M89" s="1"/>
    </row>
    <row r="90" spans="1:13" x14ac:dyDescent="0.25">
      <c r="A90" s="19"/>
      <c r="B90" s="1"/>
      <c r="C90" s="1"/>
      <c r="D90" s="1"/>
      <c r="E90" s="1"/>
      <c r="F90" s="1"/>
      <c r="G90" s="1"/>
      <c r="H90" s="17"/>
      <c r="I90" s="1"/>
      <c r="J90" s="1"/>
      <c r="K90" s="1"/>
      <c r="L90" s="1"/>
      <c r="M90" s="1"/>
    </row>
    <row r="91" spans="1:13" x14ac:dyDescent="0.25">
      <c r="A91" s="19"/>
      <c r="B91" s="1"/>
      <c r="C91" s="1"/>
      <c r="D91" s="1"/>
      <c r="E91" s="1"/>
      <c r="F91" s="1"/>
      <c r="G91" s="1"/>
      <c r="H91" s="17"/>
      <c r="I91" s="1"/>
      <c r="J91" s="1"/>
      <c r="K91" s="1"/>
      <c r="L91" s="1"/>
      <c r="M91" s="1"/>
    </row>
    <row r="92" spans="1:13" x14ac:dyDescent="0.25">
      <c r="A92" s="19"/>
      <c r="B92" s="1"/>
      <c r="C92" s="1"/>
      <c r="D92" s="1"/>
      <c r="E92" s="1"/>
      <c r="F92" s="1"/>
      <c r="G92" s="1"/>
      <c r="H92" s="17"/>
      <c r="I92" s="1"/>
      <c r="J92" s="1"/>
      <c r="K92" s="1"/>
      <c r="L92" s="1"/>
      <c r="M92" s="1"/>
    </row>
    <row r="93" spans="1:13" x14ac:dyDescent="0.25">
      <c r="A93" s="19"/>
      <c r="B93" s="1"/>
      <c r="C93" s="1"/>
      <c r="D93" s="1"/>
      <c r="E93" s="1"/>
      <c r="F93" s="1"/>
      <c r="G93" s="1"/>
      <c r="H93" s="17"/>
      <c r="I93" s="1"/>
      <c r="J93" s="1"/>
      <c r="K93" s="1"/>
      <c r="L93" s="1"/>
      <c r="M93" s="1"/>
    </row>
    <row r="94" spans="1:13" x14ac:dyDescent="0.25">
      <c r="A94" s="19"/>
      <c r="B94" s="1"/>
      <c r="C94" s="1"/>
      <c r="D94" s="1"/>
      <c r="E94" s="1"/>
      <c r="F94" s="1"/>
      <c r="G94" s="1"/>
      <c r="H94" s="17"/>
      <c r="I94" s="1"/>
      <c r="J94" s="1"/>
      <c r="K94" s="1"/>
      <c r="L94" s="1"/>
      <c r="M94" s="1"/>
    </row>
    <row r="95" spans="1:13" x14ac:dyDescent="0.25">
      <c r="A95" s="19"/>
      <c r="B95" s="1"/>
      <c r="C95" s="1"/>
      <c r="D95" s="1"/>
      <c r="E95" s="1"/>
      <c r="F95" s="1"/>
      <c r="G95" s="1"/>
      <c r="H95" s="17"/>
      <c r="I95" s="1"/>
      <c r="J95" s="1"/>
      <c r="K95" s="1"/>
      <c r="L95" s="1"/>
      <c r="M95" s="1"/>
    </row>
    <row r="96" spans="1:13" x14ac:dyDescent="0.25">
      <c r="A96" s="19"/>
      <c r="B96" s="1"/>
      <c r="C96" s="1"/>
      <c r="D96" s="1"/>
      <c r="E96" s="1"/>
      <c r="F96" s="1"/>
      <c r="G96" s="1"/>
      <c r="H96" s="17"/>
      <c r="I96" s="1"/>
      <c r="J96" s="1"/>
      <c r="K96" s="1"/>
      <c r="L96" s="1"/>
      <c r="M96" s="1"/>
    </row>
    <row r="97" spans="1:13" x14ac:dyDescent="0.25">
      <c r="A97" s="19"/>
      <c r="B97" s="1"/>
      <c r="C97" s="1"/>
      <c r="D97" s="1"/>
      <c r="E97" s="1"/>
      <c r="F97" s="1"/>
      <c r="G97" s="1"/>
      <c r="H97" s="17"/>
      <c r="I97" s="1"/>
      <c r="J97" s="1"/>
      <c r="K97" s="1"/>
      <c r="L97" s="1"/>
      <c r="M97" s="1"/>
    </row>
    <row r="98" spans="1:13" x14ac:dyDescent="0.25">
      <c r="A98" s="19"/>
      <c r="B98" s="1"/>
      <c r="C98" s="1"/>
      <c r="D98" s="1"/>
      <c r="E98" s="1"/>
      <c r="F98" s="1"/>
      <c r="G98" s="1"/>
      <c r="H98" s="17"/>
      <c r="I98" s="1"/>
      <c r="J98" s="1"/>
      <c r="K98" s="1"/>
      <c r="L98" s="1"/>
      <c r="M98" s="1"/>
    </row>
    <row r="99" spans="1:13" x14ac:dyDescent="0.25">
      <c r="A99" s="19"/>
      <c r="B99" s="1"/>
      <c r="C99" s="1"/>
      <c r="D99" s="1"/>
      <c r="E99" s="1"/>
      <c r="F99" s="1"/>
      <c r="G99" s="1"/>
      <c r="H99" s="17"/>
      <c r="I99" s="1"/>
      <c r="J99" s="1"/>
      <c r="K99" s="1"/>
      <c r="L99" s="1"/>
      <c r="M99" s="1"/>
    </row>
    <row r="100" spans="1:13" x14ac:dyDescent="0.25">
      <c r="A100" s="45" t="s">
        <v>0</v>
      </c>
      <c r="B100" s="45"/>
      <c r="C100" s="45"/>
      <c r="D100" s="9"/>
      <c r="E100" s="9"/>
      <c r="F100" s="9"/>
      <c r="G100" s="9"/>
      <c r="H100" s="17"/>
      <c r="I100" s="1"/>
      <c r="J100" s="1"/>
      <c r="K100" s="1"/>
      <c r="L100" s="1"/>
      <c r="M100" s="1"/>
    </row>
    <row r="101" spans="1:13" x14ac:dyDescent="0.25">
      <c r="A101" s="45" t="s">
        <v>1</v>
      </c>
      <c r="B101" s="45"/>
      <c r="C101" s="45"/>
      <c r="D101" s="9"/>
      <c r="E101" s="9"/>
      <c r="F101" s="9"/>
      <c r="G101" s="9"/>
      <c r="H101" s="17"/>
      <c r="I101" s="1"/>
      <c r="J101" s="1"/>
      <c r="K101" s="1"/>
      <c r="L101" s="1"/>
      <c r="M101" s="1"/>
    </row>
    <row r="102" spans="1:13" x14ac:dyDescent="0.25">
      <c r="A102" s="45" t="s">
        <v>11</v>
      </c>
      <c r="B102" s="45"/>
      <c r="C102" s="45"/>
      <c r="D102" s="9"/>
      <c r="E102" s="9"/>
      <c r="F102" s="9"/>
      <c r="G102" s="9"/>
      <c r="H102" s="17"/>
      <c r="I102" s="1"/>
      <c r="J102" s="1"/>
      <c r="K102" s="1"/>
      <c r="L102" s="1"/>
      <c r="M102" s="1"/>
    </row>
    <row r="103" spans="1:13" x14ac:dyDescent="0.25">
      <c r="A103" s="18"/>
      <c r="B103" s="9"/>
      <c r="C103" s="9"/>
      <c r="D103" s="9"/>
      <c r="E103" s="9"/>
      <c r="F103" s="9"/>
      <c r="G103" s="9"/>
      <c r="H103" s="17"/>
      <c r="I103" s="1"/>
      <c r="J103" s="1"/>
      <c r="K103" s="1"/>
      <c r="L103" s="1"/>
      <c r="M103" s="1"/>
    </row>
    <row r="104" spans="1:13" x14ac:dyDescent="0.25">
      <c r="A104" s="314" t="s">
        <v>50</v>
      </c>
      <c r="B104" s="314"/>
      <c r="C104" s="314"/>
      <c r="D104" s="314"/>
      <c r="E104" s="314"/>
      <c r="F104" s="314"/>
      <c r="G104" s="314"/>
      <c r="H104" s="17"/>
      <c r="I104" s="1"/>
      <c r="J104" s="1"/>
      <c r="K104" s="1"/>
      <c r="L104" s="1"/>
      <c r="M104" s="1"/>
    </row>
    <row r="105" spans="1:13" x14ac:dyDescent="0.25">
      <c r="A105" s="314" t="s">
        <v>3225</v>
      </c>
      <c r="B105" s="314"/>
      <c r="C105" s="314"/>
      <c r="D105" s="314"/>
      <c r="E105" s="314"/>
      <c r="F105" s="314"/>
      <c r="G105" s="314"/>
      <c r="H105" s="17"/>
      <c r="I105" s="1"/>
      <c r="J105" s="1"/>
      <c r="K105" s="1"/>
      <c r="L105" s="1"/>
      <c r="M105" s="1"/>
    </row>
    <row r="106" spans="1:13" ht="15.75" thickBot="1" x14ac:dyDescent="0.3">
      <c r="A106" s="19"/>
      <c r="B106" s="1"/>
      <c r="C106" s="1"/>
      <c r="D106" s="1"/>
      <c r="E106" s="1"/>
      <c r="F106" s="1"/>
      <c r="G106" s="1"/>
      <c r="H106" s="17"/>
      <c r="I106" s="1"/>
      <c r="J106" s="1"/>
      <c r="K106" s="1"/>
      <c r="L106" s="1"/>
      <c r="M106" s="1"/>
    </row>
    <row r="107" spans="1:13" x14ac:dyDescent="0.25">
      <c r="A107" s="32" t="s">
        <v>46</v>
      </c>
      <c r="B107" s="48" t="s">
        <v>3</v>
      </c>
      <c r="C107" s="272" t="s">
        <v>4</v>
      </c>
      <c r="D107" s="272"/>
      <c r="E107" s="33" t="s">
        <v>47</v>
      </c>
      <c r="F107" s="33" t="s">
        <v>48</v>
      </c>
      <c r="G107" s="34" t="s">
        <v>49</v>
      </c>
      <c r="H107" s="17"/>
      <c r="I107" s="1"/>
      <c r="J107" s="1"/>
      <c r="K107" s="1"/>
      <c r="L107" s="1"/>
      <c r="M107" s="1"/>
    </row>
    <row r="108" spans="1:13" x14ac:dyDescent="0.25">
      <c r="A108" s="41"/>
      <c r="B108" s="24"/>
      <c r="C108" s="35"/>
      <c r="D108" s="38"/>
      <c r="E108" s="24"/>
      <c r="F108" s="24"/>
      <c r="G108" s="25"/>
      <c r="H108" s="17"/>
      <c r="I108" s="1"/>
      <c r="J108" s="1"/>
      <c r="K108" s="1"/>
      <c r="L108" s="1"/>
      <c r="M108" s="1"/>
    </row>
    <row r="109" spans="1:13" x14ac:dyDescent="0.25">
      <c r="A109" s="41">
        <v>1</v>
      </c>
      <c r="B109" s="53" t="s">
        <v>3230</v>
      </c>
      <c r="C109" s="46" t="s">
        <v>52</v>
      </c>
      <c r="D109" s="47"/>
      <c r="E109" s="51" t="s">
        <v>56</v>
      </c>
      <c r="F109" s="27" t="e">
        <f>#REF!</f>
        <v>#REF!</v>
      </c>
      <c r="G109" s="25"/>
      <c r="H109" s="17"/>
      <c r="I109" s="1"/>
      <c r="J109" s="1"/>
      <c r="K109" s="1"/>
      <c r="L109" s="1"/>
      <c r="M109" s="1"/>
    </row>
    <row r="110" spans="1:13" x14ac:dyDescent="0.25">
      <c r="A110" s="41"/>
      <c r="B110" s="49"/>
      <c r="C110" s="46" t="s">
        <v>53</v>
      </c>
      <c r="D110" s="47"/>
      <c r="E110" s="51" t="s">
        <v>56</v>
      </c>
      <c r="F110" s="27" t="e">
        <f>#REF!</f>
        <v>#REF!</v>
      </c>
      <c r="G110" s="25"/>
      <c r="H110" s="17"/>
      <c r="I110" s="1"/>
      <c r="J110" s="1"/>
      <c r="K110" s="1"/>
      <c r="L110" s="1"/>
      <c r="M110" s="1"/>
    </row>
    <row r="111" spans="1:13" x14ac:dyDescent="0.25">
      <c r="A111" s="41"/>
      <c r="B111" s="49"/>
      <c r="C111" s="46" t="s">
        <v>54</v>
      </c>
      <c r="D111" s="47"/>
      <c r="E111" s="51" t="s">
        <v>56</v>
      </c>
      <c r="F111" s="27" t="e">
        <f>#REF!</f>
        <v>#REF!</v>
      </c>
      <c r="G111" s="25"/>
      <c r="H111" s="17"/>
      <c r="I111" s="1"/>
      <c r="J111" s="1"/>
      <c r="K111" s="1"/>
      <c r="L111" s="1"/>
      <c r="M111" s="1"/>
    </row>
    <row r="112" spans="1:13" x14ac:dyDescent="0.25">
      <c r="A112" s="41"/>
      <c r="B112" s="24"/>
      <c r="C112" s="46"/>
      <c r="D112" s="50" t="s">
        <v>51</v>
      </c>
      <c r="E112" s="51" t="s">
        <v>56</v>
      </c>
      <c r="F112" s="27"/>
      <c r="G112" s="52" t="e">
        <f>#REF!</f>
        <v>#REF!</v>
      </c>
      <c r="H112" s="17"/>
      <c r="I112" s="1"/>
      <c r="J112" s="1"/>
      <c r="K112" s="1"/>
      <c r="L112" s="1"/>
      <c r="M112" s="1"/>
    </row>
    <row r="113" spans="1:13" x14ac:dyDescent="0.25">
      <c r="A113" s="41"/>
      <c r="B113" s="24"/>
      <c r="C113" s="46"/>
      <c r="D113" s="47"/>
      <c r="E113" s="51"/>
      <c r="F113" s="27"/>
      <c r="G113" s="25"/>
      <c r="H113" s="17"/>
      <c r="I113" s="1"/>
      <c r="J113" s="1"/>
      <c r="K113" s="1"/>
      <c r="L113" s="1"/>
      <c r="M113" s="1"/>
    </row>
    <row r="114" spans="1:13" x14ac:dyDescent="0.25">
      <c r="A114" s="26"/>
      <c r="B114" s="10"/>
      <c r="C114" s="46"/>
      <c r="D114" s="39"/>
      <c r="E114" s="51"/>
      <c r="F114" s="27"/>
      <c r="G114" s="28"/>
      <c r="H114" s="17"/>
      <c r="I114" s="1"/>
      <c r="J114" s="1"/>
      <c r="K114" s="1"/>
      <c r="L114" s="1"/>
      <c r="M114" s="1"/>
    </row>
    <row r="115" spans="1:13" x14ac:dyDescent="0.25">
      <c r="A115" s="29"/>
      <c r="B115" s="30"/>
      <c r="C115" s="37"/>
      <c r="D115" s="40"/>
      <c r="E115" s="30"/>
      <c r="F115" s="30"/>
      <c r="G115" s="42"/>
      <c r="H115" s="17"/>
      <c r="I115" s="1"/>
      <c r="J115" s="1"/>
      <c r="K115" s="1"/>
      <c r="L115" s="1"/>
      <c r="M115" s="1"/>
    </row>
    <row r="116" spans="1:13" ht="15.75" thickBot="1" x14ac:dyDescent="0.3">
      <c r="A116" s="29"/>
      <c r="B116" s="30"/>
      <c r="C116" s="37"/>
      <c r="D116" s="40"/>
      <c r="E116" s="30"/>
      <c r="F116" s="30"/>
      <c r="G116" s="31"/>
      <c r="H116" s="17"/>
      <c r="I116" s="1"/>
      <c r="J116" s="1"/>
      <c r="K116" s="1"/>
      <c r="L116" s="1"/>
      <c r="M116" s="1"/>
    </row>
    <row r="117" spans="1:13" ht="15.75" thickBot="1" x14ac:dyDescent="0.3">
      <c r="A117" s="324" t="s">
        <v>10</v>
      </c>
      <c r="B117" s="325"/>
      <c r="C117" s="325"/>
      <c r="D117" s="325"/>
      <c r="E117" s="325"/>
      <c r="F117" s="43" t="e">
        <f>SUM(F109:F116)</f>
        <v>#REF!</v>
      </c>
      <c r="G117" s="43" t="e">
        <f>SUM(G109:G116)</f>
        <v>#REF!</v>
      </c>
      <c r="H117" s="17"/>
      <c r="I117" s="1"/>
      <c r="J117" s="1"/>
      <c r="K117" s="1"/>
      <c r="L117" s="1"/>
      <c r="M117" s="1"/>
    </row>
    <row r="118" spans="1:13" x14ac:dyDescent="0.25">
      <c r="A118" s="19"/>
      <c r="B118" s="1"/>
      <c r="C118" s="1"/>
      <c r="D118" s="1"/>
      <c r="E118" s="1"/>
      <c r="F118" s="1"/>
      <c r="G118" s="1"/>
      <c r="H118" s="17"/>
      <c r="I118" s="1"/>
      <c r="J118" s="1"/>
      <c r="K118" s="1"/>
      <c r="L118" s="1"/>
      <c r="M118" s="1"/>
    </row>
    <row r="119" spans="1:13" x14ac:dyDescent="0.25">
      <c r="A119" s="19"/>
      <c r="B119" s="1"/>
      <c r="C119" s="1"/>
      <c r="D119" s="1"/>
      <c r="E119" s="1"/>
      <c r="F119" s="1"/>
      <c r="G119" s="1"/>
      <c r="H119" s="17"/>
      <c r="I119" s="1"/>
      <c r="J119" s="1"/>
      <c r="K119" s="1"/>
      <c r="L119" s="1"/>
      <c r="M119" s="1"/>
    </row>
    <row r="120" spans="1:13" x14ac:dyDescent="0.25">
      <c r="A120" s="19"/>
      <c r="B120" s="1"/>
      <c r="C120" s="1"/>
      <c r="D120" s="1"/>
      <c r="E120" s="1"/>
      <c r="F120" s="1"/>
      <c r="G120" s="1"/>
      <c r="H120" s="17"/>
      <c r="I120" s="1"/>
      <c r="J120" s="1"/>
      <c r="K120" s="1"/>
      <c r="L120" s="1"/>
      <c r="M120" s="1"/>
    </row>
    <row r="121" spans="1:13" x14ac:dyDescent="0.25">
      <c r="A121" s="19"/>
      <c r="B121" s="1"/>
      <c r="C121" s="1"/>
      <c r="D121" s="1"/>
      <c r="E121" s="1"/>
      <c r="F121" s="1"/>
      <c r="G121" s="1"/>
      <c r="H121" s="17"/>
      <c r="I121" s="1"/>
      <c r="J121" s="1"/>
      <c r="K121" s="1"/>
      <c r="L121" s="1"/>
      <c r="M121" s="1"/>
    </row>
    <row r="122" spans="1:13" x14ac:dyDescent="0.25">
      <c r="A122" s="19"/>
      <c r="B122" s="1"/>
      <c r="C122" s="1"/>
      <c r="D122" s="1"/>
      <c r="E122" s="1"/>
      <c r="F122" s="1"/>
      <c r="G122" s="1"/>
      <c r="H122" s="17"/>
      <c r="I122" s="1"/>
      <c r="J122" s="1"/>
      <c r="K122" s="1"/>
      <c r="L122" s="1"/>
      <c r="M122" s="1"/>
    </row>
    <row r="123" spans="1:13" x14ac:dyDescent="0.25">
      <c r="A123" s="19"/>
      <c r="B123" s="1"/>
      <c r="C123" s="1"/>
      <c r="D123" s="1"/>
      <c r="E123" s="1"/>
      <c r="F123" s="1"/>
      <c r="G123" s="1"/>
      <c r="H123" s="17"/>
      <c r="I123" s="1"/>
      <c r="J123" s="1"/>
      <c r="K123" s="1"/>
      <c r="L123" s="1"/>
      <c r="M123" s="1"/>
    </row>
    <row r="124" spans="1:13" x14ac:dyDescent="0.25">
      <c r="A124" s="19"/>
      <c r="B124" s="1"/>
      <c r="C124" s="1"/>
      <c r="D124" s="1"/>
      <c r="E124" s="1"/>
      <c r="F124" s="1"/>
      <c r="G124" s="1"/>
      <c r="H124" s="17"/>
      <c r="I124" s="1"/>
      <c r="J124" s="1"/>
      <c r="K124" s="1"/>
      <c r="L124" s="1"/>
      <c r="M124" s="1"/>
    </row>
    <row r="125" spans="1:13" x14ac:dyDescent="0.25">
      <c r="A125" s="19"/>
      <c r="B125" s="1"/>
      <c r="C125" s="1"/>
      <c r="D125" s="1"/>
      <c r="E125" s="1"/>
      <c r="F125" s="1"/>
      <c r="G125" s="1"/>
      <c r="H125" s="17"/>
      <c r="I125" s="1"/>
      <c r="J125" s="1"/>
      <c r="K125" s="1"/>
      <c r="L125" s="1"/>
      <c r="M125" s="1"/>
    </row>
    <row r="126" spans="1:13" x14ac:dyDescent="0.25">
      <c r="A126" s="19"/>
      <c r="B126" s="1"/>
      <c r="C126" s="1"/>
      <c r="D126" s="1"/>
      <c r="E126" s="1"/>
      <c r="F126" s="1"/>
      <c r="G126" s="1"/>
      <c r="H126" s="17"/>
      <c r="I126" s="1"/>
      <c r="J126" s="1"/>
      <c r="K126" s="1"/>
      <c r="L126" s="1"/>
      <c r="M126" s="1"/>
    </row>
    <row r="127" spans="1:13" x14ac:dyDescent="0.25">
      <c r="A127" s="19"/>
      <c r="B127" s="1"/>
      <c r="C127" s="1"/>
      <c r="D127" s="1"/>
      <c r="E127" s="1"/>
      <c r="F127" s="1"/>
      <c r="G127" s="1"/>
      <c r="H127" s="17"/>
      <c r="I127" s="1"/>
      <c r="J127" s="1"/>
      <c r="K127" s="1"/>
      <c r="L127" s="1"/>
      <c r="M127" s="1"/>
    </row>
    <row r="128" spans="1:13" x14ac:dyDescent="0.25">
      <c r="A128" s="19"/>
      <c r="B128" s="1"/>
      <c r="C128" s="1"/>
      <c r="D128" s="1"/>
      <c r="E128" s="1"/>
      <c r="F128" s="1"/>
      <c r="G128" s="1"/>
      <c r="H128" s="17"/>
      <c r="I128" s="1"/>
      <c r="J128" s="1"/>
      <c r="K128" s="1"/>
      <c r="L128" s="1"/>
      <c r="M128" s="1"/>
    </row>
    <row r="129" spans="1:13" x14ac:dyDescent="0.25">
      <c r="A129" s="19"/>
      <c r="B129" s="1"/>
      <c r="C129" s="1"/>
      <c r="D129" s="1"/>
      <c r="E129" s="1"/>
      <c r="F129" s="1"/>
      <c r="G129" s="1"/>
      <c r="H129" s="17"/>
      <c r="I129" s="1"/>
      <c r="J129" s="1"/>
      <c r="K129" s="1"/>
      <c r="L129" s="1"/>
      <c r="M129" s="1"/>
    </row>
    <row r="130" spans="1:13" x14ac:dyDescent="0.25">
      <c r="A130" s="19"/>
      <c r="B130" s="1"/>
      <c r="C130" s="1"/>
      <c r="D130" s="1"/>
      <c r="E130" s="1"/>
      <c r="F130" s="1"/>
      <c r="G130" s="1"/>
      <c r="H130" s="17"/>
      <c r="I130" s="1"/>
      <c r="J130" s="1"/>
      <c r="K130" s="1"/>
      <c r="L130" s="1"/>
      <c r="M130" s="1"/>
    </row>
    <row r="131" spans="1:13" x14ac:dyDescent="0.25">
      <c r="A131" s="19"/>
      <c r="B131" s="1"/>
      <c r="C131" s="1"/>
      <c r="D131" s="1"/>
      <c r="E131" s="1"/>
      <c r="F131" s="1"/>
      <c r="G131" s="1"/>
      <c r="H131" s="17"/>
      <c r="I131" s="1"/>
      <c r="J131" s="1"/>
      <c r="K131" s="1"/>
      <c r="L131" s="1"/>
      <c r="M131" s="1"/>
    </row>
    <row r="132" spans="1:13" x14ac:dyDescent="0.25">
      <c r="A132" s="19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 x14ac:dyDescent="0.25">
      <c r="A133" s="19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3" x14ac:dyDescent="0.25">
      <c r="A134" s="19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 x14ac:dyDescent="0.25">
      <c r="A135" s="19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 x14ac:dyDescent="0.25">
      <c r="A136" s="19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3" x14ac:dyDescent="0.25">
      <c r="A137" s="19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 x14ac:dyDescent="0.25">
      <c r="A138" s="19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 x14ac:dyDescent="0.25">
      <c r="A139" s="19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 x14ac:dyDescent="0.25">
      <c r="A140" s="19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 x14ac:dyDescent="0.25">
      <c r="A141" s="19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3" x14ac:dyDescent="0.25">
      <c r="A142" s="19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 x14ac:dyDescent="0.25">
      <c r="A143" s="19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1:13" x14ac:dyDescent="0.25">
      <c r="A144" s="19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1:13" x14ac:dyDescent="0.25">
      <c r="A145" s="19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1:13" x14ac:dyDescent="0.25">
      <c r="A146" s="19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1:13" x14ac:dyDescent="0.25">
      <c r="A147" s="19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1:13" x14ac:dyDescent="0.25">
      <c r="A148" s="19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1:13" x14ac:dyDescent="0.25">
      <c r="A149" s="19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1:13" x14ac:dyDescent="0.25">
      <c r="A150" s="45" t="s">
        <v>0</v>
      </c>
      <c r="B150" s="45"/>
      <c r="C150" s="45"/>
      <c r="D150" s="9"/>
      <c r="E150" s="9"/>
      <c r="F150" s="9"/>
      <c r="G150" s="9"/>
      <c r="H150" s="1"/>
      <c r="I150" s="1"/>
      <c r="J150" s="1"/>
      <c r="K150" s="1"/>
      <c r="L150" s="1"/>
      <c r="M150" s="1"/>
    </row>
    <row r="151" spans="1:13" x14ac:dyDescent="0.25">
      <c r="A151" s="45" t="s">
        <v>1</v>
      </c>
      <c r="B151" s="45"/>
      <c r="C151" s="45"/>
      <c r="D151" s="9"/>
      <c r="E151" s="9"/>
      <c r="F151" s="9"/>
      <c r="G151" s="9"/>
      <c r="H151" s="1"/>
      <c r="I151" s="1"/>
      <c r="J151" s="1"/>
      <c r="K151" s="1"/>
      <c r="L151" s="1"/>
      <c r="M151" s="1"/>
    </row>
    <row r="152" spans="1:13" x14ac:dyDescent="0.25">
      <c r="A152" s="45" t="s">
        <v>11</v>
      </c>
      <c r="B152" s="45"/>
      <c r="C152" s="45"/>
      <c r="D152" s="9"/>
      <c r="E152" s="9"/>
      <c r="F152" s="9"/>
      <c r="G152" s="9"/>
      <c r="H152" s="1"/>
      <c r="I152" s="1"/>
      <c r="J152" s="1"/>
      <c r="K152" s="1"/>
      <c r="L152" s="1"/>
      <c r="M152" s="1"/>
    </row>
    <row r="153" spans="1:13" x14ac:dyDescent="0.25">
      <c r="A153" s="18"/>
      <c r="B153" s="9"/>
      <c r="C153" s="9"/>
      <c r="D153" s="9"/>
      <c r="E153" s="9"/>
      <c r="F153" s="9"/>
      <c r="G153" s="9"/>
      <c r="H153" s="1"/>
      <c r="I153" s="1"/>
      <c r="J153" s="1"/>
      <c r="K153" s="1"/>
      <c r="L153" s="1"/>
      <c r="M153" s="1"/>
    </row>
    <row r="154" spans="1:13" x14ac:dyDescent="0.25">
      <c r="A154" s="314" t="s">
        <v>50</v>
      </c>
      <c r="B154" s="314"/>
      <c r="C154" s="314"/>
      <c r="D154" s="314"/>
      <c r="E154" s="314"/>
      <c r="F154" s="314"/>
      <c r="G154" s="314"/>
      <c r="H154" s="1"/>
      <c r="I154" s="1"/>
      <c r="J154" s="1"/>
      <c r="K154" s="1"/>
      <c r="L154" s="1"/>
      <c r="M154" s="1"/>
    </row>
    <row r="155" spans="1:13" x14ac:dyDescent="0.25">
      <c r="A155" s="314" t="s">
        <v>3224</v>
      </c>
      <c r="B155" s="314"/>
      <c r="C155" s="314"/>
      <c r="D155" s="314"/>
      <c r="E155" s="314"/>
      <c r="F155" s="314"/>
      <c r="G155" s="314"/>
      <c r="H155" s="1"/>
      <c r="I155" s="1"/>
      <c r="J155" s="1"/>
      <c r="K155" s="1"/>
      <c r="L155" s="1"/>
      <c r="M155" s="1"/>
    </row>
    <row r="156" spans="1:13" ht="15.75" thickBot="1" x14ac:dyDescent="0.3">
      <c r="A156" s="19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1:13" x14ac:dyDescent="0.25">
      <c r="A157" s="32" t="s">
        <v>46</v>
      </c>
      <c r="B157" s="48" t="s">
        <v>3</v>
      </c>
      <c r="C157" s="272" t="s">
        <v>4</v>
      </c>
      <c r="D157" s="272"/>
      <c r="E157" s="33" t="s">
        <v>47</v>
      </c>
      <c r="F157" s="33" t="s">
        <v>48</v>
      </c>
      <c r="G157" s="34" t="s">
        <v>49</v>
      </c>
      <c r="H157" s="1"/>
      <c r="I157" s="1"/>
      <c r="J157" s="1"/>
      <c r="K157" s="1"/>
      <c r="L157" s="1"/>
      <c r="M157" s="1"/>
    </row>
    <row r="158" spans="1:13" x14ac:dyDescent="0.25">
      <c r="A158" s="41"/>
      <c r="B158" s="24"/>
      <c r="C158" s="35"/>
      <c r="D158" s="38"/>
      <c r="E158" s="24"/>
      <c r="F158" s="24"/>
      <c r="G158" s="25"/>
      <c r="H158" s="1"/>
      <c r="I158" s="1"/>
      <c r="J158" s="1"/>
      <c r="K158" s="1"/>
      <c r="L158" s="1"/>
      <c r="M158" s="1"/>
    </row>
    <row r="159" spans="1:13" x14ac:dyDescent="0.25">
      <c r="A159" s="41">
        <v>1</v>
      </c>
      <c r="B159" s="53" t="s">
        <v>3229</v>
      </c>
      <c r="C159" s="46" t="s">
        <v>52</v>
      </c>
      <c r="D159" s="47"/>
      <c r="E159" s="51" t="s">
        <v>57</v>
      </c>
      <c r="F159" s="27" t="e">
        <f>#REF!</f>
        <v>#REF!</v>
      </c>
      <c r="G159" s="25"/>
      <c r="H159" s="1"/>
      <c r="I159" s="1"/>
      <c r="J159" s="1"/>
      <c r="K159" s="1"/>
      <c r="L159" s="1"/>
      <c r="M159" s="1"/>
    </row>
    <row r="160" spans="1:13" x14ac:dyDescent="0.25">
      <c r="A160" s="41"/>
      <c r="B160" s="49"/>
      <c r="C160" s="46" t="s">
        <v>53</v>
      </c>
      <c r="D160" s="47"/>
      <c r="E160" s="51" t="s">
        <v>57</v>
      </c>
      <c r="F160" s="27" t="e">
        <f>#REF!</f>
        <v>#REF!</v>
      </c>
      <c r="G160" s="25"/>
      <c r="H160" s="1"/>
      <c r="I160" s="1"/>
      <c r="J160" s="1"/>
      <c r="K160" s="1"/>
      <c r="L160" s="1"/>
      <c r="M160" s="1"/>
    </row>
    <row r="161" spans="1:13" x14ac:dyDescent="0.25">
      <c r="A161" s="41"/>
      <c r="B161" s="49"/>
      <c r="C161" s="46" t="s">
        <v>54</v>
      </c>
      <c r="D161" s="47"/>
      <c r="E161" s="51" t="s">
        <v>57</v>
      </c>
      <c r="F161" s="27" t="e">
        <f>#REF!</f>
        <v>#REF!</v>
      </c>
      <c r="G161" s="25"/>
      <c r="H161" s="1"/>
      <c r="I161" s="1"/>
      <c r="J161" s="1"/>
      <c r="K161" s="1"/>
      <c r="L161" s="1"/>
      <c r="M161" s="1"/>
    </row>
    <row r="162" spans="1:13" x14ac:dyDescent="0.25">
      <c r="A162" s="41"/>
      <c r="B162" s="24"/>
      <c r="C162" s="46"/>
      <c r="D162" s="50" t="s">
        <v>51</v>
      </c>
      <c r="E162" s="51" t="s">
        <v>57</v>
      </c>
      <c r="G162" s="27" t="e">
        <f>SUM(F159:F161)</f>
        <v>#REF!</v>
      </c>
      <c r="H162" s="1"/>
      <c r="I162" s="1"/>
      <c r="J162" s="1"/>
      <c r="K162" s="1"/>
      <c r="L162" s="1"/>
      <c r="M162" s="1"/>
    </row>
    <row r="163" spans="1:13" x14ac:dyDescent="0.25">
      <c r="A163" s="41"/>
      <c r="B163" s="24"/>
      <c r="C163" s="46"/>
      <c r="D163" s="47"/>
      <c r="E163" s="51"/>
      <c r="F163" s="27"/>
      <c r="G163" s="25"/>
      <c r="H163" s="1"/>
      <c r="I163" s="1"/>
      <c r="J163" s="1"/>
      <c r="K163" s="1"/>
      <c r="L163" s="1"/>
      <c r="M163" s="1"/>
    </row>
    <row r="164" spans="1:13" x14ac:dyDescent="0.25">
      <c r="A164" s="29"/>
      <c r="B164" s="30"/>
      <c r="C164" s="37"/>
      <c r="D164" s="40"/>
      <c r="E164" s="30"/>
      <c r="F164" s="30"/>
      <c r="G164" s="42"/>
      <c r="H164" s="1"/>
      <c r="I164" s="1"/>
      <c r="J164" s="1"/>
      <c r="K164" s="1"/>
      <c r="L164" s="1"/>
      <c r="M164" s="1"/>
    </row>
    <row r="165" spans="1:13" ht="15.75" thickBot="1" x14ac:dyDescent="0.3">
      <c r="A165" s="29"/>
      <c r="B165" s="30"/>
      <c r="C165" s="37"/>
      <c r="D165" s="40"/>
      <c r="E165" s="30"/>
      <c r="F165" s="30"/>
      <c r="G165" s="31"/>
      <c r="H165" s="1"/>
      <c r="I165" s="1"/>
      <c r="J165" s="1"/>
      <c r="K165" s="1"/>
      <c r="L165" s="1"/>
      <c r="M165" s="1"/>
    </row>
    <row r="166" spans="1:13" ht="15.75" thickBot="1" x14ac:dyDescent="0.3">
      <c r="A166" s="324" t="s">
        <v>10</v>
      </c>
      <c r="B166" s="325"/>
      <c r="C166" s="325"/>
      <c r="D166" s="325"/>
      <c r="E166" s="325"/>
      <c r="F166" s="43" t="e">
        <f>SUM(F159:F165)</f>
        <v>#REF!</v>
      </c>
      <c r="G166" s="43" t="e">
        <f>SUM(G159:G165)</f>
        <v>#REF!</v>
      </c>
      <c r="H166" s="1"/>
      <c r="I166" s="1"/>
      <c r="J166" s="1"/>
      <c r="K166" s="1"/>
      <c r="L166" s="1"/>
      <c r="M166" s="1"/>
    </row>
    <row r="167" spans="1:13" x14ac:dyDescent="0.25">
      <c r="A167" s="19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1:13" x14ac:dyDescent="0.25">
      <c r="A168" s="19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1:13" x14ac:dyDescent="0.25">
      <c r="A169" s="19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1:13" x14ac:dyDescent="0.25">
      <c r="A170" s="19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1:13" x14ac:dyDescent="0.25">
      <c r="A171" s="19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1:13" x14ac:dyDescent="0.25">
      <c r="A172" s="19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1:13" x14ac:dyDescent="0.25">
      <c r="A173" s="19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1:13" x14ac:dyDescent="0.25">
      <c r="A174" s="19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1:13" x14ac:dyDescent="0.25">
      <c r="A175" s="19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1:13" x14ac:dyDescent="0.25">
      <c r="A176" s="19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1:13" x14ac:dyDescent="0.25">
      <c r="A177" s="19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1:13" x14ac:dyDescent="0.25">
      <c r="A178" s="19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1:13" x14ac:dyDescent="0.25">
      <c r="A179" s="19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1:13" x14ac:dyDescent="0.25">
      <c r="A180" s="19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1:13" x14ac:dyDescent="0.25">
      <c r="A181" s="19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1:13" x14ac:dyDescent="0.25">
      <c r="A182" s="19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1:13" x14ac:dyDescent="0.25">
      <c r="A183" s="19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1:13" x14ac:dyDescent="0.25">
      <c r="A184" s="19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1:13" x14ac:dyDescent="0.25">
      <c r="A185" s="19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1:13" x14ac:dyDescent="0.25">
      <c r="A186" s="19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1:13" x14ac:dyDescent="0.25">
      <c r="A187" s="19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1:13" x14ac:dyDescent="0.25">
      <c r="A188" s="19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1:13" x14ac:dyDescent="0.25">
      <c r="A189" s="19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1:13" x14ac:dyDescent="0.25">
      <c r="A190" s="19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1:13" x14ac:dyDescent="0.25">
      <c r="A191" s="19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1:13" x14ac:dyDescent="0.25">
      <c r="A192" s="19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1:13" x14ac:dyDescent="0.25">
      <c r="A193" s="19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1:13" x14ac:dyDescent="0.25">
      <c r="A194" s="19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1:13" x14ac:dyDescent="0.25">
      <c r="A195" s="19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1:13" x14ac:dyDescent="0.25">
      <c r="A196" s="19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1:13" x14ac:dyDescent="0.25">
      <c r="A197" s="19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1:13" x14ac:dyDescent="0.25">
      <c r="A198" s="19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1:13" x14ac:dyDescent="0.25">
      <c r="A199" s="19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1:13" x14ac:dyDescent="0.25">
      <c r="A200" s="45" t="s">
        <v>0</v>
      </c>
      <c r="B200" s="45"/>
      <c r="C200" s="45"/>
      <c r="D200" s="9"/>
      <c r="E200" s="9"/>
      <c r="F200" s="9"/>
      <c r="G200" s="9"/>
      <c r="H200" s="1"/>
      <c r="I200" s="1"/>
      <c r="J200" s="1"/>
      <c r="K200" s="1"/>
      <c r="L200" s="1"/>
      <c r="M200" s="1"/>
    </row>
    <row r="201" spans="1:13" x14ac:dyDescent="0.25">
      <c r="A201" s="45" t="s">
        <v>1</v>
      </c>
      <c r="B201" s="45"/>
      <c r="C201" s="45"/>
      <c r="D201" s="9"/>
      <c r="E201" s="9"/>
      <c r="F201" s="9"/>
      <c r="G201" s="9"/>
      <c r="H201" s="1"/>
      <c r="I201" s="1"/>
      <c r="J201" s="1"/>
      <c r="K201" s="1"/>
      <c r="L201" s="1"/>
      <c r="M201" s="1"/>
    </row>
    <row r="202" spans="1:13" x14ac:dyDescent="0.25">
      <c r="A202" s="45" t="s">
        <v>11</v>
      </c>
      <c r="B202" s="45"/>
      <c r="C202" s="45"/>
      <c r="D202" s="9"/>
      <c r="E202" s="9"/>
      <c r="F202" s="9"/>
      <c r="G202" s="9"/>
      <c r="H202" s="1"/>
      <c r="I202" s="1"/>
      <c r="J202" s="1"/>
      <c r="K202" s="1"/>
      <c r="L202" s="1"/>
      <c r="M202" s="1"/>
    </row>
    <row r="203" spans="1:13" x14ac:dyDescent="0.25">
      <c r="A203" s="18"/>
      <c r="B203" s="9"/>
      <c r="C203" s="9"/>
      <c r="D203" s="9"/>
      <c r="E203" s="9"/>
      <c r="F203" s="9"/>
      <c r="G203" s="9"/>
      <c r="H203" s="1"/>
      <c r="I203" s="1"/>
      <c r="J203" s="1"/>
      <c r="K203" s="1"/>
      <c r="L203" s="1"/>
      <c r="M203" s="1"/>
    </row>
    <row r="204" spans="1:13" x14ac:dyDescent="0.25">
      <c r="A204" s="314" t="s">
        <v>50</v>
      </c>
      <c r="B204" s="314"/>
      <c r="C204" s="314"/>
      <c r="D204" s="314"/>
      <c r="E204" s="314"/>
      <c r="F204" s="314"/>
      <c r="G204" s="314"/>
      <c r="H204" s="1"/>
      <c r="I204" s="1"/>
      <c r="J204" s="1"/>
      <c r="K204" s="1"/>
      <c r="L204" s="1"/>
      <c r="M204" s="1"/>
    </row>
    <row r="205" spans="1:13" x14ac:dyDescent="0.25">
      <c r="A205" s="314" t="s">
        <v>3223</v>
      </c>
      <c r="B205" s="314"/>
      <c r="C205" s="314"/>
      <c r="D205" s="314"/>
      <c r="E205" s="314"/>
      <c r="F205" s="314"/>
      <c r="G205" s="314"/>
      <c r="H205" s="1"/>
      <c r="I205" s="1"/>
      <c r="J205" s="1"/>
      <c r="K205" s="1"/>
      <c r="L205" s="1"/>
      <c r="M205" s="1"/>
    </row>
    <row r="206" spans="1:13" ht="15.75" thickBot="1" x14ac:dyDescent="0.3">
      <c r="A206" s="19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1:13" x14ac:dyDescent="0.25">
      <c r="A207" s="32" t="s">
        <v>46</v>
      </c>
      <c r="B207" s="48" t="s">
        <v>3</v>
      </c>
      <c r="C207" s="272" t="s">
        <v>4</v>
      </c>
      <c r="D207" s="272"/>
      <c r="E207" s="33" t="s">
        <v>47</v>
      </c>
      <c r="F207" s="33" t="s">
        <v>48</v>
      </c>
      <c r="G207" s="34" t="s">
        <v>49</v>
      </c>
      <c r="H207" s="1"/>
      <c r="I207" s="1"/>
      <c r="J207" s="1"/>
      <c r="K207" s="1"/>
      <c r="L207" s="1"/>
      <c r="M207" s="1"/>
    </row>
    <row r="208" spans="1:13" x14ac:dyDescent="0.25">
      <c r="A208" s="41"/>
      <c r="B208" s="24"/>
      <c r="C208" s="35"/>
      <c r="D208" s="38"/>
      <c r="E208" s="24"/>
      <c r="F208" s="24"/>
      <c r="G208" s="25"/>
      <c r="H208" s="1"/>
      <c r="I208" s="1"/>
      <c r="J208" s="1"/>
      <c r="K208" s="1"/>
      <c r="L208" s="1"/>
      <c r="M208" s="1"/>
    </row>
    <row r="209" spans="1:13" x14ac:dyDescent="0.25">
      <c r="A209" s="41">
        <v>1</v>
      </c>
      <c r="B209" s="53" t="s">
        <v>3228</v>
      </c>
      <c r="C209" s="46" t="s">
        <v>52</v>
      </c>
      <c r="D209" s="47"/>
      <c r="E209" s="51" t="s">
        <v>58</v>
      </c>
      <c r="F209" s="27" t="e">
        <f>#REF!</f>
        <v>#REF!</v>
      </c>
      <c r="G209" s="25"/>
      <c r="H209" s="1"/>
      <c r="I209" s="1"/>
      <c r="J209" s="1"/>
      <c r="K209" s="1"/>
      <c r="L209" s="1"/>
      <c r="M209" s="1"/>
    </row>
    <row r="210" spans="1:13" x14ac:dyDescent="0.25">
      <c r="A210" s="41"/>
      <c r="B210" s="49"/>
      <c r="C210" s="46" t="s">
        <v>53</v>
      </c>
      <c r="D210" s="47"/>
      <c r="E210" s="51" t="s">
        <v>58</v>
      </c>
      <c r="F210" s="27" t="e">
        <f>#REF!</f>
        <v>#REF!</v>
      </c>
      <c r="G210" s="25"/>
      <c r="H210" s="1"/>
      <c r="I210" s="1"/>
      <c r="J210" s="1"/>
      <c r="K210" s="1"/>
      <c r="L210" s="1"/>
      <c r="M210" s="1"/>
    </row>
    <row r="211" spans="1:13" x14ac:dyDescent="0.25">
      <c r="A211" s="41"/>
      <c r="B211" s="49"/>
      <c r="C211" s="46" t="s">
        <v>54</v>
      </c>
      <c r="D211" s="47"/>
      <c r="E211" s="51" t="s">
        <v>58</v>
      </c>
      <c r="F211" s="27" t="e">
        <f>#REF!</f>
        <v>#REF!</v>
      </c>
      <c r="G211" s="25"/>
      <c r="H211" s="1"/>
      <c r="I211" s="1"/>
      <c r="J211" s="1"/>
      <c r="K211" s="1"/>
      <c r="L211" s="1"/>
      <c r="M211" s="1"/>
    </row>
    <row r="212" spans="1:13" x14ac:dyDescent="0.25">
      <c r="A212" s="41"/>
      <c r="B212" s="24"/>
      <c r="C212" s="46"/>
      <c r="D212" s="50" t="s">
        <v>51</v>
      </c>
      <c r="E212" s="51" t="s">
        <v>58</v>
      </c>
      <c r="G212" s="27" t="e">
        <f>SUM(F209:F211)</f>
        <v>#REF!</v>
      </c>
      <c r="H212" s="1"/>
      <c r="I212" s="1"/>
      <c r="J212" s="1"/>
      <c r="K212" s="1"/>
      <c r="L212" s="1"/>
      <c r="M212" s="1"/>
    </row>
    <row r="213" spans="1:13" x14ac:dyDescent="0.25">
      <c r="A213" s="41"/>
      <c r="B213" s="24"/>
      <c r="C213" s="46"/>
      <c r="D213" s="47"/>
      <c r="E213" s="51"/>
      <c r="F213" s="27"/>
      <c r="G213" s="25"/>
      <c r="H213" s="1"/>
      <c r="I213" s="1"/>
      <c r="J213" s="1"/>
      <c r="K213" s="1"/>
      <c r="L213" s="1"/>
      <c r="M213" s="1"/>
    </row>
    <row r="214" spans="1:13" x14ac:dyDescent="0.25">
      <c r="A214" s="29"/>
      <c r="B214" s="30"/>
      <c r="C214" s="37"/>
      <c r="D214" s="40"/>
      <c r="E214" s="30"/>
      <c r="F214" s="30"/>
      <c r="G214" s="42"/>
      <c r="H214" s="1"/>
      <c r="I214" s="1"/>
      <c r="J214" s="1"/>
      <c r="K214" s="1"/>
      <c r="L214" s="1"/>
      <c r="M214" s="1"/>
    </row>
    <row r="215" spans="1:13" ht="15.75" thickBot="1" x14ac:dyDescent="0.3">
      <c r="A215" s="29"/>
      <c r="B215" s="30"/>
      <c r="C215" s="37"/>
      <c r="D215" s="40"/>
      <c r="E215" s="30"/>
      <c r="F215" s="30"/>
      <c r="G215" s="31"/>
      <c r="H215" s="1"/>
      <c r="I215" s="1"/>
      <c r="J215" s="1"/>
      <c r="K215" s="1"/>
      <c r="L215" s="1"/>
      <c r="M215" s="1"/>
    </row>
    <row r="216" spans="1:13" ht="15.75" thickBot="1" x14ac:dyDescent="0.3">
      <c r="A216" s="324" t="s">
        <v>10</v>
      </c>
      <c r="B216" s="325"/>
      <c r="C216" s="325"/>
      <c r="D216" s="325"/>
      <c r="E216" s="325"/>
      <c r="F216" s="43" t="e">
        <f>SUM(F209:F215)</f>
        <v>#REF!</v>
      </c>
      <c r="G216" s="43" t="e">
        <f>SUM(G209:G215)</f>
        <v>#REF!</v>
      </c>
      <c r="H216" s="1"/>
      <c r="I216" s="1"/>
      <c r="J216" s="1"/>
      <c r="K216" s="1"/>
      <c r="L216" s="1"/>
      <c r="M216" s="1"/>
    </row>
    <row r="217" spans="1:13" x14ac:dyDescent="0.25">
      <c r="A217" s="19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1:13" x14ac:dyDescent="0.25">
      <c r="A218" s="19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1:13" x14ac:dyDescent="0.25">
      <c r="A219" s="19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1:13" x14ac:dyDescent="0.25">
      <c r="A220" s="19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1:13" x14ac:dyDescent="0.25">
      <c r="A221" s="19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1:13" x14ac:dyDescent="0.25">
      <c r="A222" s="19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1:13" x14ac:dyDescent="0.25">
      <c r="A223" s="19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1:13" x14ac:dyDescent="0.25">
      <c r="A224" s="19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spans="1:13" x14ac:dyDescent="0.25">
      <c r="A225" s="19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spans="1:13" x14ac:dyDescent="0.25">
      <c r="A226" s="19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spans="1:13" x14ac:dyDescent="0.25">
      <c r="A227" s="19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spans="1:13" x14ac:dyDescent="0.25">
      <c r="A228" s="19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spans="1:13" x14ac:dyDescent="0.25">
      <c r="A229" s="19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spans="1:13" x14ac:dyDescent="0.25">
      <c r="A230" s="19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spans="1:13" x14ac:dyDescent="0.25">
      <c r="A231" s="19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spans="1:13" x14ac:dyDescent="0.25">
      <c r="A232" s="19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spans="1:13" x14ac:dyDescent="0.25">
      <c r="A233" s="19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spans="1:13" x14ac:dyDescent="0.25">
      <c r="A234" s="19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spans="1:13" x14ac:dyDescent="0.25">
      <c r="A235" s="19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spans="1:13" x14ac:dyDescent="0.25">
      <c r="A236" s="19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spans="1:13" x14ac:dyDescent="0.25">
      <c r="A237" s="19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spans="1:13" x14ac:dyDescent="0.25">
      <c r="A238" s="19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spans="1:13" x14ac:dyDescent="0.25">
      <c r="A239" s="19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spans="1:13" x14ac:dyDescent="0.25">
      <c r="A240" s="19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spans="1:13" x14ac:dyDescent="0.25">
      <c r="A241" s="19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spans="1:13" x14ac:dyDescent="0.25">
      <c r="A242" s="19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spans="1:13" x14ac:dyDescent="0.25">
      <c r="A243" s="19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spans="1:13" x14ac:dyDescent="0.25">
      <c r="A244" s="19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spans="1:13" x14ac:dyDescent="0.25">
      <c r="A245" s="19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spans="1:13" x14ac:dyDescent="0.25">
      <c r="A246" s="19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spans="1:13" x14ac:dyDescent="0.25">
      <c r="A247" s="19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spans="1:13" x14ac:dyDescent="0.25">
      <c r="A248" s="19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spans="1:13" x14ac:dyDescent="0.25">
      <c r="A249" s="19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spans="1:13" x14ac:dyDescent="0.25">
      <c r="A250" s="45" t="s">
        <v>0</v>
      </c>
      <c r="B250" s="45"/>
      <c r="C250" s="45"/>
      <c r="D250" s="9"/>
      <c r="E250" s="9"/>
      <c r="F250" s="9"/>
      <c r="G250" s="9"/>
      <c r="H250" s="1"/>
      <c r="I250" s="1"/>
      <c r="J250" s="1"/>
      <c r="K250" s="1"/>
      <c r="L250" s="1"/>
      <c r="M250" s="1"/>
    </row>
    <row r="251" spans="1:13" x14ac:dyDescent="0.25">
      <c r="A251" s="45" t="s">
        <v>1</v>
      </c>
      <c r="B251" s="45"/>
      <c r="C251" s="45"/>
      <c r="D251" s="9"/>
      <c r="E251" s="9"/>
      <c r="F251" s="9"/>
      <c r="G251" s="9"/>
      <c r="H251" s="1"/>
      <c r="I251" s="1"/>
      <c r="J251" s="1"/>
      <c r="K251" s="1"/>
      <c r="L251" s="1"/>
      <c r="M251" s="1"/>
    </row>
    <row r="252" spans="1:13" x14ac:dyDescent="0.25">
      <c r="A252" s="45" t="s">
        <v>11</v>
      </c>
      <c r="B252" s="45"/>
      <c r="C252" s="45"/>
      <c r="D252" s="9"/>
      <c r="E252" s="9"/>
      <c r="F252" s="9"/>
      <c r="G252" s="9"/>
      <c r="H252" s="1"/>
      <c r="I252" s="1"/>
      <c r="J252" s="1"/>
      <c r="K252" s="1"/>
      <c r="L252" s="1"/>
      <c r="M252" s="1"/>
    </row>
    <row r="253" spans="1:13" x14ac:dyDescent="0.25">
      <c r="A253" s="18"/>
      <c r="B253" s="9"/>
      <c r="C253" s="9"/>
      <c r="D253" s="9"/>
      <c r="E253" s="9"/>
      <c r="F253" s="9"/>
      <c r="G253" s="9"/>
      <c r="H253" s="1"/>
      <c r="I253" s="1"/>
      <c r="J253" s="1"/>
      <c r="K253" s="1"/>
      <c r="L253" s="1"/>
      <c r="M253" s="1"/>
    </row>
    <row r="254" spans="1:13" x14ac:dyDescent="0.25">
      <c r="A254" s="314" t="s">
        <v>50</v>
      </c>
      <c r="B254" s="314"/>
      <c r="C254" s="314"/>
      <c r="D254" s="314"/>
      <c r="E254" s="314"/>
      <c r="F254" s="314"/>
      <c r="G254" s="314"/>
      <c r="H254" s="1"/>
      <c r="I254" s="1"/>
      <c r="J254" s="1"/>
      <c r="K254" s="1"/>
      <c r="L254" s="1"/>
      <c r="M254" s="1"/>
    </row>
    <row r="255" spans="1:13" x14ac:dyDescent="0.25">
      <c r="A255" s="314" t="s">
        <v>3222</v>
      </c>
      <c r="B255" s="314"/>
      <c r="C255" s="314"/>
      <c r="D255" s="314"/>
      <c r="E255" s="314"/>
      <c r="F255" s="314"/>
      <c r="G255" s="314"/>
      <c r="H255" s="1"/>
      <c r="I255" s="1"/>
      <c r="J255" s="1"/>
      <c r="K255" s="1"/>
      <c r="L255" s="1"/>
      <c r="M255" s="1"/>
    </row>
    <row r="256" spans="1:13" ht="15.75" thickBot="1" x14ac:dyDescent="0.3">
      <c r="A256" s="19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spans="1:13" x14ac:dyDescent="0.25">
      <c r="A257" s="32" t="s">
        <v>46</v>
      </c>
      <c r="B257" s="48" t="s">
        <v>3</v>
      </c>
      <c r="C257" s="272" t="s">
        <v>4</v>
      </c>
      <c r="D257" s="272"/>
      <c r="E257" s="33" t="s">
        <v>47</v>
      </c>
      <c r="F257" s="33" t="s">
        <v>48</v>
      </c>
      <c r="G257" s="34" t="s">
        <v>49</v>
      </c>
      <c r="H257" s="1"/>
      <c r="I257" s="1"/>
      <c r="J257" s="1"/>
      <c r="K257" s="1"/>
      <c r="L257" s="1"/>
      <c r="M257" s="1"/>
    </row>
    <row r="258" spans="1:13" x14ac:dyDescent="0.25">
      <c r="A258" s="41"/>
      <c r="B258" s="24"/>
      <c r="C258" s="35"/>
      <c r="D258" s="38"/>
      <c r="E258" s="24"/>
      <c r="F258" s="24"/>
      <c r="G258" s="25"/>
      <c r="H258" s="1"/>
      <c r="I258" s="1"/>
      <c r="J258" s="1"/>
      <c r="K258" s="1"/>
      <c r="L258" s="1"/>
      <c r="M258" s="1"/>
    </row>
    <row r="259" spans="1:13" x14ac:dyDescent="0.25">
      <c r="A259" s="41">
        <v>1</v>
      </c>
      <c r="B259" s="53" t="s">
        <v>3227</v>
      </c>
      <c r="C259" s="46" t="s">
        <v>52</v>
      </c>
      <c r="D259" s="47"/>
      <c r="E259" s="51" t="s">
        <v>59</v>
      </c>
      <c r="F259" s="27" t="e">
        <f>#REF!</f>
        <v>#REF!</v>
      </c>
      <c r="G259" s="25"/>
      <c r="H259" s="1"/>
      <c r="I259" s="1"/>
      <c r="J259" s="1"/>
      <c r="K259" s="1"/>
      <c r="L259" s="1"/>
      <c r="M259" s="1"/>
    </row>
    <row r="260" spans="1:13" x14ac:dyDescent="0.25">
      <c r="A260" s="41"/>
      <c r="B260" s="49"/>
      <c r="C260" s="46" t="s">
        <v>53</v>
      </c>
      <c r="D260" s="47"/>
      <c r="E260" s="51" t="s">
        <v>59</v>
      </c>
      <c r="F260" s="27" t="e">
        <f>#REF!</f>
        <v>#REF!</v>
      </c>
      <c r="G260" s="25"/>
      <c r="H260" s="1"/>
      <c r="I260" s="1"/>
      <c r="J260" s="1"/>
      <c r="K260" s="1"/>
      <c r="L260" s="1"/>
      <c r="M260" s="1"/>
    </row>
    <row r="261" spans="1:13" x14ac:dyDescent="0.25">
      <c r="A261" s="41"/>
      <c r="B261" s="49"/>
      <c r="C261" s="46" t="s">
        <v>54</v>
      </c>
      <c r="D261" s="47"/>
      <c r="E261" s="51" t="s">
        <v>59</v>
      </c>
      <c r="F261" s="27" t="e">
        <f>#REF!</f>
        <v>#REF!</v>
      </c>
      <c r="G261" s="25"/>
      <c r="H261" s="1"/>
      <c r="I261" s="1"/>
      <c r="J261" s="1"/>
      <c r="K261" s="1"/>
      <c r="L261" s="1"/>
      <c r="M261" s="1"/>
    </row>
    <row r="262" spans="1:13" x14ac:dyDescent="0.25">
      <c r="A262" s="41"/>
      <c r="B262" s="24"/>
      <c r="C262" s="46"/>
      <c r="D262" s="50" t="s">
        <v>51</v>
      </c>
      <c r="E262" s="51" t="s">
        <v>59</v>
      </c>
      <c r="G262" s="27" t="e">
        <f>SUM(F259:F261)</f>
        <v>#REF!</v>
      </c>
      <c r="H262" s="1"/>
      <c r="I262" s="1"/>
      <c r="J262" s="1"/>
      <c r="K262" s="1"/>
      <c r="L262" s="1"/>
      <c r="M262" s="1"/>
    </row>
    <row r="263" spans="1:13" x14ac:dyDescent="0.25">
      <c r="A263" s="41"/>
      <c r="B263" s="24"/>
      <c r="C263" s="46"/>
      <c r="D263" s="47"/>
      <c r="E263" s="51"/>
      <c r="F263" s="27"/>
      <c r="G263" s="25"/>
      <c r="H263" s="1"/>
      <c r="I263" s="1"/>
      <c r="J263" s="1"/>
      <c r="K263" s="1"/>
      <c r="L263" s="1"/>
      <c r="M263" s="1"/>
    </row>
    <row r="264" spans="1:13" x14ac:dyDescent="0.25">
      <c r="A264" s="29"/>
      <c r="B264" s="30"/>
      <c r="C264" s="37"/>
      <c r="D264" s="40"/>
      <c r="E264" s="30"/>
      <c r="F264" s="30"/>
      <c r="G264" s="42"/>
      <c r="H264" s="1"/>
      <c r="I264" s="1"/>
      <c r="J264" s="1"/>
      <c r="K264" s="1"/>
      <c r="L264" s="1"/>
      <c r="M264" s="1"/>
    </row>
    <row r="265" spans="1:13" ht="15.75" thickBot="1" x14ac:dyDescent="0.3">
      <c r="A265" s="29"/>
      <c r="B265" s="30"/>
      <c r="C265" s="37"/>
      <c r="D265" s="40"/>
      <c r="E265" s="30"/>
      <c r="F265" s="30"/>
      <c r="G265" s="31"/>
      <c r="H265" s="1"/>
      <c r="I265" s="1"/>
      <c r="J265" s="1"/>
      <c r="K265" s="1"/>
      <c r="L265" s="1"/>
      <c r="M265" s="1"/>
    </row>
    <row r="266" spans="1:13" ht="15.75" thickBot="1" x14ac:dyDescent="0.3">
      <c r="A266" s="324" t="s">
        <v>10</v>
      </c>
      <c r="B266" s="325"/>
      <c r="C266" s="325"/>
      <c r="D266" s="325"/>
      <c r="E266" s="325"/>
      <c r="F266" s="43" t="e">
        <f>SUM(F259:F265)</f>
        <v>#REF!</v>
      </c>
      <c r="G266" s="43" t="e">
        <f>SUM(G259:G265)</f>
        <v>#REF!</v>
      </c>
      <c r="H266" s="1"/>
      <c r="I266" s="1"/>
      <c r="J266" s="1"/>
      <c r="K266" s="1"/>
      <c r="L266" s="1"/>
      <c r="M266" s="1"/>
    </row>
    <row r="267" spans="1:13" x14ac:dyDescent="0.25">
      <c r="A267" s="19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spans="1:13" x14ac:dyDescent="0.25">
      <c r="A268" s="19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spans="1:13" x14ac:dyDescent="0.25">
      <c r="A269" s="19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spans="1:13" x14ac:dyDescent="0.25">
      <c r="A270" s="19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spans="1:13" x14ac:dyDescent="0.25">
      <c r="A271" s="19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spans="1:13" x14ac:dyDescent="0.25">
      <c r="A272" s="19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spans="1:13" x14ac:dyDescent="0.25">
      <c r="A273" s="19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spans="1:13" x14ac:dyDescent="0.25">
      <c r="A274" s="19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spans="1:13" x14ac:dyDescent="0.25">
      <c r="A275" s="19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spans="1:13" x14ac:dyDescent="0.25">
      <c r="A276" s="19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spans="1:13" x14ac:dyDescent="0.25">
      <c r="A277" s="19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spans="1:13" x14ac:dyDescent="0.25">
      <c r="A278" s="19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spans="1:13" x14ac:dyDescent="0.25">
      <c r="A279" s="19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spans="1:13" x14ac:dyDescent="0.25">
      <c r="A280" s="19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spans="1:13" x14ac:dyDescent="0.25">
      <c r="A281" s="19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spans="1:13" x14ac:dyDescent="0.25">
      <c r="A282" s="19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spans="1:13" x14ac:dyDescent="0.25">
      <c r="A283" s="19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spans="1:13" x14ac:dyDescent="0.25">
      <c r="A284" s="19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spans="1:13" x14ac:dyDescent="0.25">
      <c r="A285" s="19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spans="1:13" x14ac:dyDescent="0.25">
      <c r="A286" s="19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spans="1:13" x14ac:dyDescent="0.25">
      <c r="A287" s="19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spans="1:13" x14ac:dyDescent="0.25">
      <c r="A288" s="19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spans="1:13" x14ac:dyDescent="0.25">
      <c r="A289" s="19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spans="1:13" x14ac:dyDescent="0.25">
      <c r="A290" s="19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spans="1:13" x14ac:dyDescent="0.25">
      <c r="A291" s="19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spans="1:13" x14ac:dyDescent="0.25">
      <c r="A292" s="19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spans="1:13" x14ac:dyDescent="0.25">
      <c r="A293" s="19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spans="1:13" x14ac:dyDescent="0.25">
      <c r="A294" s="19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spans="1:13" x14ac:dyDescent="0.25">
      <c r="A295" s="19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spans="1:13" x14ac:dyDescent="0.25">
      <c r="A296" s="19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spans="1:13" x14ac:dyDescent="0.25">
      <c r="A297" s="19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spans="1:13" x14ac:dyDescent="0.25">
      <c r="A298" s="19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spans="1:13" x14ac:dyDescent="0.25">
      <c r="A299" s="19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spans="1:13" x14ac:dyDescent="0.25">
      <c r="A300" s="45" t="s">
        <v>0</v>
      </c>
      <c r="B300" s="45"/>
      <c r="C300" s="45"/>
      <c r="D300" s="9"/>
      <c r="E300" s="9"/>
      <c r="F300" s="9"/>
      <c r="G300" s="9"/>
      <c r="H300" s="1"/>
      <c r="I300" s="1"/>
      <c r="J300" s="1"/>
      <c r="K300" s="1"/>
      <c r="L300" s="1"/>
      <c r="M300" s="1"/>
    </row>
    <row r="301" spans="1:13" x14ac:dyDescent="0.25">
      <c r="A301" s="45" t="s">
        <v>1</v>
      </c>
      <c r="B301" s="45"/>
      <c r="C301" s="45"/>
      <c r="D301" s="9"/>
      <c r="E301" s="9"/>
      <c r="F301" s="9"/>
      <c r="G301" s="9"/>
      <c r="H301" s="1"/>
      <c r="I301" s="1"/>
      <c r="J301" s="1"/>
      <c r="K301" s="1"/>
      <c r="L301" s="1"/>
      <c r="M301" s="1"/>
    </row>
    <row r="302" spans="1:13" x14ac:dyDescent="0.25">
      <c r="A302" s="45" t="s">
        <v>11</v>
      </c>
      <c r="B302" s="45"/>
      <c r="C302" s="45"/>
      <c r="D302" s="9"/>
      <c r="E302" s="9"/>
      <c r="F302" s="9"/>
      <c r="G302" s="9"/>
      <c r="H302" s="1"/>
      <c r="I302" s="1"/>
      <c r="J302" s="1"/>
      <c r="K302" s="1"/>
      <c r="L302" s="1"/>
      <c r="M302" s="1"/>
    </row>
    <row r="303" spans="1:13" x14ac:dyDescent="0.25">
      <c r="A303" s="18"/>
      <c r="B303" s="9"/>
      <c r="C303" s="9"/>
      <c r="D303" s="9"/>
      <c r="E303" s="9"/>
      <c r="F303" s="9"/>
      <c r="G303" s="9"/>
      <c r="H303" s="1"/>
      <c r="I303" s="1"/>
      <c r="J303" s="1"/>
      <c r="K303" s="1"/>
      <c r="L303" s="1"/>
      <c r="M303" s="1"/>
    </row>
    <row r="304" spans="1:13" x14ac:dyDescent="0.25">
      <c r="A304" s="314" t="s">
        <v>50</v>
      </c>
      <c r="B304" s="314"/>
      <c r="C304" s="314"/>
      <c r="D304" s="314"/>
      <c r="E304" s="314"/>
      <c r="F304" s="314"/>
      <c r="G304" s="314"/>
      <c r="H304" s="1"/>
      <c r="I304" s="1"/>
      <c r="J304" s="1"/>
      <c r="K304" s="1"/>
      <c r="L304" s="1"/>
      <c r="M304" s="1"/>
    </row>
    <row r="305" spans="1:13" x14ac:dyDescent="0.25">
      <c r="A305" s="314" t="s">
        <v>3221</v>
      </c>
      <c r="B305" s="314"/>
      <c r="C305" s="314"/>
      <c r="D305" s="314"/>
      <c r="E305" s="314"/>
      <c r="F305" s="314"/>
      <c r="G305" s="314"/>
      <c r="H305" s="1"/>
      <c r="I305" s="1"/>
      <c r="J305" s="1"/>
      <c r="K305" s="1"/>
      <c r="L305" s="1"/>
      <c r="M305" s="1"/>
    </row>
    <row r="306" spans="1:13" ht="15.75" thickBot="1" x14ac:dyDescent="0.3">
      <c r="A306" s="19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spans="1:13" x14ac:dyDescent="0.25">
      <c r="A307" s="32" t="s">
        <v>46</v>
      </c>
      <c r="B307" s="48" t="s">
        <v>3</v>
      </c>
      <c r="C307" s="272" t="s">
        <v>4</v>
      </c>
      <c r="D307" s="272"/>
      <c r="E307" s="33" t="s">
        <v>47</v>
      </c>
      <c r="F307" s="33" t="s">
        <v>48</v>
      </c>
      <c r="G307" s="34" t="s">
        <v>49</v>
      </c>
      <c r="H307" s="1"/>
      <c r="I307" s="1"/>
      <c r="J307" s="1"/>
      <c r="K307" s="1"/>
      <c r="L307" s="1"/>
      <c r="M307" s="1"/>
    </row>
    <row r="308" spans="1:13" x14ac:dyDescent="0.25">
      <c r="A308" s="41"/>
      <c r="B308" s="24"/>
      <c r="C308" s="35"/>
      <c r="D308" s="38"/>
      <c r="E308" s="24"/>
      <c r="F308" s="24"/>
      <c r="G308" s="25"/>
      <c r="H308" s="1"/>
      <c r="I308" s="1"/>
      <c r="J308" s="1"/>
      <c r="K308" s="1"/>
      <c r="L308" s="1"/>
      <c r="M308" s="1"/>
    </row>
    <row r="309" spans="1:13" x14ac:dyDescent="0.25">
      <c r="A309" s="41">
        <v>1</v>
      </c>
      <c r="B309" s="53" t="s">
        <v>69</v>
      </c>
      <c r="C309" s="46" t="s">
        <v>52</v>
      </c>
      <c r="D309" s="47"/>
      <c r="E309" s="51" t="s">
        <v>60</v>
      </c>
      <c r="F309" s="27" t="e">
        <f>#REF!</f>
        <v>#REF!</v>
      </c>
      <c r="G309" s="25"/>
      <c r="H309" s="1"/>
      <c r="I309" s="1"/>
      <c r="J309" s="1"/>
      <c r="K309" s="1"/>
      <c r="L309" s="1"/>
      <c r="M309" s="1"/>
    </row>
    <row r="310" spans="1:13" x14ac:dyDescent="0.25">
      <c r="A310" s="41"/>
      <c r="B310" s="49"/>
      <c r="C310" s="46" t="s">
        <v>53</v>
      </c>
      <c r="D310" s="47"/>
      <c r="E310" s="51" t="s">
        <v>60</v>
      </c>
      <c r="F310" s="27" t="e">
        <f>#REF!</f>
        <v>#REF!</v>
      </c>
      <c r="G310" s="25"/>
      <c r="H310" s="1"/>
      <c r="I310" s="1"/>
      <c r="J310" s="1"/>
      <c r="K310" s="1"/>
      <c r="L310" s="1"/>
      <c r="M310" s="1"/>
    </row>
    <row r="311" spans="1:13" x14ac:dyDescent="0.25">
      <c r="A311" s="41"/>
      <c r="B311" s="49"/>
      <c r="C311" s="46" t="s">
        <v>54</v>
      </c>
      <c r="D311" s="47"/>
      <c r="E311" s="51" t="s">
        <v>60</v>
      </c>
      <c r="F311" s="27" t="e">
        <f>#REF!</f>
        <v>#REF!</v>
      </c>
      <c r="G311" s="25"/>
      <c r="H311" s="1"/>
      <c r="I311" s="1"/>
      <c r="J311" s="1"/>
      <c r="K311" s="1"/>
      <c r="L311" s="1"/>
      <c r="M311" s="1"/>
    </row>
    <row r="312" spans="1:13" x14ac:dyDescent="0.25">
      <c r="A312" s="41"/>
      <c r="B312" s="24"/>
      <c r="C312" s="46"/>
      <c r="D312" s="50" t="s">
        <v>51</v>
      </c>
      <c r="E312" s="51" t="s">
        <v>60</v>
      </c>
      <c r="G312" s="27" t="e">
        <f>SUM(F309:F311)</f>
        <v>#REF!</v>
      </c>
      <c r="H312" s="1"/>
      <c r="I312" s="1"/>
      <c r="J312" s="1"/>
      <c r="K312" s="1"/>
      <c r="L312" s="1"/>
      <c r="M312" s="1"/>
    </row>
    <row r="313" spans="1:13" x14ac:dyDescent="0.25">
      <c r="A313" s="41"/>
      <c r="B313" s="24"/>
      <c r="C313" s="46"/>
      <c r="D313" s="47"/>
      <c r="E313" s="51"/>
      <c r="F313" s="27"/>
      <c r="G313" s="25"/>
      <c r="H313" s="1"/>
      <c r="I313" s="1"/>
      <c r="J313" s="1"/>
      <c r="K313" s="1"/>
      <c r="L313" s="1"/>
      <c r="M313" s="1"/>
    </row>
    <row r="314" spans="1:13" x14ac:dyDescent="0.25">
      <c r="A314" s="26"/>
      <c r="B314" s="10"/>
      <c r="C314" s="46"/>
      <c r="D314" s="39"/>
      <c r="E314" s="51"/>
      <c r="F314" s="27"/>
      <c r="G314" s="28"/>
      <c r="H314" s="1"/>
      <c r="I314" s="1"/>
      <c r="J314" s="1"/>
      <c r="K314" s="1"/>
      <c r="L314" s="1"/>
      <c r="M314" s="1"/>
    </row>
    <row r="315" spans="1:13" ht="15.75" thickBot="1" x14ac:dyDescent="0.3">
      <c r="A315" s="29"/>
      <c r="B315" s="30"/>
      <c r="C315" s="37"/>
      <c r="D315" s="40"/>
      <c r="E315" s="30"/>
      <c r="F315" s="30"/>
      <c r="G315" s="31"/>
      <c r="H315" s="1"/>
      <c r="I315" s="1"/>
      <c r="J315" s="1"/>
      <c r="K315" s="1"/>
      <c r="L315" s="1"/>
      <c r="M315" s="1"/>
    </row>
    <row r="316" spans="1:13" ht="15.75" thickBot="1" x14ac:dyDescent="0.3">
      <c r="A316" s="324" t="s">
        <v>10</v>
      </c>
      <c r="B316" s="325"/>
      <c r="C316" s="325"/>
      <c r="D316" s="325"/>
      <c r="E316" s="325"/>
      <c r="F316" s="43" t="e">
        <f>SUM(F309:F315)</f>
        <v>#REF!</v>
      </c>
      <c r="G316" s="43" t="e">
        <f>SUM(G309:G315)</f>
        <v>#REF!</v>
      </c>
      <c r="H316" s="1"/>
      <c r="I316" s="1"/>
      <c r="J316" s="1"/>
      <c r="K316" s="1"/>
      <c r="L316" s="1"/>
      <c r="M316" s="1"/>
    </row>
    <row r="317" spans="1:13" x14ac:dyDescent="0.25">
      <c r="A317" s="19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spans="1:13" x14ac:dyDescent="0.25">
      <c r="A318" s="19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spans="1:13" x14ac:dyDescent="0.25">
      <c r="A319" s="19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spans="1:13" x14ac:dyDescent="0.25">
      <c r="A320" s="19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spans="1:13" x14ac:dyDescent="0.25">
      <c r="A321" s="19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spans="1:13" x14ac:dyDescent="0.25">
      <c r="A322" s="19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spans="1:13" x14ac:dyDescent="0.25">
      <c r="A323" s="19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spans="1:13" x14ac:dyDescent="0.25">
      <c r="A324" s="19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spans="1:13" x14ac:dyDescent="0.25">
      <c r="A325" s="19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spans="1:13" x14ac:dyDescent="0.25">
      <c r="A326" s="19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spans="1:13" x14ac:dyDescent="0.25">
      <c r="A327" s="19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spans="1:13" x14ac:dyDescent="0.25">
      <c r="A328" s="19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spans="1:13" x14ac:dyDescent="0.25">
      <c r="A329" s="19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spans="1:13" x14ac:dyDescent="0.25">
      <c r="A330" s="19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spans="1:13" x14ac:dyDescent="0.25">
      <c r="A331" s="19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spans="1:13" x14ac:dyDescent="0.25">
      <c r="A332" s="19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spans="1:13" x14ac:dyDescent="0.25">
      <c r="A333" s="19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spans="1:13" x14ac:dyDescent="0.25">
      <c r="A334" s="19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spans="1:13" x14ac:dyDescent="0.25">
      <c r="A335" s="19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spans="1:13" x14ac:dyDescent="0.25">
      <c r="A336" s="19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spans="1:13" x14ac:dyDescent="0.25">
      <c r="A337" s="19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spans="1:13" x14ac:dyDescent="0.25">
      <c r="A338" s="19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spans="1:13" x14ac:dyDescent="0.25">
      <c r="A339" s="19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spans="1:13" x14ac:dyDescent="0.25">
      <c r="A340" s="19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spans="1:13" x14ac:dyDescent="0.25">
      <c r="A341" s="19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spans="1:13" x14ac:dyDescent="0.25">
      <c r="A342" s="19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spans="1:13" x14ac:dyDescent="0.25">
      <c r="A343" s="19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spans="1:13" x14ac:dyDescent="0.25">
      <c r="A344" s="19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spans="1:13" x14ac:dyDescent="0.25">
      <c r="A345" s="19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spans="1:13" x14ac:dyDescent="0.25">
      <c r="A346" s="19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spans="1:13" x14ac:dyDescent="0.25">
      <c r="A347" s="19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spans="1:13" x14ac:dyDescent="0.25">
      <c r="A348" s="19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spans="1:13" x14ac:dyDescent="0.25">
      <c r="A349" s="19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spans="1:13" x14ac:dyDescent="0.25">
      <c r="A350" s="45" t="s">
        <v>0</v>
      </c>
      <c r="B350" s="45"/>
      <c r="C350" s="45"/>
      <c r="D350" s="9"/>
      <c r="E350" s="9"/>
      <c r="F350" s="9"/>
      <c r="G350" s="9"/>
      <c r="H350" s="1"/>
      <c r="I350" s="1"/>
      <c r="J350" s="1"/>
      <c r="K350" s="1"/>
      <c r="L350" s="1"/>
      <c r="M350" s="1"/>
    </row>
    <row r="351" spans="1:13" x14ac:dyDescent="0.25">
      <c r="A351" s="45" t="s">
        <v>1</v>
      </c>
      <c r="B351" s="45"/>
      <c r="C351" s="45"/>
      <c r="D351" s="9"/>
      <c r="E351" s="9"/>
      <c r="F351" s="9"/>
      <c r="G351" s="9"/>
      <c r="H351" s="1"/>
      <c r="I351" s="1"/>
      <c r="J351" s="1"/>
      <c r="K351" s="1"/>
      <c r="L351" s="1"/>
      <c r="M351" s="1"/>
    </row>
    <row r="352" spans="1:13" x14ac:dyDescent="0.25">
      <c r="A352" s="45" t="s">
        <v>11</v>
      </c>
      <c r="B352" s="45"/>
      <c r="C352" s="45"/>
      <c r="D352" s="9"/>
      <c r="E352" s="9"/>
      <c r="F352" s="9"/>
      <c r="G352" s="9"/>
      <c r="H352" s="1"/>
      <c r="I352" s="1"/>
      <c r="J352" s="1"/>
      <c r="K352" s="1"/>
      <c r="L352" s="1"/>
      <c r="M352" s="1"/>
    </row>
    <row r="353" spans="1:13" x14ac:dyDescent="0.25">
      <c r="A353" s="18"/>
      <c r="B353" s="9"/>
      <c r="C353" s="9"/>
      <c r="D353" s="9"/>
      <c r="E353" s="9"/>
      <c r="F353" s="9"/>
      <c r="G353" s="9"/>
      <c r="H353" s="1"/>
      <c r="I353" s="1"/>
      <c r="J353" s="1"/>
      <c r="K353" s="1"/>
      <c r="L353" s="1"/>
      <c r="M353" s="1"/>
    </row>
    <row r="354" spans="1:13" x14ac:dyDescent="0.25">
      <c r="A354" s="314" t="s">
        <v>50</v>
      </c>
      <c r="B354" s="314"/>
      <c r="C354" s="314"/>
      <c r="D354" s="314"/>
      <c r="E354" s="314"/>
      <c r="F354" s="314"/>
      <c r="G354" s="314"/>
      <c r="H354" s="1"/>
      <c r="I354" s="1"/>
      <c r="J354" s="1"/>
      <c r="K354" s="1"/>
      <c r="L354" s="1"/>
      <c r="M354" s="1"/>
    </row>
    <row r="355" spans="1:13" x14ac:dyDescent="0.25">
      <c r="A355" s="314" t="s">
        <v>3220</v>
      </c>
      <c r="B355" s="314"/>
      <c r="C355" s="314"/>
      <c r="D355" s="314"/>
      <c r="E355" s="314"/>
      <c r="F355" s="314"/>
      <c r="G355" s="314"/>
      <c r="H355" s="1"/>
      <c r="I355" s="1"/>
      <c r="J355" s="1"/>
      <c r="K355" s="1"/>
      <c r="L355" s="1"/>
      <c r="M355" s="1"/>
    </row>
    <row r="356" spans="1:13" ht="15.75" thickBot="1" x14ac:dyDescent="0.3">
      <c r="A356" s="19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spans="1:13" x14ac:dyDescent="0.25">
      <c r="A357" s="32" t="s">
        <v>46</v>
      </c>
      <c r="B357" s="48" t="s">
        <v>3</v>
      </c>
      <c r="C357" s="272" t="s">
        <v>4</v>
      </c>
      <c r="D357" s="272"/>
      <c r="E357" s="33" t="s">
        <v>47</v>
      </c>
      <c r="F357" s="33" t="s">
        <v>48</v>
      </c>
      <c r="G357" s="34" t="s">
        <v>49</v>
      </c>
      <c r="H357" s="1"/>
      <c r="I357" s="1"/>
      <c r="J357" s="1"/>
      <c r="K357" s="1"/>
      <c r="L357" s="1"/>
      <c r="M357" s="1"/>
    </row>
    <row r="358" spans="1:13" x14ac:dyDescent="0.25">
      <c r="A358" s="41"/>
      <c r="B358" s="24"/>
      <c r="C358" s="35"/>
      <c r="D358" s="38"/>
      <c r="E358" s="24"/>
      <c r="F358" s="24"/>
      <c r="G358" s="25"/>
      <c r="H358" s="1"/>
      <c r="I358" s="1"/>
      <c r="J358" s="1"/>
      <c r="K358" s="1"/>
      <c r="L358" s="1"/>
      <c r="M358" s="1"/>
    </row>
    <row r="359" spans="1:13" x14ac:dyDescent="0.25">
      <c r="A359" s="41">
        <v>1</v>
      </c>
      <c r="B359" s="53" t="s">
        <v>70</v>
      </c>
      <c r="C359" s="46" t="s">
        <v>52</v>
      </c>
      <c r="D359" s="47"/>
      <c r="E359" s="51" t="s">
        <v>61</v>
      </c>
      <c r="F359" s="27" t="e">
        <f>#REF!</f>
        <v>#REF!</v>
      </c>
      <c r="G359" s="25"/>
      <c r="H359" s="1"/>
      <c r="I359" s="1"/>
      <c r="J359" s="1"/>
      <c r="K359" s="1"/>
      <c r="L359" s="1"/>
      <c r="M359" s="1"/>
    </row>
    <row r="360" spans="1:13" x14ac:dyDescent="0.25">
      <c r="A360" s="41"/>
      <c r="B360" s="49"/>
      <c r="C360" s="46" t="s">
        <v>53</v>
      </c>
      <c r="D360" s="47"/>
      <c r="E360" s="51" t="s">
        <v>61</v>
      </c>
      <c r="F360" s="27" t="e">
        <f>#REF!</f>
        <v>#REF!</v>
      </c>
      <c r="G360" s="25"/>
      <c r="H360" s="1"/>
      <c r="I360" s="1"/>
      <c r="J360" s="1"/>
      <c r="K360" s="1"/>
      <c r="L360" s="1"/>
      <c r="M360" s="1"/>
    </row>
    <row r="361" spans="1:13" x14ac:dyDescent="0.25">
      <c r="A361" s="41"/>
      <c r="B361" s="49"/>
      <c r="C361" s="46" t="s">
        <v>54</v>
      </c>
      <c r="D361" s="47"/>
      <c r="E361" s="51" t="s">
        <v>61</v>
      </c>
      <c r="F361" s="27" t="e">
        <f>#REF!</f>
        <v>#REF!</v>
      </c>
      <c r="G361" s="25"/>
      <c r="H361" s="1"/>
      <c r="I361" s="1"/>
      <c r="J361" s="1"/>
      <c r="K361" s="1"/>
      <c r="L361" s="1"/>
      <c r="M361" s="1"/>
    </row>
    <row r="362" spans="1:13" x14ac:dyDescent="0.25">
      <c r="A362" s="41"/>
      <c r="B362" s="24"/>
      <c r="C362" s="46"/>
      <c r="D362" s="50" t="s">
        <v>51</v>
      </c>
      <c r="E362" s="51" t="s">
        <v>61</v>
      </c>
      <c r="G362" s="27" t="e">
        <f>SUM(F359:F361)</f>
        <v>#REF!</v>
      </c>
      <c r="H362" s="1"/>
      <c r="I362" s="1"/>
      <c r="J362" s="1"/>
      <c r="K362" s="1"/>
      <c r="L362" s="1"/>
      <c r="M362" s="1"/>
    </row>
    <row r="363" spans="1:13" x14ac:dyDescent="0.25">
      <c r="A363" s="41"/>
      <c r="B363" s="24"/>
      <c r="C363" s="46"/>
      <c r="D363" s="47"/>
      <c r="E363" s="51"/>
      <c r="F363" s="27"/>
      <c r="G363" s="25"/>
      <c r="H363" s="1"/>
      <c r="I363" s="1"/>
      <c r="J363" s="1"/>
      <c r="K363" s="1"/>
      <c r="L363" s="1"/>
      <c r="M363" s="1"/>
    </row>
    <row r="364" spans="1:13" ht="15.75" thickBot="1" x14ac:dyDescent="0.3">
      <c r="A364" s="29"/>
      <c r="B364" s="30"/>
      <c r="C364" s="37"/>
      <c r="D364" s="40"/>
      <c r="E364" s="30"/>
      <c r="F364" s="30"/>
      <c r="G364" s="31"/>
      <c r="H364" s="1"/>
      <c r="I364" s="1"/>
      <c r="J364" s="1"/>
      <c r="K364" s="1"/>
      <c r="L364" s="1"/>
      <c r="M364" s="1"/>
    </row>
    <row r="365" spans="1:13" ht="15.75" thickBot="1" x14ac:dyDescent="0.3">
      <c r="A365" s="324" t="s">
        <v>10</v>
      </c>
      <c r="B365" s="325"/>
      <c r="C365" s="325"/>
      <c r="D365" s="325"/>
      <c r="E365" s="325"/>
      <c r="F365" s="43" t="e">
        <f>SUM(F359:F364)</f>
        <v>#REF!</v>
      </c>
      <c r="G365" s="43" t="e">
        <f>SUM(G359:G364)</f>
        <v>#REF!</v>
      </c>
      <c r="H365" s="1"/>
      <c r="I365" s="1"/>
      <c r="J365" s="1"/>
      <c r="K365" s="1"/>
      <c r="L365" s="1"/>
      <c r="M365" s="1"/>
    </row>
    <row r="366" spans="1:13" x14ac:dyDescent="0.25">
      <c r="A366" s="19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spans="1:13" x14ac:dyDescent="0.25">
      <c r="A367" s="19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spans="1:13" x14ac:dyDescent="0.25">
      <c r="A368" s="19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 spans="1:13" x14ac:dyDescent="0.25">
      <c r="A369" s="19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 spans="1:13" x14ac:dyDescent="0.25">
      <c r="A370" s="19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 spans="1:13" x14ac:dyDescent="0.25">
      <c r="A371" s="19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 spans="1:13" x14ac:dyDescent="0.25">
      <c r="A372" s="19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 spans="1:13" x14ac:dyDescent="0.25">
      <c r="A373" s="19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 spans="1:13" x14ac:dyDescent="0.25">
      <c r="A374" s="19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 spans="1:13" x14ac:dyDescent="0.25">
      <c r="A375" s="19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 spans="1:13" x14ac:dyDescent="0.25">
      <c r="A376" s="19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 spans="1:13" x14ac:dyDescent="0.25">
      <c r="A377" s="19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 spans="1:13" x14ac:dyDescent="0.25">
      <c r="A378" s="19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 spans="1:13" x14ac:dyDescent="0.25">
      <c r="A379" s="19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 spans="1:13" x14ac:dyDescent="0.25">
      <c r="A380" s="19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 spans="1:13" x14ac:dyDescent="0.25">
      <c r="A381" s="19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 spans="1:13" x14ac:dyDescent="0.25">
      <c r="A382" s="19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 spans="1:13" x14ac:dyDescent="0.25">
      <c r="A383" s="19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 spans="1:13" x14ac:dyDescent="0.25">
      <c r="A384" s="19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 spans="1:13" x14ac:dyDescent="0.25">
      <c r="A385" s="19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 spans="1:13" x14ac:dyDescent="0.25">
      <c r="A386" s="19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 spans="1:13" x14ac:dyDescent="0.25">
      <c r="A387" s="19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 spans="1:13" x14ac:dyDescent="0.25">
      <c r="A388" s="19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 spans="1:13" x14ac:dyDescent="0.25">
      <c r="A389" s="19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 spans="1:13" x14ac:dyDescent="0.25">
      <c r="A390" s="19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 spans="1:13" x14ac:dyDescent="0.25">
      <c r="A391" s="19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 spans="1:13" x14ac:dyDescent="0.25">
      <c r="A392" s="19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 spans="1:13" x14ac:dyDescent="0.25">
      <c r="A393" s="19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 spans="1:13" x14ac:dyDescent="0.25">
      <c r="A394" s="19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 spans="1:13" x14ac:dyDescent="0.25">
      <c r="A395" s="19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 spans="1:13" x14ac:dyDescent="0.25">
      <c r="A396" s="19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 spans="1:13" x14ac:dyDescent="0.25">
      <c r="A397" s="19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 spans="1:13" x14ac:dyDescent="0.25">
      <c r="A398" s="19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 spans="1:13" x14ac:dyDescent="0.25">
      <c r="A399" s="19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 spans="1:13" x14ac:dyDescent="0.25">
      <c r="A400" s="45" t="s">
        <v>0</v>
      </c>
      <c r="B400" s="45"/>
      <c r="C400" s="45"/>
      <c r="D400" s="9"/>
      <c r="E400" s="9"/>
      <c r="F400" s="9"/>
      <c r="G400" s="9"/>
      <c r="H400" s="1"/>
      <c r="I400" s="1"/>
      <c r="J400" s="1"/>
      <c r="K400" s="1"/>
      <c r="L400" s="1"/>
      <c r="M400" s="1"/>
    </row>
    <row r="401" spans="1:13" x14ac:dyDescent="0.25">
      <c r="A401" s="45" t="s">
        <v>1</v>
      </c>
      <c r="B401" s="45"/>
      <c r="C401" s="45"/>
      <c r="D401" s="9"/>
      <c r="E401" s="9"/>
      <c r="F401" s="9"/>
      <c r="G401" s="9"/>
      <c r="H401" s="1"/>
      <c r="I401" s="1"/>
      <c r="J401" s="1"/>
      <c r="K401" s="1"/>
      <c r="L401" s="1"/>
      <c r="M401" s="1"/>
    </row>
    <row r="402" spans="1:13" x14ac:dyDescent="0.25">
      <c r="A402" s="45" t="s">
        <v>11</v>
      </c>
      <c r="B402" s="45"/>
      <c r="C402" s="45"/>
      <c r="D402" s="9"/>
      <c r="E402" s="9"/>
      <c r="F402" s="9"/>
      <c r="G402" s="9"/>
      <c r="H402" s="1"/>
      <c r="I402" s="1"/>
      <c r="J402" s="1"/>
      <c r="K402" s="1"/>
      <c r="L402" s="1"/>
      <c r="M402" s="1"/>
    </row>
    <row r="403" spans="1:13" x14ac:dyDescent="0.25">
      <c r="A403" s="18"/>
      <c r="B403" s="9"/>
      <c r="C403" s="9"/>
      <c r="D403" s="9"/>
      <c r="E403" s="9"/>
      <c r="F403" s="9"/>
      <c r="G403" s="9"/>
      <c r="H403" s="1"/>
      <c r="I403" s="1"/>
      <c r="J403" s="1"/>
      <c r="K403" s="1"/>
      <c r="L403" s="1"/>
      <c r="M403" s="1"/>
    </row>
    <row r="404" spans="1:13" x14ac:dyDescent="0.25">
      <c r="A404" s="314" t="s">
        <v>50</v>
      </c>
      <c r="B404" s="314"/>
      <c r="C404" s="314"/>
      <c r="D404" s="314"/>
      <c r="E404" s="314"/>
      <c r="F404" s="314"/>
      <c r="G404" s="314"/>
      <c r="H404" s="1"/>
      <c r="I404" s="1"/>
      <c r="J404" s="1"/>
      <c r="K404" s="1"/>
      <c r="L404" s="1"/>
      <c r="M404" s="1"/>
    </row>
    <row r="405" spans="1:13" x14ac:dyDescent="0.25">
      <c r="A405" s="314" t="s">
        <v>3219</v>
      </c>
      <c r="B405" s="314"/>
      <c r="C405" s="314"/>
      <c r="D405" s="314"/>
      <c r="E405" s="314"/>
      <c r="F405" s="314"/>
      <c r="G405" s="314"/>
      <c r="H405" s="1"/>
      <c r="I405" s="1"/>
      <c r="J405" s="1"/>
      <c r="K405" s="1"/>
      <c r="L405" s="1"/>
      <c r="M405" s="1"/>
    </row>
    <row r="406" spans="1:13" ht="15.75" thickBot="1" x14ac:dyDescent="0.3">
      <c r="A406" s="19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 spans="1:13" x14ac:dyDescent="0.25">
      <c r="A407" s="32" t="s">
        <v>46</v>
      </c>
      <c r="B407" s="48" t="s">
        <v>3</v>
      </c>
      <c r="C407" s="272" t="s">
        <v>4</v>
      </c>
      <c r="D407" s="272"/>
      <c r="E407" s="33" t="s">
        <v>47</v>
      </c>
      <c r="F407" s="33" t="s">
        <v>48</v>
      </c>
      <c r="G407" s="34" t="s">
        <v>49</v>
      </c>
      <c r="H407" s="1"/>
      <c r="I407" s="1"/>
      <c r="J407" s="1"/>
      <c r="K407" s="1"/>
      <c r="L407" s="1"/>
      <c r="M407" s="1"/>
    </row>
    <row r="408" spans="1:13" x14ac:dyDescent="0.25">
      <c r="A408" s="41"/>
      <c r="B408" s="24"/>
      <c r="C408" s="35"/>
      <c r="D408" s="38"/>
      <c r="E408" s="24"/>
      <c r="F408" s="24"/>
      <c r="G408" s="25"/>
      <c r="H408" s="1"/>
      <c r="I408" s="1"/>
      <c r="J408" s="1"/>
      <c r="K408" s="1"/>
      <c r="L408" s="1"/>
      <c r="M408" s="1"/>
    </row>
    <row r="409" spans="1:13" x14ac:dyDescent="0.25">
      <c r="A409" s="41">
        <v>1</v>
      </c>
      <c r="B409" s="54" t="s">
        <v>71</v>
      </c>
      <c r="C409" s="46" t="s">
        <v>52</v>
      </c>
      <c r="D409" s="47"/>
      <c r="E409" s="51" t="s">
        <v>62</v>
      </c>
      <c r="F409" s="27" t="e">
        <f>#REF!</f>
        <v>#REF!</v>
      </c>
      <c r="G409" s="25"/>
      <c r="H409" s="1"/>
      <c r="I409" s="1"/>
      <c r="J409" s="1"/>
      <c r="K409" s="1"/>
      <c r="L409" s="1"/>
      <c r="M409" s="1"/>
    </row>
    <row r="410" spans="1:13" x14ac:dyDescent="0.25">
      <c r="A410" s="41"/>
      <c r="B410" s="49"/>
      <c r="C410" s="46" t="s">
        <v>53</v>
      </c>
      <c r="D410" s="47"/>
      <c r="E410" s="51" t="s">
        <v>62</v>
      </c>
      <c r="F410" s="27" t="e">
        <f>#REF!</f>
        <v>#REF!</v>
      </c>
      <c r="G410" s="25"/>
      <c r="H410" s="1"/>
      <c r="I410" s="1"/>
      <c r="J410" s="1"/>
      <c r="K410" s="1"/>
      <c r="L410" s="1"/>
      <c r="M410" s="1"/>
    </row>
    <row r="411" spans="1:13" x14ac:dyDescent="0.25">
      <c r="A411" s="41"/>
      <c r="B411" s="49"/>
      <c r="C411" s="46" t="s">
        <v>54</v>
      </c>
      <c r="D411" s="47"/>
      <c r="E411" s="51" t="s">
        <v>62</v>
      </c>
      <c r="F411" s="27" t="e">
        <f>#REF!</f>
        <v>#REF!</v>
      </c>
      <c r="G411" s="25"/>
      <c r="H411" s="1"/>
      <c r="I411" s="1"/>
      <c r="J411" s="1"/>
      <c r="K411" s="1"/>
      <c r="L411" s="1"/>
      <c r="M411" s="1"/>
    </row>
    <row r="412" spans="1:13" x14ac:dyDescent="0.25">
      <c r="A412" s="41"/>
      <c r="B412" s="24"/>
      <c r="C412" s="46"/>
      <c r="D412" s="50" t="s">
        <v>51</v>
      </c>
      <c r="E412" s="51" t="s">
        <v>62</v>
      </c>
      <c r="G412" s="27" t="e">
        <f>SUM(F409:F411)</f>
        <v>#REF!</v>
      </c>
      <c r="H412" s="1"/>
      <c r="I412" s="1"/>
      <c r="J412" s="1"/>
      <c r="K412" s="1"/>
      <c r="L412" s="1"/>
      <c r="M412" s="1"/>
    </row>
    <row r="413" spans="1:13" x14ac:dyDescent="0.25">
      <c r="A413" s="41"/>
      <c r="B413" s="24"/>
      <c r="C413" s="46"/>
      <c r="D413" s="47"/>
      <c r="E413" s="51"/>
      <c r="F413" s="27"/>
      <c r="G413" s="25"/>
      <c r="H413" s="1"/>
      <c r="I413" s="1"/>
      <c r="J413" s="1"/>
      <c r="K413" s="1"/>
      <c r="L413" s="1"/>
      <c r="M413" s="1"/>
    </row>
    <row r="414" spans="1:13" x14ac:dyDescent="0.25">
      <c r="A414" s="29"/>
      <c r="B414" s="30"/>
      <c r="C414" s="37"/>
      <c r="D414" s="40"/>
      <c r="E414" s="30"/>
      <c r="F414" s="30"/>
      <c r="G414" s="42"/>
      <c r="H414" s="1"/>
      <c r="I414" s="1"/>
      <c r="J414" s="1"/>
      <c r="K414" s="1"/>
      <c r="L414" s="1"/>
      <c r="M414" s="1"/>
    </row>
    <row r="415" spans="1:13" x14ac:dyDescent="0.25">
      <c r="A415" s="29"/>
      <c r="B415" s="30"/>
      <c r="C415" s="37"/>
      <c r="D415" s="40"/>
      <c r="E415" s="30"/>
      <c r="F415" s="30"/>
      <c r="G415" s="42"/>
      <c r="H415" s="1"/>
      <c r="I415" s="1"/>
      <c r="J415" s="1"/>
      <c r="K415" s="1"/>
      <c r="L415" s="1"/>
      <c r="M415" s="1"/>
    </row>
    <row r="416" spans="1:13" ht="15.75" thickBot="1" x14ac:dyDescent="0.3">
      <c r="A416" s="29"/>
      <c r="B416" s="30"/>
      <c r="C416" s="37"/>
      <c r="D416" s="40"/>
      <c r="E416" s="30"/>
      <c r="F416" s="30"/>
      <c r="G416" s="31"/>
      <c r="H416" s="1"/>
      <c r="I416" s="1"/>
      <c r="J416" s="1"/>
      <c r="K416" s="1"/>
      <c r="L416" s="1"/>
      <c r="M416" s="1"/>
    </row>
    <row r="417" spans="1:13" ht="15.75" thickBot="1" x14ac:dyDescent="0.3">
      <c r="A417" s="324" t="s">
        <v>10</v>
      </c>
      <c r="B417" s="325"/>
      <c r="C417" s="325"/>
      <c r="D417" s="325"/>
      <c r="E417" s="325"/>
      <c r="F417" s="43" t="e">
        <f>SUM(F409:F416)</f>
        <v>#REF!</v>
      </c>
      <c r="G417" s="43" t="e">
        <f>SUM(G409:G416)</f>
        <v>#REF!</v>
      </c>
      <c r="H417" s="1"/>
      <c r="I417" s="1"/>
      <c r="J417" s="1"/>
      <c r="K417" s="1"/>
      <c r="L417" s="1"/>
      <c r="M417" s="1"/>
    </row>
    <row r="418" spans="1:13" x14ac:dyDescent="0.25">
      <c r="A418" s="19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 spans="1:13" x14ac:dyDescent="0.25">
      <c r="A419" s="19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 spans="1:13" x14ac:dyDescent="0.25">
      <c r="A420" s="19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 spans="1:13" x14ac:dyDescent="0.25">
      <c r="A421" s="19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 spans="1:13" x14ac:dyDescent="0.25">
      <c r="A422" s="19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 spans="1:13" x14ac:dyDescent="0.25">
      <c r="A423" s="19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 spans="1:13" x14ac:dyDescent="0.25">
      <c r="A424" s="19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 spans="1:13" x14ac:dyDescent="0.25">
      <c r="A425" s="19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 spans="1:13" x14ac:dyDescent="0.25">
      <c r="A426" s="19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 spans="1:13" x14ac:dyDescent="0.25">
      <c r="A427" s="19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 spans="1:13" x14ac:dyDescent="0.25">
      <c r="A428" s="19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 spans="1:13" x14ac:dyDescent="0.25">
      <c r="A429" s="19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 spans="1:13" x14ac:dyDescent="0.25">
      <c r="A430" s="19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 spans="1:13" x14ac:dyDescent="0.25">
      <c r="A431" s="19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 spans="1:13" x14ac:dyDescent="0.25">
      <c r="A432" s="19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 spans="1:13" x14ac:dyDescent="0.25">
      <c r="A433" s="19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 spans="1:13" x14ac:dyDescent="0.25">
      <c r="A434" s="19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 spans="1:13" x14ac:dyDescent="0.25">
      <c r="A435" s="19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 spans="1:13" x14ac:dyDescent="0.25">
      <c r="A436" s="19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 spans="1:13" x14ac:dyDescent="0.25">
      <c r="A437" s="19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 spans="1:13" x14ac:dyDescent="0.25">
      <c r="A438" s="19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 spans="1:13" x14ac:dyDescent="0.25">
      <c r="A439" s="19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 spans="1:13" x14ac:dyDescent="0.25">
      <c r="A440" s="19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 spans="1:13" x14ac:dyDescent="0.25">
      <c r="A441" s="19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 spans="1:13" x14ac:dyDescent="0.25">
      <c r="A442" s="19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 spans="1:13" x14ac:dyDescent="0.25">
      <c r="A443" s="19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 spans="1:13" x14ac:dyDescent="0.25">
      <c r="A444" s="19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 spans="1:13" x14ac:dyDescent="0.25">
      <c r="A445" s="19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 spans="1:13" x14ac:dyDescent="0.25">
      <c r="A446" s="19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 spans="1:13" x14ac:dyDescent="0.25">
      <c r="A447" s="19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 spans="1:13" x14ac:dyDescent="0.25">
      <c r="A448" s="19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 spans="1:13" x14ac:dyDescent="0.25">
      <c r="A449" s="19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 spans="1:13" x14ac:dyDescent="0.25">
      <c r="A450" s="45" t="s">
        <v>0</v>
      </c>
      <c r="B450" s="45"/>
      <c r="C450" s="45"/>
      <c r="D450" s="9"/>
      <c r="E450" s="9"/>
      <c r="F450" s="9"/>
      <c r="G450" s="9"/>
      <c r="H450" s="1"/>
      <c r="I450" s="1"/>
      <c r="J450" s="1"/>
      <c r="K450" s="1"/>
      <c r="L450" s="1"/>
      <c r="M450" s="1"/>
    </row>
    <row r="451" spans="1:13" x14ac:dyDescent="0.25">
      <c r="A451" s="45" t="s">
        <v>1</v>
      </c>
      <c r="B451" s="45"/>
      <c r="C451" s="45"/>
      <c r="D451" s="9"/>
      <c r="E451" s="9"/>
      <c r="F451" s="9"/>
      <c r="G451" s="9"/>
      <c r="H451" s="1"/>
      <c r="I451" s="1"/>
      <c r="J451" s="1"/>
      <c r="K451" s="1"/>
      <c r="L451" s="1"/>
      <c r="M451" s="1"/>
    </row>
    <row r="452" spans="1:13" x14ac:dyDescent="0.25">
      <c r="A452" s="45" t="s">
        <v>11</v>
      </c>
      <c r="B452" s="45"/>
      <c r="C452" s="45"/>
      <c r="D452" s="9"/>
      <c r="E452" s="9"/>
      <c r="F452" s="9"/>
      <c r="G452" s="9"/>
      <c r="H452" s="1"/>
      <c r="I452" s="1"/>
      <c r="J452" s="1"/>
      <c r="K452" s="1"/>
      <c r="L452" s="1"/>
      <c r="M452" s="1"/>
    </row>
    <row r="453" spans="1:13" x14ac:dyDescent="0.25">
      <c r="A453" s="18"/>
      <c r="B453" s="9"/>
      <c r="C453" s="9"/>
      <c r="D453" s="9"/>
      <c r="E453" s="9"/>
      <c r="F453" s="9"/>
      <c r="G453" s="9"/>
      <c r="H453" s="1"/>
      <c r="I453" s="1"/>
      <c r="J453" s="1"/>
      <c r="K453" s="1"/>
      <c r="L453" s="1"/>
      <c r="M453" s="1"/>
    </row>
    <row r="454" spans="1:13" x14ac:dyDescent="0.25">
      <c r="A454" s="314" t="s">
        <v>50</v>
      </c>
      <c r="B454" s="314"/>
      <c r="C454" s="314"/>
      <c r="D454" s="314"/>
      <c r="E454" s="314"/>
      <c r="F454" s="314"/>
      <c r="G454" s="314"/>
      <c r="H454" s="1"/>
      <c r="I454" s="1"/>
      <c r="J454" s="1"/>
      <c r="K454" s="1"/>
      <c r="L454" s="1"/>
      <c r="M454" s="1"/>
    </row>
    <row r="455" spans="1:13" x14ac:dyDescent="0.25">
      <c r="A455" s="314" t="s">
        <v>3218</v>
      </c>
      <c r="B455" s="314"/>
      <c r="C455" s="314"/>
      <c r="D455" s="314"/>
      <c r="E455" s="314"/>
      <c r="F455" s="314"/>
      <c r="G455" s="314"/>
      <c r="H455" s="1"/>
      <c r="I455" s="1"/>
      <c r="J455" s="1"/>
      <c r="K455" s="1"/>
      <c r="L455" s="1"/>
      <c r="M455" s="1"/>
    </row>
    <row r="456" spans="1:13" ht="15.75" thickBot="1" x14ac:dyDescent="0.3">
      <c r="A456" s="19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 spans="1:13" x14ac:dyDescent="0.25">
      <c r="A457" s="32" t="s">
        <v>46</v>
      </c>
      <c r="B457" s="48" t="s">
        <v>3</v>
      </c>
      <c r="C457" s="272" t="s">
        <v>4</v>
      </c>
      <c r="D457" s="272"/>
      <c r="E457" s="33" t="s">
        <v>47</v>
      </c>
      <c r="F457" s="33" t="s">
        <v>48</v>
      </c>
      <c r="G457" s="34" t="s">
        <v>49</v>
      </c>
      <c r="H457" s="1"/>
      <c r="I457" s="1"/>
      <c r="J457" s="1"/>
      <c r="K457" s="1"/>
      <c r="L457" s="1"/>
      <c r="M457" s="1"/>
    </row>
    <row r="458" spans="1:13" x14ac:dyDescent="0.25">
      <c r="A458" s="41"/>
      <c r="B458" s="24"/>
      <c r="C458" s="35"/>
      <c r="D458" s="38"/>
      <c r="E458" s="24"/>
      <c r="F458" s="24"/>
      <c r="G458" s="25"/>
      <c r="H458" s="1"/>
      <c r="I458" s="1"/>
      <c r="J458" s="1"/>
      <c r="K458" s="1"/>
      <c r="L458" s="1"/>
      <c r="M458" s="1"/>
    </row>
    <row r="459" spans="1:13" x14ac:dyDescent="0.25">
      <c r="A459" s="41">
        <v>1</v>
      </c>
      <c r="B459" s="54" t="s">
        <v>72</v>
      </c>
      <c r="C459" s="46" t="s">
        <v>52</v>
      </c>
      <c r="D459" s="47"/>
      <c r="E459" s="51" t="s">
        <v>63</v>
      </c>
      <c r="F459" s="27" t="e">
        <f>#REF!</f>
        <v>#REF!</v>
      </c>
      <c r="G459" s="25"/>
      <c r="H459" s="1"/>
      <c r="I459" s="1"/>
      <c r="J459" s="1"/>
      <c r="K459" s="1"/>
      <c r="L459" s="1"/>
      <c r="M459" s="1"/>
    </row>
    <row r="460" spans="1:13" x14ac:dyDescent="0.25">
      <c r="A460" s="41"/>
      <c r="B460" s="49"/>
      <c r="C460" s="46" t="s">
        <v>53</v>
      </c>
      <c r="D460" s="47"/>
      <c r="E460" s="51" t="s">
        <v>63</v>
      </c>
      <c r="F460" s="27" t="e">
        <f>#REF!</f>
        <v>#REF!</v>
      </c>
      <c r="G460" s="25"/>
      <c r="H460" s="1"/>
      <c r="I460" s="1"/>
      <c r="J460" s="1"/>
      <c r="K460" s="1"/>
      <c r="L460" s="1"/>
      <c r="M460" s="1"/>
    </row>
    <row r="461" spans="1:13" x14ac:dyDescent="0.25">
      <c r="A461" s="41"/>
      <c r="B461" s="49"/>
      <c r="C461" s="46" t="s">
        <v>54</v>
      </c>
      <c r="D461" s="47"/>
      <c r="E461" s="51" t="s">
        <v>63</v>
      </c>
      <c r="F461" s="27" t="e">
        <f>#REF!</f>
        <v>#REF!</v>
      </c>
      <c r="G461" s="25"/>
      <c r="H461" s="1"/>
      <c r="I461" s="1"/>
      <c r="J461" s="1"/>
      <c r="K461" s="1"/>
      <c r="L461" s="1"/>
      <c r="M461" s="1"/>
    </row>
    <row r="462" spans="1:13" x14ac:dyDescent="0.25">
      <c r="A462" s="41"/>
      <c r="B462" s="24"/>
      <c r="C462" s="46"/>
      <c r="D462" s="50" t="s">
        <v>51</v>
      </c>
      <c r="E462" s="51" t="s">
        <v>63</v>
      </c>
      <c r="G462" s="27" t="e">
        <f>SUM(F459:F461)</f>
        <v>#REF!</v>
      </c>
      <c r="H462" s="1"/>
      <c r="I462" s="1"/>
      <c r="J462" s="1"/>
      <c r="K462" s="1"/>
      <c r="L462" s="1"/>
      <c r="M462" s="1"/>
    </row>
    <row r="463" spans="1:13" x14ac:dyDescent="0.25">
      <c r="A463" s="41"/>
      <c r="B463" s="24"/>
      <c r="C463" s="46"/>
      <c r="D463" s="47"/>
      <c r="E463" s="51"/>
      <c r="F463" s="27"/>
      <c r="G463" s="25"/>
      <c r="H463" s="1"/>
      <c r="I463" s="1"/>
      <c r="J463" s="1"/>
      <c r="K463" s="1"/>
      <c r="L463" s="1"/>
      <c r="M463" s="1"/>
    </row>
    <row r="464" spans="1:13" x14ac:dyDescent="0.25">
      <c r="A464" s="26"/>
      <c r="B464" s="10"/>
      <c r="C464" s="46"/>
      <c r="D464" s="39"/>
      <c r="E464" s="51"/>
      <c r="F464" s="27"/>
      <c r="G464" s="28"/>
      <c r="H464" s="1"/>
      <c r="I464" s="1"/>
      <c r="J464" s="1"/>
      <c r="K464" s="1"/>
      <c r="L464" s="1"/>
      <c r="M464" s="1"/>
    </row>
    <row r="465" spans="1:13" x14ac:dyDescent="0.25">
      <c r="A465" s="29"/>
      <c r="B465" s="30"/>
      <c r="C465" s="37"/>
      <c r="D465" s="40"/>
      <c r="E465" s="30"/>
      <c r="F465" s="30"/>
      <c r="G465" s="42"/>
      <c r="H465" s="1"/>
      <c r="I465" s="1"/>
      <c r="J465" s="1"/>
      <c r="K465" s="1"/>
      <c r="L465" s="1"/>
      <c r="M465" s="1"/>
    </row>
    <row r="466" spans="1:13" ht="15.75" thickBot="1" x14ac:dyDescent="0.3">
      <c r="A466" s="29"/>
      <c r="B466" s="30"/>
      <c r="C466" s="37"/>
      <c r="D466" s="40"/>
      <c r="E466" s="30"/>
      <c r="F466" s="30"/>
      <c r="G466" s="31"/>
      <c r="H466" s="1"/>
      <c r="I466" s="1"/>
      <c r="J466" s="1"/>
      <c r="K466" s="1"/>
      <c r="L466" s="1"/>
      <c r="M466" s="1"/>
    </row>
    <row r="467" spans="1:13" ht="15.75" thickBot="1" x14ac:dyDescent="0.3">
      <c r="A467" s="324" t="s">
        <v>10</v>
      </c>
      <c r="B467" s="325"/>
      <c r="C467" s="325"/>
      <c r="D467" s="325"/>
      <c r="E467" s="325"/>
      <c r="F467" s="43" t="e">
        <f>SUM(F459:F466)</f>
        <v>#REF!</v>
      </c>
      <c r="G467" s="43" t="e">
        <f>SUM(G459:G466)</f>
        <v>#REF!</v>
      </c>
      <c r="H467" s="1"/>
      <c r="I467" s="1"/>
      <c r="J467" s="1"/>
      <c r="K467" s="1"/>
      <c r="L467" s="1"/>
      <c r="M467" s="1"/>
    </row>
    <row r="468" spans="1:13" x14ac:dyDescent="0.25">
      <c r="A468" s="19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 spans="1:13" x14ac:dyDescent="0.25">
      <c r="A469" s="19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 spans="1:13" x14ac:dyDescent="0.25">
      <c r="A470" s="19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 spans="1:13" x14ac:dyDescent="0.25">
      <c r="A471" s="19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 spans="1:13" x14ac:dyDescent="0.25">
      <c r="A472" s="19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 spans="1:13" x14ac:dyDescent="0.25">
      <c r="A473" s="19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 spans="1:13" x14ac:dyDescent="0.25">
      <c r="A474" s="19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 spans="1:13" x14ac:dyDescent="0.25">
      <c r="A475" s="19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 spans="1:13" x14ac:dyDescent="0.25">
      <c r="A476" s="19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 spans="1:13" x14ac:dyDescent="0.25">
      <c r="A477" s="19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 spans="1:13" x14ac:dyDescent="0.25">
      <c r="A478" s="19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 spans="1:13" x14ac:dyDescent="0.25">
      <c r="A479" s="19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 spans="1:13" x14ac:dyDescent="0.25">
      <c r="A480" s="19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 spans="1:13" x14ac:dyDescent="0.25">
      <c r="A481" s="19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 spans="1:13" x14ac:dyDescent="0.25">
      <c r="A482" s="19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 spans="1:13" x14ac:dyDescent="0.25">
      <c r="A483" s="19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 spans="1:13" x14ac:dyDescent="0.25">
      <c r="A484" s="19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 spans="1:13" x14ac:dyDescent="0.25">
      <c r="A485" s="19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 spans="1:13" x14ac:dyDescent="0.25">
      <c r="A486" s="19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 spans="1:13" x14ac:dyDescent="0.25">
      <c r="A487" s="19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 spans="1:13" x14ac:dyDescent="0.25">
      <c r="A488" s="19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 spans="1:13" x14ac:dyDescent="0.25">
      <c r="A489" s="19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 spans="1:13" x14ac:dyDescent="0.25">
      <c r="A490" s="19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 spans="1:13" x14ac:dyDescent="0.25">
      <c r="A491" s="19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 spans="1:13" x14ac:dyDescent="0.25">
      <c r="A492" s="19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 spans="1:13" x14ac:dyDescent="0.25">
      <c r="A493" s="19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 spans="1:13" x14ac:dyDescent="0.25">
      <c r="A494" s="19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 spans="1:13" x14ac:dyDescent="0.25">
      <c r="A495" s="19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 spans="1:13" x14ac:dyDescent="0.25">
      <c r="A496" s="19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 spans="1:13" x14ac:dyDescent="0.25">
      <c r="A497" s="19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 spans="1:13" x14ac:dyDescent="0.25">
      <c r="A498" s="19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 spans="1:13" x14ac:dyDescent="0.25">
      <c r="A499" s="19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 spans="1:13" x14ac:dyDescent="0.25">
      <c r="A500" s="45" t="s">
        <v>0</v>
      </c>
      <c r="B500" s="45"/>
      <c r="C500" s="45"/>
      <c r="D500" s="9"/>
      <c r="E500" s="9"/>
      <c r="F500" s="9"/>
      <c r="G500" s="9"/>
      <c r="H500" s="1"/>
      <c r="I500" s="1"/>
      <c r="J500" s="1"/>
      <c r="K500" s="1"/>
      <c r="L500" s="1"/>
      <c r="M500" s="1"/>
    </row>
    <row r="501" spans="1:13" x14ac:dyDescent="0.25">
      <c r="A501" s="45" t="s">
        <v>1</v>
      </c>
      <c r="B501" s="45"/>
      <c r="C501" s="45"/>
      <c r="D501" s="9"/>
      <c r="E501" s="9"/>
      <c r="F501" s="9"/>
      <c r="G501" s="9"/>
      <c r="H501" s="1"/>
      <c r="I501" s="1"/>
      <c r="J501" s="1"/>
      <c r="K501" s="1"/>
      <c r="L501" s="1"/>
      <c r="M501" s="1"/>
    </row>
    <row r="502" spans="1:13" x14ac:dyDescent="0.25">
      <c r="A502" s="45" t="s">
        <v>11</v>
      </c>
      <c r="B502" s="45"/>
      <c r="C502" s="45"/>
      <c r="D502" s="9"/>
      <c r="E502" s="9"/>
      <c r="F502" s="9"/>
      <c r="G502" s="9"/>
      <c r="H502" s="1"/>
      <c r="I502" s="1"/>
      <c r="J502" s="1"/>
      <c r="K502" s="1"/>
      <c r="L502" s="1"/>
      <c r="M502" s="1"/>
    </row>
    <row r="503" spans="1:13" x14ac:dyDescent="0.25">
      <c r="A503" s="18"/>
      <c r="B503" s="9"/>
      <c r="C503" s="9"/>
      <c r="D503" s="9"/>
      <c r="E503" s="9"/>
      <c r="F503" s="9"/>
      <c r="G503" s="9"/>
      <c r="H503" s="1"/>
      <c r="I503" s="1"/>
      <c r="J503" s="1"/>
      <c r="K503" s="1"/>
      <c r="L503" s="1"/>
      <c r="M503" s="1"/>
    </row>
    <row r="504" spans="1:13" x14ac:dyDescent="0.25">
      <c r="A504" s="314" t="s">
        <v>50</v>
      </c>
      <c r="B504" s="314"/>
      <c r="C504" s="314"/>
      <c r="D504" s="314"/>
      <c r="E504" s="314"/>
      <c r="F504" s="314"/>
      <c r="G504" s="314"/>
      <c r="H504" s="1"/>
      <c r="I504" s="1"/>
      <c r="J504" s="1"/>
      <c r="K504" s="1"/>
      <c r="L504" s="1"/>
      <c r="M504" s="1"/>
    </row>
    <row r="505" spans="1:13" x14ac:dyDescent="0.25">
      <c r="A505" s="314" t="s">
        <v>3217</v>
      </c>
      <c r="B505" s="314"/>
      <c r="C505" s="314"/>
      <c r="D505" s="314"/>
      <c r="E505" s="314"/>
      <c r="F505" s="314"/>
      <c r="G505" s="314"/>
      <c r="H505" s="1"/>
      <c r="I505" s="1"/>
      <c r="J505" s="1"/>
      <c r="K505" s="1"/>
      <c r="L505" s="1"/>
      <c r="M505" s="1"/>
    </row>
    <row r="506" spans="1:13" ht="15.75" thickBot="1" x14ac:dyDescent="0.3">
      <c r="A506" s="19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 spans="1:13" x14ac:dyDescent="0.25">
      <c r="A507" s="32" t="s">
        <v>46</v>
      </c>
      <c r="B507" s="48" t="s">
        <v>3</v>
      </c>
      <c r="C507" s="272" t="s">
        <v>4</v>
      </c>
      <c r="D507" s="272"/>
      <c r="E507" s="33" t="s">
        <v>47</v>
      </c>
      <c r="F507" s="33" t="s">
        <v>48</v>
      </c>
      <c r="G507" s="34" t="s">
        <v>49</v>
      </c>
      <c r="H507" s="1"/>
      <c r="I507" s="1"/>
      <c r="J507" s="1"/>
      <c r="K507" s="1"/>
      <c r="L507" s="1"/>
      <c r="M507" s="1"/>
    </row>
    <row r="508" spans="1:13" x14ac:dyDescent="0.25">
      <c r="A508" s="41"/>
      <c r="B508" s="24"/>
      <c r="C508" s="35"/>
      <c r="D508" s="38"/>
      <c r="E508" s="24"/>
      <c r="F508" s="24"/>
      <c r="G508" s="25"/>
      <c r="H508" s="1"/>
      <c r="I508" s="1"/>
      <c r="J508" s="1"/>
      <c r="K508" s="1"/>
      <c r="L508" s="1"/>
      <c r="M508" s="1"/>
    </row>
    <row r="509" spans="1:13" x14ac:dyDescent="0.25">
      <c r="A509" s="41">
        <v>1</v>
      </c>
      <c r="B509" s="54" t="s">
        <v>73</v>
      </c>
      <c r="C509" s="46" t="s">
        <v>52</v>
      </c>
      <c r="D509" s="47"/>
      <c r="E509" s="51" t="s">
        <v>64</v>
      </c>
      <c r="F509" s="27" t="e">
        <f>#REF!</f>
        <v>#REF!</v>
      </c>
      <c r="G509" s="25"/>
      <c r="H509" s="1"/>
      <c r="I509" s="1"/>
      <c r="J509" s="1"/>
      <c r="K509" s="1"/>
      <c r="L509" s="1"/>
      <c r="M509" s="1"/>
    </row>
    <row r="510" spans="1:13" x14ac:dyDescent="0.25">
      <c r="A510" s="41"/>
      <c r="B510" s="49"/>
      <c r="C510" s="46" t="s">
        <v>53</v>
      </c>
      <c r="D510" s="47"/>
      <c r="E510" s="51" t="s">
        <v>64</v>
      </c>
      <c r="F510" s="27" t="e">
        <f>#REF!</f>
        <v>#REF!</v>
      </c>
      <c r="G510" s="25"/>
      <c r="H510" s="1"/>
      <c r="I510" s="1"/>
      <c r="J510" s="1"/>
      <c r="K510" s="1"/>
      <c r="L510" s="1"/>
      <c r="M510" s="1"/>
    </row>
    <row r="511" spans="1:13" x14ac:dyDescent="0.25">
      <c r="A511" s="41"/>
      <c r="B511" s="49"/>
      <c r="C511" s="46" t="s">
        <v>54</v>
      </c>
      <c r="D511" s="47"/>
      <c r="E511" s="51" t="s">
        <v>64</v>
      </c>
      <c r="F511" s="27" t="e">
        <f>#REF!</f>
        <v>#REF!</v>
      </c>
      <c r="G511" s="25"/>
      <c r="H511" s="1"/>
      <c r="I511" s="1"/>
      <c r="J511" s="1"/>
      <c r="K511" s="1"/>
      <c r="L511" s="1"/>
      <c r="M511" s="1"/>
    </row>
    <row r="512" spans="1:13" x14ac:dyDescent="0.25">
      <c r="A512" s="41"/>
      <c r="B512" s="24"/>
      <c r="C512" s="46"/>
      <c r="D512" s="50" t="s">
        <v>51</v>
      </c>
      <c r="E512" s="51" t="s">
        <v>64</v>
      </c>
      <c r="G512" s="27" t="e">
        <f>SUM(F509:F511)</f>
        <v>#REF!</v>
      </c>
      <c r="H512" s="1"/>
      <c r="I512" s="1"/>
      <c r="J512" s="1"/>
      <c r="K512" s="1"/>
      <c r="L512" s="1"/>
      <c r="M512" s="1"/>
    </row>
    <row r="513" spans="1:13" ht="15.75" thickBot="1" x14ac:dyDescent="0.3">
      <c r="A513" s="29"/>
      <c r="B513" s="30"/>
      <c r="C513" s="37"/>
      <c r="D513" s="40"/>
      <c r="E513" s="30"/>
      <c r="F513" s="30"/>
      <c r="G513" s="31"/>
      <c r="H513" s="1"/>
      <c r="I513" s="1"/>
      <c r="J513" s="1"/>
      <c r="K513" s="1"/>
      <c r="L513" s="1"/>
      <c r="M513" s="1"/>
    </row>
    <row r="514" spans="1:13" ht="15.75" thickBot="1" x14ac:dyDescent="0.3">
      <c r="A514" s="324" t="s">
        <v>10</v>
      </c>
      <c r="B514" s="325"/>
      <c r="C514" s="325"/>
      <c r="D514" s="325"/>
      <c r="E514" s="325"/>
      <c r="F514" s="43" t="e">
        <f>SUM(F509:F513)</f>
        <v>#REF!</v>
      </c>
      <c r="G514" s="43" t="e">
        <f>SUM(G509:G513)</f>
        <v>#REF!</v>
      </c>
      <c r="H514" s="1"/>
      <c r="I514" s="1"/>
      <c r="J514" s="1"/>
      <c r="K514" s="1"/>
      <c r="L514" s="1"/>
      <c r="M514" s="1"/>
    </row>
    <row r="515" spans="1:13" x14ac:dyDescent="0.25">
      <c r="A515" s="19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 spans="1:13" x14ac:dyDescent="0.25">
      <c r="A516" s="19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 spans="1:13" x14ac:dyDescent="0.25">
      <c r="A517" s="19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 spans="1:13" x14ac:dyDescent="0.25">
      <c r="A518" s="19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 spans="1:13" x14ac:dyDescent="0.25">
      <c r="A519" s="19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 spans="1:13" x14ac:dyDescent="0.25">
      <c r="A520" s="19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 spans="1:13" x14ac:dyDescent="0.25">
      <c r="A521" s="19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 spans="1:13" x14ac:dyDescent="0.25">
      <c r="A522" s="19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 spans="1:13" x14ac:dyDescent="0.25">
      <c r="A523" s="19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 spans="1:13" x14ac:dyDescent="0.25">
      <c r="A524" s="19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 spans="1:13" x14ac:dyDescent="0.25">
      <c r="A525" s="19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 spans="1:13" x14ac:dyDescent="0.25">
      <c r="A526" s="19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 spans="1:13" x14ac:dyDescent="0.25">
      <c r="A527" s="19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 spans="1:13" x14ac:dyDescent="0.25">
      <c r="A528" s="19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 spans="1:13" x14ac:dyDescent="0.25">
      <c r="A529" s="19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 spans="1:13" x14ac:dyDescent="0.25">
      <c r="A530" s="19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 spans="1:13" x14ac:dyDescent="0.25">
      <c r="A531" s="19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 spans="1:13" x14ac:dyDescent="0.25">
      <c r="A532" s="19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 spans="1:13" x14ac:dyDescent="0.25">
      <c r="A533" s="19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 spans="1:13" x14ac:dyDescent="0.25">
      <c r="A534" s="19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 spans="1:13" x14ac:dyDescent="0.25">
      <c r="A535" s="19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 spans="1:13" x14ac:dyDescent="0.25">
      <c r="A536" s="19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 spans="1:13" x14ac:dyDescent="0.25">
      <c r="A537" s="19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 spans="1:13" x14ac:dyDescent="0.25">
      <c r="A538" s="19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 spans="1:13" x14ac:dyDescent="0.25">
      <c r="A539" s="19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 spans="1:13" x14ac:dyDescent="0.25">
      <c r="A540" s="19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 spans="1:13" x14ac:dyDescent="0.25">
      <c r="A541" s="19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 spans="1:13" x14ac:dyDescent="0.25">
      <c r="A542" s="19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 spans="1:13" x14ac:dyDescent="0.25">
      <c r="A543" s="19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 spans="1:13" x14ac:dyDescent="0.25">
      <c r="A544" s="19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 spans="1:13" x14ac:dyDescent="0.25">
      <c r="A545" s="19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 spans="1:13" x14ac:dyDescent="0.25">
      <c r="A546" s="19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 spans="1:13" x14ac:dyDescent="0.25">
      <c r="A547" s="19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 spans="1:13" x14ac:dyDescent="0.25">
      <c r="A548" s="19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 spans="1:13" x14ac:dyDescent="0.25">
      <c r="A549" s="19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 spans="1:13" x14ac:dyDescent="0.25">
      <c r="A550" s="45" t="s">
        <v>0</v>
      </c>
      <c r="B550" s="45"/>
      <c r="C550" s="45"/>
      <c r="D550" s="9"/>
      <c r="E550" s="9"/>
      <c r="F550" s="9"/>
      <c r="G550" s="9"/>
      <c r="H550" s="1"/>
      <c r="I550" s="1"/>
      <c r="J550" s="1"/>
      <c r="K550" s="1"/>
      <c r="L550" s="1"/>
      <c r="M550" s="1"/>
    </row>
    <row r="551" spans="1:13" x14ac:dyDescent="0.25">
      <c r="A551" s="45" t="s">
        <v>1</v>
      </c>
      <c r="B551" s="45"/>
      <c r="C551" s="45"/>
      <c r="D551" s="9"/>
      <c r="E551" s="9"/>
      <c r="F551" s="9"/>
      <c r="G551" s="9"/>
      <c r="H551" s="1"/>
      <c r="I551" s="1"/>
      <c r="J551" s="1"/>
      <c r="K551" s="1"/>
      <c r="L551" s="1"/>
      <c r="M551" s="1"/>
    </row>
    <row r="552" spans="1:13" x14ac:dyDescent="0.25">
      <c r="A552" s="45" t="s">
        <v>11</v>
      </c>
      <c r="B552" s="45"/>
      <c r="C552" s="45"/>
      <c r="D552" s="9"/>
      <c r="E552" s="9"/>
      <c r="F552" s="9"/>
      <c r="G552" s="9"/>
      <c r="H552" s="1"/>
      <c r="I552" s="1"/>
      <c r="J552" s="1"/>
      <c r="K552" s="1"/>
      <c r="L552" s="1"/>
      <c r="M552" s="1"/>
    </row>
    <row r="553" spans="1:13" x14ac:dyDescent="0.25">
      <c r="A553" s="18"/>
      <c r="B553" s="9"/>
      <c r="C553" s="9"/>
      <c r="D553" s="9"/>
      <c r="E553" s="9"/>
      <c r="F553" s="9"/>
      <c r="G553" s="9"/>
      <c r="H553" s="1"/>
      <c r="I553" s="1"/>
      <c r="J553" s="1"/>
      <c r="K553" s="1"/>
      <c r="L553" s="1"/>
      <c r="M553" s="1"/>
    </row>
    <row r="554" spans="1:13" x14ac:dyDescent="0.25">
      <c r="A554" s="314" t="s">
        <v>50</v>
      </c>
      <c r="B554" s="314"/>
      <c r="C554" s="314"/>
      <c r="D554" s="314"/>
      <c r="E554" s="314"/>
      <c r="F554" s="314"/>
      <c r="G554" s="314"/>
      <c r="H554" s="1"/>
      <c r="I554" s="1"/>
      <c r="J554" s="1"/>
      <c r="K554" s="1"/>
      <c r="L554" s="1"/>
      <c r="M554" s="1"/>
    </row>
    <row r="555" spans="1:13" x14ac:dyDescent="0.25">
      <c r="A555" s="314" t="s">
        <v>3216</v>
      </c>
      <c r="B555" s="314"/>
      <c r="C555" s="314"/>
      <c r="D555" s="314"/>
      <c r="E555" s="314"/>
      <c r="F555" s="314"/>
      <c r="G555" s="314"/>
      <c r="H555" s="1"/>
      <c r="I555" s="1"/>
      <c r="J555" s="1"/>
      <c r="K555" s="1"/>
      <c r="L555" s="1"/>
      <c r="M555" s="1"/>
    </row>
    <row r="556" spans="1:13" ht="15.75" thickBot="1" x14ac:dyDescent="0.3">
      <c r="A556" s="19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 spans="1:13" x14ac:dyDescent="0.25">
      <c r="A557" s="32" t="s">
        <v>46</v>
      </c>
      <c r="B557" s="48" t="s">
        <v>3</v>
      </c>
      <c r="C557" s="272" t="s">
        <v>4</v>
      </c>
      <c r="D557" s="272"/>
      <c r="E557" s="33" t="s">
        <v>47</v>
      </c>
      <c r="F557" s="33" t="s">
        <v>48</v>
      </c>
      <c r="G557" s="34" t="s">
        <v>49</v>
      </c>
      <c r="H557" s="1"/>
      <c r="I557" s="1"/>
      <c r="J557" s="1"/>
      <c r="K557" s="1"/>
      <c r="L557" s="1"/>
      <c r="M557" s="1"/>
    </row>
    <row r="558" spans="1:13" x14ac:dyDescent="0.25">
      <c r="A558" s="41"/>
      <c r="B558" s="24"/>
      <c r="C558" s="35"/>
      <c r="D558" s="38"/>
      <c r="E558" s="24"/>
      <c r="F558" s="24"/>
      <c r="G558" s="25"/>
      <c r="H558" s="1"/>
      <c r="I558" s="1"/>
      <c r="J558" s="1"/>
      <c r="K558" s="1"/>
      <c r="L558" s="1"/>
      <c r="M558" s="1"/>
    </row>
    <row r="559" spans="1:13" x14ac:dyDescent="0.25">
      <c r="A559" s="41">
        <v>1</v>
      </c>
      <c r="B559" s="54" t="s">
        <v>74</v>
      </c>
      <c r="C559" s="46" t="s">
        <v>52</v>
      </c>
      <c r="D559" s="47"/>
      <c r="E559" s="51" t="s">
        <v>65</v>
      </c>
      <c r="F559" s="27" t="e">
        <f>#REF!</f>
        <v>#REF!</v>
      </c>
      <c r="G559" s="25"/>
      <c r="H559" s="1"/>
      <c r="I559" s="1"/>
      <c r="J559" s="1"/>
      <c r="K559" s="1"/>
      <c r="L559" s="1"/>
      <c r="M559" s="1"/>
    </row>
    <row r="560" spans="1:13" x14ac:dyDescent="0.25">
      <c r="A560" s="41"/>
      <c r="B560" s="49"/>
      <c r="C560" s="46" t="s">
        <v>53</v>
      </c>
      <c r="D560" s="47"/>
      <c r="E560" s="51" t="s">
        <v>65</v>
      </c>
      <c r="F560" s="27" t="e">
        <f>#REF!</f>
        <v>#REF!</v>
      </c>
      <c r="G560" s="25"/>
      <c r="H560" s="1"/>
      <c r="I560" s="1"/>
      <c r="J560" s="1"/>
      <c r="K560" s="1"/>
      <c r="L560" s="1"/>
      <c r="M560" s="1"/>
    </row>
    <row r="561" spans="1:13" x14ac:dyDescent="0.25">
      <c r="A561" s="41"/>
      <c r="B561" s="49"/>
      <c r="C561" s="46" t="s">
        <v>54</v>
      </c>
      <c r="D561" s="47"/>
      <c r="E561" s="51" t="s">
        <v>65</v>
      </c>
      <c r="F561" s="27" t="e">
        <f>#REF!</f>
        <v>#REF!</v>
      </c>
      <c r="G561" s="25"/>
      <c r="H561" s="1"/>
      <c r="I561" s="1"/>
      <c r="J561" s="1"/>
      <c r="K561" s="1"/>
      <c r="L561" s="1"/>
      <c r="M561" s="1"/>
    </row>
    <row r="562" spans="1:13" x14ac:dyDescent="0.25">
      <c r="A562" s="41"/>
      <c r="B562" s="24"/>
      <c r="C562" s="46"/>
      <c r="D562" s="50" t="s">
        <v>51</v>
      </c>
      <c r="E562" s="51" t="s">
        <v>65</v>
      </c>
      <c r="G562" s="27" t="e">
        <f>SUM(F559:F561)</f>
        <v>#REF!</v>
      </c>
      <c r="H562" s="1"/>
      <c r="I562" s="1"/>
      <c r="J562" s="1"/>
      <c r="K562" s="1"/>
      <c r="L562" s="1"/>
      <c r="M562" s="1"/>
    </row>
    <row r="563" spans="1:13" ht="15.75" thickBot="1" x14ac:dyDescent="0.3">
      <c r="A563" s="29"/>
      <c r="B563" s="30"/>
      <c r="C563" s="37"/>
      <c r="D563" s="40"/>
      <c r="E563" s="30"/>
      <c r="F563" s="30"/>
      <c r="G563" s="31"/>
      <c r="H563" s="1"/>
      <c r="I563" s="1"/>
      <c r="J563" s="1"/>
      <c r="K563" s="1"/>
      <c r="L563" s="1"/>
      <c r="M563" s="1"/>
    </row>
    <row r="564" spans="1:13" ht="15.75" thickBot="1" x14ac:dyDescent="0.3">
      <c r="A564" s="324" t="s">
        <v>10</v>
      </c>
      <c r="B564" s="325"/>
      <c r="C564" s="325"/>
      <c r="D564" s="325"/>
      <c r="E564" s="325"/>
      <c r="F564" s="43" t="e">
        <f>SUM(F559:F563)</f>
        <v>#REF!</v>
      </c>
      <c r="G564" s="43" t="e">
        <f>SUM(G559:G563)</f>
        <v>#REF!</v>
      </c>
      <c r="H564" s="1"/>
      <c r="I564" s="1"/>
      <c r="J564" s="1"/>
      <c r="K564" s="1"/>
      <c r="L564" s="1"/>
      <c r="M564" s="1"/>
    </row>
    <row r="565" spans="1:13" x14ac:dyDescent="0.25">
      <c r="A565" s="19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 spans="1:13" x14ac:dyDescent="0.25">
      <c r="A566" s="19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 spans="1:13" x14ac:dyDescent="0.25">
      <c r="A567" s="19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 spans="1:13" x14ac:dyDescent="0.25">
      <c r="A568" s="19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 spans="1:13" x14ac:dyDescent="0.25">
      <c r="A569" s="19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 spans="1:13" x14ac:dyDescent="0.25">
      <c r="A570" s="19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 spans="1:13" x14ac:dyDescent="0.25">
      <c r="A571" s="19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 spans="1:13" x14ac:dyDescent="0.25">
      <c r="A572" s="19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 spans="1:13" x14ac:dyDescent="0.25">
      <c r="A573" s="19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 spans="1:13" x14ac:dyDescent="0.25">
      <c r="A574" s="19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 spans="1:13" x14ac:dyDescent="0.25">
      <c r="A575" s="19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 spans="1:13" x14ac:dyDescent="0.25">
      <c r="A576" s="19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 spans="1:13" x14ac:dyDescent="0.25">
      <c r="A577" s="19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 spans="1:13" x14ac:dyDescent="0.25">
      <c r="A578" s="19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 spans="1:13" x14ac:dyDescent="0.25">
      <c r="A579" s="19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 spans="1:13" x14ac:dyDescent="0.25">
      <c r="A580" s="19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 spans="1:13" x14ac:dyDescent="0.25">
      <c r="A581" s="19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 spans="1:13" x14ac:dyDescent="0.25">
      <c r="A582" s="19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 spans="1:13" x14ac:dyDescent="0.25">
      <c r="A583" s="19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 spans="1:13" x14ac:dyDescent="0.25">
      <c r="A584" s="19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 spans="1:13" x14ac:dyDescent="0.25">
      <c r="A585" s="19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 spans="1:13" x14ac:dyDescent="0.25">
      <c r="A586" s="19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 spans="1:13" x14ac:dyDescent="0.25">
      <c r="A587" s="19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 spans="1:13" x14ac:dyDescent="0.25">
      <c r="A588" s="19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 spans="1:13" x14ac:dyDescent="0.25">
      <c r="A589" s="19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 spans="1:13" x14ac:dyDescent="0.25">
      <c r="A590" s="19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 spans="1:13" x14ac:dyDescent="0.25">
      <c r="A591" s="19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 spans="1:13" x14ac:dyDescent="0.25">
      <c r="A592" s="19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 spans="1:13" x14ac:dyDescent="0.25">
      <c r="A593" s="19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 spans="1:13" x14ac:dyDescent="0.25">
      <c r="A594" s="19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 spans="1:13" x14ac:dyDescent="0.25">
      <c r="A595" s="19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 spans="1:13" x14ac:dyDescent="0.25">
      <c r="A596" s="19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 spans="1:13" x14ac:dyDescent="0.25">
      <c r="A597" s="19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 spans="1:13" x14ac:dyDescent="0.25">
      <c r="A598" s="19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 spans="1:13" x14ac:dyDescent="0.25">
      <c r="A599" s="19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 spans="1:13" x14ac:dyDescent="0.25">
      <c r="A600" s="19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 spans="1:13" x14ac:dyDescent="0.25">
      <c r="A601" s="19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 spans="1:13" x14ac:dyDescent="0.25">
      <c r="H602" s="1"/>
      <c r="I602" s="1"/>
      <c r="J602" s="1"/>
      <c r="K602" s="1"/>
      <c r="L602" s="1"/>
      <c r="M602" s="1"/>
    </row>
    <row r="603" spans="1:13" x14ac:dyDescent="0.25">
      <c r="H603" s="1"/>
      <c r="I603" s="1"/>
      <c r="J603" s="1"/>
      <c r="K603" s="1"/>
      <c r="L603" s="1"/>
      <c r="M603" s="1"/>
    </row>
    <row r="604" spans="1:13" x14ac:dyDescent="0.25">
      <c r="H604" s="1"/>
      <c r="I604" s="1"/>
      <c r="J604" s="1"/>
      <c r="K604" s="1"/>
      <c r="L604" s="1"/>
      <c r="M604" s="1"/>
    </row>
    <row r="605" spans="1:13" x14ac:dyDescent="0.25">
      <c r="H605" s="1"/>
      <c r="I605" s="1"/>
      <c r="J605" s="1"/>
      <c r="K605" s="1"/>
      <c r="L605" s="1"/>
      <c r="M605" s="1"/>
    </row>
    <row r="606" spans="1:13" x14ac:dyDescent="0.25">
      <c r="H606" s="1"/>
      <c r="I606" s="1"/>
      <c r="J606" s="1"/>
      <c r="K606" s="1"/>
      <c r="L606" s="1"/>
      <c r="M606" s="1"/>
    </row>
  </sheetData>
  <mergeCells count="48">
    <mergeCell ref="A454:G454"/>
    <mergeCell ref="A455:G455"/>
    <mergeCell ref="C457:D457"/>
    <mergeCell ref="A467:E467"/>
    <mergeCell ref="A404:G404"/>
    <mergeCell ref="A405:G405"/>
    <mergeCell ref="C407:D407"/>
    <mergeCell ref="A417:E417"/>
    <mergeCell ref="A365:E365"/>
    <mergeCell ref="A254:G254"/>
    <mergeCell ref="A5:G5"/>
    <mergeCell ref="A6:G6"/>
    <mergeCell ref="C8:D8"/>
    <mergeCell ref="A18:E18"/>
    <mergeCell ref="A54:G54"/>
    <mergeCell ref="A55:G55"/>
    <mergeCell ref="A104:G104"/>
    <mergeCell ref="A105:G105"/>
    <mergeCell ref="C107:D107"/>
    <mergeCell ref="A117:E117"/>
    <mergeCell ref="C57:D57"/>
    <mergeCell ref="A66:E66"/>
    <mergeCell ref="A255:G255"/>
    <mergeCell ref="C257:D257"/>
    <mergeCell ref="A205:G205"/>
    <mergeCell ref="C207:D207"/>
    <mergeCell ref="A216:E216"/>
    <mergeCell ref="A355:G355"/>
    <mergeCell ref="C357:D357"/>
    <mergeCell ref="A266:E266"/>
    <mergeCell ref="A304:G304"/>
    <mergeCell ref="A305:G305"/>
    <mergeCell ref="C307:D307"/>
    <mergeCell ref="A316:E316"/>
    <mergeCell ref="A354:G354"/>
    <mergeCell ref="A154:G154"/>
    <mergeCell ref="A155:G155"/>
    <mergeCell ref="C157:D157"/>
    <mergeCell ref="A166:E166"/>
    <mergeCell ref="A204:G204"/>
    <mergeCell ref="A554:G554"/>
    <mergeCell ref="A555:G555"/>
    <mergeCell ref="C557:D557"/>
    <mergeCell ref="A564:E564"/>
    <mergeCell ref="A504:G504"/>
    <mergeCell ref="A505:G505"/>
    <mergeCell ref="C507:D507"/>
    <mergeCell ref="A514:E514"/>
  </mergeCells>
  <pageMargins left="0.70866141732283472" right="0.70866141732283472" top="0.74803149606299213" bottom="0.74803149606299213" header="0.31496062992125984" footer="0.31496062992125984"/>
  <pageSetup paperSize="9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rgb="FFFF0000"/>
  </sheetPr>
  <dimension ref="A1:Q48"/>
  <sheetViews>
    <sheetView view="pageLayout" topLeftCell="D7" workbookViewId="0">
      <selection activeCell="C11" sqref="C11"/>
    </sheetView>
  </sheetViews>
  <sheetFormatPr defaultRowHeight="15" x14ac:dyDescent="0.25"/>
  <cols>
    <col min="2" max="2" width="5.7109375" customWidth="1"/>
    <col min="3" max="3" width="17.42578125" customWidth="1"/>
    <col min="5" max="5" width="8.7109375" customWidth="1"/>
  </cols>
  <sheetData>
    <row r="1" spans="1:17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spans="1:17" x14ac:dyDescent="0.25">
      <c r="A3" s="286" t="s">
        <v>12</v>
      </c>
      <c r="B3" s="286"/>
      <c r="C3" s="286"/>
      <c r="D3" s="286"/>
      <c r="E3" s="286"/>
      <c r="F3" s="286"/>
      <c r="G3" s="286"/>
      <c r="H3" s="286"/>
      <c r="I3" s="286"/>
      <c r="J3" s="286"/>
      <c r="K3" s="286"/>
      <c r="L3" s="286"/>
      <c r="M3" s="286"/>
      <c r="N3" s="286"/>
      <c r="O3" s="286"/>
      <c r="P3" s="286"/>
      <c r="Q3" s="286"/>
    </row>
    <row r="4" spans="1:17" x14ac:dyDescent="0.25">
      <c r="A4" s="286" t="s">
        <v>2</v>
      </c>
      <c r="B4" s="286"/>
      <c r="C4" s="286"/>
      <c r="D4" s="286"/>
      <c r="E4" s="286"/>
      <c r="F4" s="286"/>
      <c r="G4" s="286"/>
      <c r="H4" s="286"/>
      <c r="I4" s="286"/>
      <c r="J4" s="286"/>
      <c r="K4" s="286"/>
      <c r="L4" s="286"/>
      <c r="M4" s="286"/>
      <c r="N4" s="286"/>
      <c r="O4" s="286"/>
      <c r="P4" s="286"/>
      <c r="Q4" s="286"/>
    </row>
    <row r="5" spans="1:17" ht="15.75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332" t="s">
        <v>13</v>
      </c>
      <c r="B6" s="333"/>
      <c r="C6" s="334" t="s">
        <v>8</v>
      </c>
      <c r="D6" s="333" t="s">
        <v>14</v>
      </c>
      <c r="E6" s="333"/>
      <c r="F6" s="333" t="s">
        <v>9</v>
      </c>
      <c r="G6" s="333"/>
      <c r="H6" s="333" t="s">
        <v>15</v>
      </c>
      <c r="I6" s="333"/>
      <c r="J6" s="333"/>
      <c r="K6" s="333"/>
      <c r="L6" s="333"/>
      <c r="M6" s="333"/>
      <c r="N6" s="333"/>
      <c r="O6" s="333"/>
      <c r="P6" s="333"/>
      <c r="Q6" s="335"/>
    </row>
    <row r="7" spans="1:17" x14ac:dyDescent="0.25">
      <c r="A7" s="336" t="s">
        <v>7</v>
      </c>
      <c r="B7" s="328" t="s">
        <v>16</v>
      </c>
      <c r="C7" s="328"/>
      <c r="D7" s="328" t="s">
        <v>7</v>
      </c>
      <c r="E7" s="328" t="s">
        <v>17</v>
      </c>
      <c r="F7" s="326" t="s">
        <v>18</v>
      </c>
      <c r="G7" s="326"/>
      <c r="H7" s="6" t="s">
        <v>19</v>
      </c>
      <c r="I7" s="6" t="s">
        <v>20</v>
      </c>
      <c r="J7" s="6" t="s">
        <v>21</v>
      </c>
      <c r="K7" s="6" t="s">
        <v>22</v>
      </c>
      <c r="L7" s="6" t="s">
        <v>22</v>
      </c>
      <c r="M7" s="6" t="s">
        <v>22</v>
      </c>
      <c r="N7" s="326" t="s">
        <v>23</v>
      </c>
      <c r="O7" s="326"/>
      <c r="P7" s="326" t="s">
        <v>24</v>
      </c>
      <c r="Q7" s="327"/>
    </row>
    <row r="8" spans="1:17" x14ac:dyDescent="0.25">
      <c r="A8" s="336"/>
      <c r="B8" s="328"/>
      <c r="C8" s="328"/>
      <c r="D8" s="328"/>
      <c r="E8" s="328"/>
      <c r="F8" s="10" t="s">
        <v>25</v>
      </c>
      <c r="G8" s="10" t="s">
        <v>26</v>
      </c>
      <c r="H8" s="10" t="s">
        <v>27</v>
      </c>
      <c r="I8" s="10" t="s">
        <v>28</v>
      </c>
      <c r="J8" s="10" t="s">
        <v>29</v>
      </c>
      <c r="K8" s="10" t="s">
        <v>30</v>
      </c>
      <c r="L8" s="10" t="s">
        <v>31</v>
      </c>
      <c r="M8" s="10" t="s">
        <v>32</v>
      </c>
      <c r="N8" s="10" t="s">
        <v>33</v>
      </c>
      <c r="O8" s="10" t="s">
        <v>34</v>
      </c>
      <c r="P8" s="328" t="s">
        <v>35</v>
      </c>
      <c r="Q8" s="330" t="s">
        <v>10</v>
      </c>
    </row>
    <row r="9" spans="1:17" ht="15.75" thickBot="1" x14ac:dyDescent="0.3">
      <c r="A9" s="337"/>
      <c r="B9" s="329"/>
      <c r="C9" s="329"/>
      <c r="D9" s="329"/>
      <c r="E9" s="329"/>
      <c r="F9" s="11" t="s">
        <v>36</v>
      </c>
      <c r="G9" s="11" t="s">
        <v>37</v>
      </c>
      <c r="H9" s="11" t="s">
        <v>38</v>
      </c>
      <c r="I9" s="11" t="s">
        <v>39</v>
      </c>
      <c r="J9" s="11" t="s">
        <v>40</v>
      </c>
      <c r="K9" s="11" t="s">
        <v>41</v>
      </c>
      <c r="L9" s="11" t="s">
        <v>42</v>
      </c>
      <c r="M9" s="11" t="s">
        <v>43</v>
      </c>
      <c r="N9" s="11" t="s">
        <v>44</v>
      </c>
      <c r="O9" s="11" t="s">
        <v>45</v>
      </c>
      <c r="P9" s="329"/>
      <c r="Q9" s="331"/>
    </row>
    <row r="10" spans="1:17" x14ac:dyDescent="0.25">
      <c r="A10" s="12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13"/>
    </row>
    <row r="11" spans="1:17" x14ac:dyDescent="0.25">
      <c r="A11" s="1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15"/>
    </row>
    <row r="12" spans="1:17" x14ac:dyDescent="0.25">
      <c r="A12" s="1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15"/>
    </row>
    <row r="13" spans="1:17" x14ac:dyDescent="0.25">
      <c r="A13" s="1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15"/>
    </row>
    <row r="14" spans="1:17" x14ac:dyDescent="0.25">
      <c r="A14" s="1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15"/>
    </row>
    <row r="15" spans="1:17" x14ac:dyDescent="0.25">
      <c r="A15" s="1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15"/>
    </row>
    <row r="16" spans="1:17" x14ac:dyDescent="0.25">
      <c r="A16" s="1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15"/>
    </row>
    <row r="17" spans="1:17" x14ac:dyDescent="0.25">
      <c r="A17" s="1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15"/>
    </row>
    <row r="18" spans="1:17" x14ac:dyDescent="0.25">
      <c r="A18" s="1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15"/>
    </row>
    <row r="19" spans="1:17" x14ac:dyDescent="0.25">
      <c r="A19" s="1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15"/>
    </row>
    <row r="20" spans="1:17" x14ac:dyDescent="0.25">
      <c r="A20" s="1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15"/>
    </row>
    <row r="21" spans="1:17" x14ac:dyDescent="0.25">
      <c r="A21" s="1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15"/>
    </row>
    <row r="22" spans="1:17" x14ac:dyDescent="0.25">
      <c r="A22" s="1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15"/>
    </row>
    <row r="23" spans="1:17" x14ac:dyDescent="0.25">
      <c r="A23" s="1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15"/>
    </row>
    <row r="24" spans="1:17" x14ac:dyDescent="0.25">
      <c r="A24" s="1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15"/>
    </row>
    <row r="25" spans="1:17" x14ac:dyDescent="0.25">
      <c r="A25" s="1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15"/>
    </row>
    <row r="26" spans="1:17" x14ac:dyDescent="0.25">
      <c r="A26" s="1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15"/>
    </row>
    <row r="27" spans="1:17" ht="15.75" thickBot="1" x14ac:dyDescent="0.3">
      <c r="A27" s="8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6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</sheetData>
  <mergeCells count="16">
    <mergeCell ref="N7:O7"/>
    <mergeCell ref="P7:Q7"/>
    <mergeCell ref="P8:P9"/>
    <mergeCell ref="Q8:Q9"/>
    <mergeCell ref="A3:Q3"/>
    <mergeCell ref="A4:Q4"/>
    <mergeCell ref="A6:B6"/>
    <mergeCell ref="C6:C9"/>
    <mergeCell ref="D6:E6"/>
    <mergeCell ref="F6:G6"/>
    <mergeCell ref="H6:Q6"/>
    <mergeCell ref="A7:A9"/>
    <mergeCell ref="B7:B9"/>
    <mergeCell ref="D7:D9"/>
    <mergeCell ref="E7:E9"/>
    <mergeCell ref="F7:G7"/>
  </mergeCells>
  <pageMargins left="0.7" right="0.7" top="0.75" bottom="0.75" header="0.3" footer="0.3"/>
  <pageSetup paperSize="5" orientation="landscape" horizontalDpi="4294967293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M66"/>
  <sheetViews>
    <sheetView view="pageLayout" workbookViewId="0">
      <selection activeCell="F14" sqref="F14"/>
    </sheetView>
  </sheetViews>
  <sheetFormatPr defaultRowHeight="15" x14ac:dyDescent="0.25"/>
  <cols>
    <col min="1" max="1" width="4" style="3" customWidth="1"/>
    <col min="2" max="2" width="9.85546875" customWidth="1"/>
    <col min="3" max="3" width="3.28515625" customWidth="1"/>
    <col min="4" max="4" width="32.5703125" customWidth="1"/>
    <col min="5" max="5" width="7" customWidth="1"/>
    <col min="6" max="6" width="14" style="79" customWidth="1"/>
    <col min="7" max="7" width="14.85546875" style="73" customWidth="1"/>
    <col min="8" max="8" width="14.7109375" customWidth="1"/>
    <col min="9" max="9" width="11.140625" customWidth="1"/>
    <col min="10" max="10" width="10.5703125" customWidth="1"/>
    <col min="11" max="11" width="23.85546875" customWidth="1"/>
    <col min="12" max="12" width="18.140625" customWidth="1"/>
  </cols>
  <sheetData>
    <row r="1" spans="1:13" x14ac:dyDescent="0.25">
      <c r="A1" s="45" t="s">
        <v>0</v>
      </c>
      <c r="B1" s="45"/>
      <c r="C1" s="45"/>
      <c r="D1" s="9"/>
      <c r="E1" s="9"/>
      <c r="F1" s="74"/>
      <c r="G1" s="65"/>
      <c r="H1" s="9"/>
      <c r="I1" s="9"/>
      <c r="J1" s="9"/>
      <c r="K1" s="9"/>
      <c r="L1" s="9"/>
      <c r="M1" s="1"/>
    </row>
    <row r="2" spans="1:13" x14ac:dyDescent="0.25">
      <c r="A2" s="45" t="s">
        <v>1</v>
      </c>
      <c r="B2" s="45"/>
      <c r="C2" s="45"/>
      <c r="D2" s="9"/>
      <c r="E2" s="9"/>
      <c r="F2" s="74"/>
      <c r="G2" s="65"/>
      <c r="H2" s="9"/>
      <c r="I2" s="9"/>
      <c r="J2" s="9"/>
      <c r="K2" s="9"/>
      <c r="L2" s="9"/>
      <c r="M2" s="1"/>
    </row>
    <row r="3" spans="1:13" x14ac:dyDescent="0.25">
      <c r="A3" s="45" t="s">
        <v>11</v>
      </c>
      <c r="B3" s="45"/>
      <c r="C3" s="45"/>
      <c r="D3" s="9"/>
      <c r="E3" s="9"/>
      <c r="F3" s="74"/>
      <c r="G3" s="65"/>
      <c r="H3" s="9"/>
      <c r="I3" s="9"/>
      <c r="J3" s="9"/>
      <c r="K3" s="9"/>
      <c r="L3" s="9"/>
      <c r="M3" s="1"/>
    </row>
    <row r="4" spans="1:13" x14ac:dyDescent="0.25">
      <c r="A4" s="314" t="s">
        <v>3246</v>
      </c>
      <c r="B4" s="314"/>
      <c r="C4" s="314"/>
      <c r="D4" s="314"/>
      <c r="E4" s="314"/>
      <c r="F4" s="314"/>
      <c r="G4" s="314"/>
      <c r="H4" s="9"/>
      <c r="I4" s="9"/>
      <c r="J4" s="9"/>
      <c r="K4" s="9"/>
      <c r="L4" s="9"/>
      <c r="M4" s="1"/>
    </row>
    <row r="5" spans="1:13" x14ac:dyDescent="0.25">
      <c r="A5" s="314" t="s">
        <v>3248</v>
      </c>
      <c r="B5" s="314"/>
      <c r="C5" s="314"/>
      <c r="D5" s="314"/>
      <c r="E5" s="314"/>
      <c r="F5" s="314"/>
      <c r="G5" s="314"/>
      <c r="H5" s="9"/>
      <c r="I5" s="9"/>
      <c r="J5" s="9"/>
      <c r="K5" s="9"/>
      <c r="L5" s="9"/>
      <c r="M5" s="1"/>
    </row>
    <row r="6" spans="1:13" ht="15.75" thickBot="1" x14ac:dyDescent="0.3">
      <c r="A6" s="19"/>
      <c r="B6" s="1"/>
      <c r="C6" s="1"/>
      <c r="D6" s="1"/>
      <c r="E6" s="1"/>
      <c r="F6" s="75"/>
      <c r="G6" s="66"/>
      <c r="H6" s="1"/>
      <c r="I6" s="1"/>
      <c r="J6" s="1"/>
      <c r="K6" s="1"/>
      <c r="L6" s="1"/>
      <c r="M6" s="1"/>
    </row>
    <row r="7" spans="1:13" ht="27.75" customHeight="1" x14ac:dyDescent="0.25">
      <c r="A7" s="32" t="s">
        <v>46</v>
      </c>
      <c r="B7" s="48" t="s">
        <v>3</v>
      </c>
      <c r="C7" s="272" t="s">
        <v>4</v>
      </c>
      <c r="D7" s="272"/>
      <c r="E7" s="33" t="s">
        <v>47</v>
      </c>
      <c r="F7" s="76" t="s">
        <v>48</v>
      </c>
      <c r="G7" s="67" t="s">
        <v>49</v>
      </c>
      <c r="H7" s="9"/>
      <c r="I7" s="9"/>
      <c r="J7" s="9"/>
      <c r="K7" s="9"/>
      <c r="L7" s="9"/>
      <c r="M7" s="1"/>
    </row>
    <row r="8" spans="1:13" ht="15" customHeight="1" x14ac:dyDescent="0.25">
      <c r="A8" s="41"/>
      <c r="B8" s="56"/>
      <c r="C8" s="81"/>
      <c r="D8" s="150"/>
      <c r="E8" s="10"/>
      <c r="F8" s="77"/>
      <c r="G8" s="68"/>
      <c r="H8" s="9"/>
      <c r="I8" s="9"/>
      <c r="J8" s="9"/>
      <c r="K8" s="9"/>
      <c r="L8" s="9"/>
      <c r="M8" s="1"/>
    </row>
    <row r="9" spans="1:13" ht="15" customHeight="1" x14ac:dyDescent="0.25">
      <c r="A9" s="41"/>
      <c r="B9" s="164" t="s">
        <v>3254</v>
      </c>
      <c r="C9" s="46" t="s">
        <v>3255</v>
      </c>
      <c r="D9" s="50"/>
      <c r="E9" s="24"/>
      <c r="F9" s="72"/>
      <c r="G9" s="70"/>
      <c r="H9" s="9"/>
      <c r="I9" s="9"/>
      <c r="J9" s="9"/>
      <c r="K9" s="9"/>
      <c r="L9" s="9"/>
      <c r="M9" s="1"/>
    </row>
    <row r="10" spans="1:13" ht="15" customHeight="1" x14ac:dyDescent="0.25">
      <c r="A10" s="41"/>
      <c r="B10" s="164" t="s">
        <v>3253</v>
      </c>
      <c r="C10" s="166"/>
      <c r="D10" s="165" t="s">
        <v>3249</v>
      </c>
      <c r="E10" s="24"/>
      <c r="F10" s="72"/>
      <c r="G10" s="69"/>
      <c r="H10" s="9"/>
      <c r="I10" s="9"/>
      <c r="J10" s="9"/>
      <c r="K10" s="9"/>
      <c r="L10" s="9"/>
      <c r="M10" s="1"/>
    </row>
    <row r="11" spans="1:13" ht="15" customHeight="1" x14ac:dyDescent="0.25">
      <c r="A11" s="41"/>
      <c r="B11" s="64"/>
      <c r="C11" s="162"/>
      <c r="D11" s="21"/>
      <c r="E11" s="24"/>
      <c r="F11" s="72"/>
      <c r="G11" s="69"/>
      <c r="H11" s="9"/>
      <c r="I11" s="9"/>
      <c r="J11" s="9"/>
      <c r="K11" s="9"/>
      <c r="L11" s="9"/>
      <c r="M11" s="1"/>
    </row>
    <row r="12" spans="1:13" ht="15" customHeight="1" x14ac:dyDescent="0.25">
      <c r="A12" s="41"/>
      <c r="B12" s="58"/>
      <c r="C12" s="59"/>
      <c r="D12" s="57"/>
      <c r="E12" s="10"/>
      <c r="F12" s="78"/>
      <c r="G12" s="68"/>
      <c r="H12" s="9"/>
      <c r="I12" s="9"/>
      <c r="J12" s="9"/>
      <c r="K12" s="9"/>
      <c r="L12" s="9"/>
      <c r="M12" s="1"/>
    </row>
    <row r="13" spans="1:13" x14ac:dyDescent="0.25">
      <c r="A13" s="29"/>
      <c r="B13" s="60"/>
      <c r="C13" s="36"/>
      <c r="D13" s="39"/>
      <c r="E13" s="27"/>
      <c r="F13" s="72"/>
      <c r="G13" s="71"/>
      <c r="J13" s="20"/>
    </row>
    <row r="14" spans="1:13" x14ac:dyDescent="0.25">
      <c r="A14" s="29"/>
      <c r="B14" s="10"/>
      <c r="C14" s="36"/>
      <c r="D14" s="39"/>
      <c r="E14" s="27"/>
      <c r="F14" s="72"/>
      <c r="G14" s="71"/>
      <c r="J14" s="20"/>
    </row>
    <row r="15" spans="1:13" x14ac:dyDescent="0.25">
      <c r="A15" s="29"/>
      <c r="B15" s="10"/>
      <c r="C15" s="36"/>
      <c r="D15" s="39"/>
      <c r="E15" s="27"/>
      <c r="F15" s="72"/>
      <c r="G15" s="71"/>
      <c r="H15" s="21"/>
      <c r="I15" s="20"/>
      <c r="J15" s="20"/>
      <c r="K15" s="20"/>
      <c r="L15" s="20"/>
      <c r="M15" s="1"/>
    </row>
    <row r="16" spans="1:13" x14ac:dyDescent="0.25">
      <c r="A16" s="29"/>
      <c r="B16" s="10"/>
      <c r="C16" s="36"/>
      <c r="D16" s="39"/>
      <c r="E16" s="27"/>
      <c r="F16" s="72"/>
      <c r="G16" s="71"/>
      <c r="H16" s="21"/>
      <c r="I16" s="20"/>
      <c r="J16" s="20"/>
      <c r="K16" s="20"/>
      <c r="L16" s="20"/>
      <c r="M16" s="1"/>
    </row>
    <row r="17" spans="1:13" x14ac:dyDescent="0.25">
      <c r="A17" s="29"/>
      <c r="B17" s="60"/>
      <c r="C17" s="36"/>
      <c r="D17" s="39"/>
      <c r="E17" s="27"/>
      <c r="F17" s="72"/>
      <c r="G17" s="71"/>
      <c r="H17" s="21"/>
      <c r="I17" s="20"/>
      <c r="J17" s="20"/>
      <c r="K17" s="20"/>
      <c r="L17" s="20"/>
      <c r="M17" s="1"/>
    </row>
    <row r="18" spans="1:13" x14ac:dyDescent="0.25">
      <c r="A18" s="29"/>
      <c r="B18" s="10"/>
      <c r="C18" s="36"/>
      <c r="D18" s="39"/>
      <c r="E18" s="27"/>
      <c r="F18" s="72"/>
      <c r="G18" s="71"/>
      <c r="H18" s="21"/>
      <c r="I18" s="20"/>
      <c r="J18" s="20"/>
      <c r="K18" s="20"/>
      <c r="L18" s="20"/>
      <c r="M18" s="1"/>
    </row>
    <row r="19" spans="1:13" x14ac:dyDescent="0.25">
      <c r="A19" s="29"/>
      <c r="B19" s="10"/>
      <c r="C19" s="36"/>
      <c r="D19" s="39"/>
      <c r="E19" s="27"/>
      <c r="F19" s="72"/>
      <c r="G19" s="71"/>
      <c r="H19" s="21"/>
      <c r="I19" s="20"/>
      <c r="J19" s="20"/>
      <c r="K19" s="20"/>
      <c r="L19" s="20"/>
      <c r="M19" s="1"/>
    </row>
    <row r="20" spans="1:13" x14ac:dyDescent="0.25">
      <c r="A20" s="89"/>
      <c r="B20" s="10"/>
      <c r="C20" s="17"/>
      <c r="D20" s="39"/>
      <c r="E20" s="20"/>
      <c r="F20" s="72"/>
      <c r="G20" s="90"/>
      <c r="H20" s="21"/>
      <c r="I20" s="20"/>
      <c r="J20" s="20"/>
      <c r="K20" s="20"/>
      <c r="L20" s="20"/>
      <c r="M20" s="1"/>
    </row>
    <row r="21" spans="1:13" ht="20.25" customHeight="1" thickBot="1" x14ac:dyDescent="0.3">
      <c r="A21" s="273" t="s">
        <v>10</v>
      </c>
      <c r="B21" s="273"/>
      <c r="C21" s="273"/>
      <c r="D21" s="273"/>
      <c r="E21" s="273"/>
      <c r="F21" s="91">
        <f>SUM(F8:F19)</f>
        <v>0</v>
      </c>
      <c r="G21" s="92">
        <f>SUM(G8:G19)</f>
        <v>0</v>
      </c>
      <c r="H21" s="44"/>
      <c r="I21" s="1"/>
      <c r="J21" s="1"/>
      <c r="K21" s="1"/>
      <c r="L21" s="1"/>
      <c r="M21" s="1"/>
    </row>
    <row r="22" spans="1:13" ht="15" customHeight="1" x14ac:dyDescent="0.25">
      <c r="A22" s="82"/>
      <c r="B22" s="82"/>
      <c r="C22" s="82"/>
      <c r="D22" s="82"/>
      <c r="E22" s="82"/>
      <c r="F22" s="83"/>
      <c r="G22" s="83"/>
      <c r="H22" s="44"/>
      <c r="I22" s="1"/>
      <c r="J22" s="1"/>
      <c r="K22" s="1"/>
      <c r="L22" s="1"/>
      <c r="M22" s="1"/>
    </row>
    <row r="23" spans="1:13" ht="15" customHeight="1" x14ac:dyDescent="0.25">
      <c r="A23" s="82"/>
      <c r="B23" s="82"/>
      <c r="C23" s="82"/>
      <c r="D23" s="82"/>
      <c r="E23" s="82"/>
      <c r="F23" s="83"/>
      <c r="G23" s="83"/>
      <c r="H23" s="44"/>
      <c r="I23" s="1"/>
      <c r="J23" s="1"/>
      <c r="K23" s="1"/>
      <c r="L23" s="1"/>
      <c r="M23" s="1"/>
    </row>
    <row r="24" spans="1:13" ht="15" customHeight="1" x14ac:dyDescent="0.25">
      <c r="A24" s="82"/>
      <c r="B24" s="82"/>
      <c r="C24" s="82"/>
      <c r="D24" s="82"/>
      <c r="E24" s="82"/>
      <c r="F24" s="83"/>
      <c r="G24" s="83"/>
      <c r="H24" s="44"/>
      <c r="I24" s="1"/>
      <c r="J24" s="1"/>
      <c r="K24" s="1"/>
      <c r="L24" s="1"/>
      <c r="M24" s="1"/>
    </row>
    <row r="25" spans="1:13" ht="15" customHeight="1" x14ac:dyDescent="0.25">
      <c r="A25" s="82"/>
      <c r="B25" s="82"/>
      <c r="C25" s="82"/>
      <c r="D25" s="82"/>
      <c r="E25" s="82"/>
      <c r="F25" s="83"/>
      <c r="G25" s="83"/>
      <c r="H25" s="44"/>
      <c r="I25" s="1"/>
      <c r="J25" s="1"/>
      <c r="K25" s="1"/>
      <c r="L25" s="1"/>
      <c r="M25" s="1"/>
    </row>
    <row r="26" spans="1:13" ht="15" customHeight="1" x14ac:dyDescent="0.25">
      <c r="A26" s="82"/>
      <c r="B26" s="82"/>
      <c r="C26" s="82"/>
      <c r="D26" s="82"/>
      <c r="E26" s="82"/>
      <c r="F26" s="83"/>
      <c r="G26" s="83"/>
      <c r="H26" s="44"/>
      <c r="I26" s="1"/>
      <c r="J26" s="1"/>
      <c r="K26" s="1"/>
      <c r="L26" s="1"/>
      <c r="M26" s="1"/>
    </row>
    <row r="27" spans="1:13" ht="15" customHeight="1" x14ac:dyDescent="0.25">
      <c r="A27" s="82"/>
      <c r="B27" s="82"/>
      <c r="C27" s="82"/>
      <c r="D27" s="82"/>
      <c r="E27" s="82"/>
      <c r="F27" s="83"/>
      <c r="G27" s="83"/>
      <c r="H27" s="44"/>
      <c r="I27" s="1"/>
      <c r="J27" s="1"/>
      <c r="K27" s="1"/>
      <c r="L27" s="1"/>
      <c r="M27" s="1"/>
    </row>
    <row r="28" spans="1:13" ht="15" customHeight="1" x14ac:dyDescent="0.25">
      <c r="A28" s="82"/>
      <c r="B28" s="82"/>
      <c r="C28" s="82"/>
      <c r="D28" s="82"/>
      <c r="E28" s="82"/>
      <c r="F28" s="83"/>
      <c r="G28" s="83"/>
      <c r="H28" s="44"/>
      <c r="I28" s="1"/>
      <c r="J28" s="1"/>
      <c r="K28" s="1"/>
      <c r="L28" s="1"/>
      <c r="M28" s="1"/>
    </row>
    <row r="29" spans="1:13" ht="15" customHeight="1" x14ac:dyDescent="0.25">
      <c r="A29" s="82"/>
      <c r="B29" s="82"/>
      <c r="C29" s="82"/>
      <c r="D29" s="82"/>
      <c r="E29" s="82"/>
      <c r="F29" s="83"/>
      <c r="G29" s="83"/>
      <c r="H29" s="44"/>
      <c r="I29" s="1"/>
      <c r="J29" s="1"/>
      <c r="K29" s="1"/>
      <c r="L29" s="1"/>
      <c r="M29" s="1"/>
    </row>
    <row r="30" spans="1:13" ht="15" customHeight="1" x14ac:dyDescent="0.25">
      <c r="A30" s="82"/>
      <c r="B30" s="82"/>
      <c r="C30" s="82"/>
      <c r="D30" s="82"/>
      <c r="E30" s="82"/>
      <c r="F30" s="83"/>
      <c r="G30" s="83"/>
      <c r="H30" s="44"/>
      <c r="I30" s="1"/>
      <c r="J30" s="1"/>
      <c r="K30" s="1"/>
      <c r="L30" s="1"/>
      <c r="M30" s="1"/>
    </row>
    <row r="31" spans="1:13" ht="15" customHeight="1" x14ac:dyDescent="0.25">
      <c r="A31" s="82"/>
      <c r="B31" s="82"/>
      <c r="C31" s="82"/>
      <c r="D31" s="82"/>
      <c r="E31" s="82"/>
      <c r="F31" s="83"/>
      <c r="G31" s="83"/>
      <c r="H31" s="44"/>
      <c r="I31" s="1"/>
      <c r="J31" s="1"/>
      <c r="K31" s="1"/>
      <c r="L31" s="1"/>
      <c r="M31" s="1"/>
    </row>
    <row r="32" spans="1:13" ht="15" customHeight="1" x14ac:dyDescent="0.25">
      <c r="A32" s="82"/>
      <c r="B32" s="82"/>
      <c r="C32" s="82"/>
      <c r="D32" s="82"/>
      <c r="E32" s="82"/>
      <c r="F32" s="83"/>
      <c r="G32" s="83"/>
      <c r="H32" s="44"/>
      <c r="I32" s="1"/>
      <c r="J32" s="1"/>
      <c r="K32" s="1"/>
      <c r="L32" s="1"/>
      <c r="M32" s="1"/>
    </row>
    <row r="33" spans="1:13" ht="15" customHeight="1" x14ac:dyDescent="0.25">
      <c r="A33" s="82"/>
      <c r="B33" s="82"/>
      <c r="C33" s="82"/>
      <c r="D33" s="82"/>
      <c r="E33" s="82"/>
      <c r="F33" s="83"/>
      <c r="G33" s="83"/>
      <c r="H33" s="44"/>
      <c r="I33" s="1"/>
      <c r="J33" s="1"/>
      <c r="K33" s="1"/>
      <c r="L33" s="1"/>
      <c r="M33" s="1"/>
    </row>
    <row r="34" spans="1:13" ht="15" customHeight="1" x14ac:dyDescent="0.25">
      <c r="A34" s="82"/>
      <c r="B34" s="82"/>
      <c r="C34" s="82"/>
      <c r="D34" s="82"/>
      <c r="E34" s="82"/>
      <c r="F34" s="83"/>
      <c r="G34" s="83"/>
      <c r="H34" s="44"/>
      <c r="I34" s="1"/>
      <c r="J34" s="1"/>
      <c r="K34" s="1"/>
      <c r="L34" s="1"/>
      <c r="M34" s="1"/>
    </row>
    <row r="35" spans="1:13" ht="15" customHeight="1" x14ac:dyDescent="0.25">
      <c r="A35" s="82"/>
      <c r="B35" s="82"/>
      <c r="C35" s="82"/>
      <c r="D35" s="82"/>
      <c r="E35" s="82"/>
      <c r="F35" s="83"/>
      <c r="G35" s="83"/>
      <c r="H35" s="44"/>
      <c r="I35" s="1"/>
      <c r="J35" s="1"/>
      <c r="K35" s="1"/>
      <c r="L35" s="1"/>
      <c r="M35" s="1"/>
    </row>
    <row r="36" spans="1:13" ht="15" customHeight="1" x14ac:dyDescent="0.25">
      <c r="A36" s="82"/>
      <c r="B36" s="82"/>
      <c r="C36" s="82"/>
      <c r="D36" s="82"/>
      <c r="E36" s="82"/>
      <c r="F36" s="83"/>
      <c r="G36" s="83"/>
      <c r="H36" s="44"/>
      <c r="I36" s="1"/>
      <c r="J36" s="1"/>
      <c r="K36" s="1"/>
      <c r="L36" s="1"/>
      <c r="M36" s="1"/>
    </row>
    <row r="37" spans="1:13" ht="15" customHeight="1" x14ac:dyDescent="0.25">
      <c r="A37" s="82"/>
      <c r="B37" s="82"/>
      <c r="C37" s="82"/>
      <c r="D37" s="82"/>
      <c r="E37" s="82"/>
      <c r="F37" s="83"/>
      <c r="G37" s="83"/>
      <c r="H37" s="44"/>
      <c r="I37" s="1"/>
      <c r="J37" s="1"/>
      <c r="K37" s="1"/>
      <c r="L37" s="1"/>
      <c r="M37" s="1"/>
    </row>
    <row r="38" spans="1:13" ht="15" customHeight="1" x14ac:dyDescent="0.25">
      <c r="A38" s="82"/>
      <c r="B38" s="82"/>
      <c r="C38" s="82"/>
      <c r="D38" s="82"/>
      <c r="E38" s="82"/>
      <c r="F38" s="83"/>
      <c r="G38" s="83"/>
      <c r="H38" s="44"/>
      <c r="I38" s="1"/>
      <c r="J38" s="1"/>
      <c r="K38" s="1"/>
      <c r="L38" s="1"/>
      <c r="M38" s="1"/>
    </row>
    <row r="39" spans="1:13" ht="15" customHeight="1" x14ac:dyDescent="0.25">
      <c r="A39" s="82"/>
      <c r="B39" s="82"/>
      <c r="C39" s="82"/>
      <c r="D39" s="82"/>
      <c r="E39" s="82"/>
      <c r="F39" s="83"/>
      <c r="G39" s="83"/>
      <c r="H39" s="44"/>
      <c r="I39" s="1"/>
      <c r="J39" s="1"/>
      <c r="K39" s="1"/>
      <c r="L39" s="1"/>
      <c r="M39" s="1"/>
    </row>
    <row r="40" spans="1:13" ht="15" customHeight="1" x14ac:dyDescent="0.25">
      <c r="A40" s="82"/>
      <c r="B40" s="82"/>
      <c r="C40" s="82"/>
      <c r="D40" s="82"/>
      <c r="E40" s="82"/>
      <c r="F40" s="83"/>
      <c r="G40" s="83"/>
      <c r="H40" s="44"/>
      <c r="I40" s="1"/>
      <c r="J40" s="1"/>
      <c r="K40" s="1"/>
      <c r="L40" s="1"/>
      <c r="M40" s="1"/>
    </row>
    <row r="41" spans="1:13" ht="15" customHeight="1" x14ac:dyDescent="0.25">
      <c r="A41" s="82"/>
      <c r="B41" s="82"/>
      <c r="C41" s="82"/>
      <c r="D41" s="82"/>
      <c r="E41" s="82"/>
      <c r="F41" s="83"/>
      <c r="G41" s="83"/>
      <c r="H41" s="44"/>
      <c r="I41" s="1"/>
      <c r="J41" s="1"/>
      <c r="K41" s="1"/>
      <c r="L41" s="1"/>
      <c r="M41" s="1"/>
    </row>
    <row r="42" spans="1:13" ht="15" customHeight="1" x14ac:dyDescent="0.25">
      <c r="A42" s="82"/>
      <c r="B42" s="82"/>
      <c r="C42" s="82"/>
      <c r="D42" s="82"/>
      <c r="E42" s="82"/>
      <c r="F42" s="83"/>
      <c r="G42" s="83"/>
      <c r="H42" s="44"/>
      <c r="I42" s="1"/>
      <c r="J42" s="1"/>
      <c r="K42" s="1"/>
      <c r="L42" s="1"/>
      <c r="M42" s="1"/>
    </row>
    <row r="43" spans="1:13" ht="15" customHeight="1" x14ac:dyDescent="0.25">
      <c r="A43" s="82"/>
      <c r="B43" s="82"/>
      <c r="C43" s="82"/>
      <c r="D43" s="82"/>
      <c r="E43" s="82"/>
      <c r="F43" s="83"/>
      <c r="G43" s="83"/>
      <c r="H43" s="44"/>
      <c r="I43" s="1"/>
      <c r="J43" s="1"/>
      <c r="K43" s="1"/>
      <c r="L43" s="1"/>
      <c r="M43" s="1"/>
    </row>
    <row r="44" spans="1:13" ht="15" customHeight="1" x14ac:dyDescent="0.25">
      <c r="A44" s="82"/>
      <c r="B44" s="82"/>
      <c r="C44" s="82"/>
      <c r="D44" s="82"/>
      <c r="E44" s="82"/>
      <c r="F44" s="83"/>
      <c r="G44" s="83"/>
      <c r="H44" s="44"/>
      <c r="I44" s="1"/>
      <c r="J44" s="1"/>
      <c r="K44" s="1"/>
      <c r="L44" s="1"/>
      <c r="M44" s="1"/>
    </row>
    <row r="45" spans="1:13" ht="15" customHeight="1" x14ac:dyDescent="0.25">
      <c r="A45" s="82"/>
      <c r="B45" s="82"/>
      <c r="C45" s="82"/>
      <c r="D45" s="82"/>
      <c r="E45" s="82"/>
      <c r="F45" s="83"/>
      <c r="G45" s="83"/>
      <c r="H45" s="44"/>
      <c r="I45" s="1"/>
      <c r="J45" s="1"/>
      <c r="K45" s="1"/>
      <c r="L45" s="1"/>
      <c r="M45" s="1"/>
    </row>
    <row r="46" spans="1:13" ht="15" customHeight="1" x14ac:dyDescent="0.25">
      <c r="A46" s="82"/>
      <c r="B46" s="82"/>
      <c r="C46" s="82"/>
      <c r="D46" s="82"/>
      <c r="E46" s="82"/>
      <c r="F46" s="83"/>
      <c r="G46" s="83"/>
      <c r="H46" s="44"/>
      <c r="I46" s="1"/>
      <c r="J46" s="1"/>
      <c r="K46" s="1"/>
      <c r="L46" s="1"/>
      <c r="M46" s="1"/>
    </row>
    <row r="47" spans="1:13" ht="15" customHeight="1" x14ac:dyDescent="0.25">
      <c r="A47" s="82"/>
      <c r="B47" s="82"/>
      <c r="C47" s="82"/>
      <c r="D47" s="82"/>
      <c r="E47" s="82"/>
      <c r="F47" s="83"/>
      <c r="G47" s="83"/>
      <c r="H47" s="44"/>
      <c r="I47" s="1"/>
      <c r="J47" s="1"/>
      <c r="K47" s="1"/>
      <c r="L47" s="1"/>
      <c r="M47" s="1"/>
    </row>
    <row r="48" spans="1:13" ht="15" customHeight="1" x14ac:dyDescent="0.25">
      <c r="A48" s="82"/>
      <c r="B48" s="82"/>
      <c r="C48" s="82"/>
      <c r="D48" s="82"/>
      <c r="E48" s="82"/>
      <c r="F48" s="83"/>
      <c r="G48" s="83"/>
      <c r="H48" s="44"/>
      <c r="I48" s="1"/>
      <c r="J48" s="1"/>
      <c r="K48" s="1"/>
      <c r="L48" s="1"/>
      <c r="M48" s="1"/>
    </row>
    <row r="49" spans="1:13" ht="15" customHeight="1" x14ac:dyDescent="0.25">
      <c r="A49" s="82"/>
      <c r="B49" s="82"/>
      <c r="C49" s="82"/>
      <c r="D49" s="82"/>
      <c r="E49" s="82"/>
      <c r="F49" s="83"/>
      <c r="G49" s="83"/>
      <c r="H49" s="44"/>
      <c r="I49" s="1"/>
      <c r="J49" s="1"/>
      <c r="K49" s="1"/>
      <c r="L49" s="1"/>
      <c r="M49" s="1"/>
    </row>
    <row r="50" spans="1:13" ht="15" customHeight="1" x14ac:dyDescent="0.25">
      <c r="A50" s="82"/>
      <c r="B50" s="82"/>
      <c r="C50" s="82"/>
      <c r="D50" s="82"/>
      <c r="E50" s="82"/>
      <c r="F50" s="83"/>
      <c r="G50" s="83"/>
      <c r="H50" s="44"/>
      <c r="I50" s="1"/>
      <c r="J50" s="1"/>
      <c r="K50" s="1"/>
      <c r="L50" s="1"/>
      <c r="M50" s="1"/>
    </row>
    <row r="51" spans="1:13" ht="15" customHeight="1" x14ac:dyDescent="0.25">
      <c r="A51" s="82"/>
      <c r="B51" s="82"/>
      <c r="C51" s="82"/>
      <c r="D51" s="82"/>
      <c r="E51" s="82"/>
      <c r="F51" s="83"/>
      <c r="G51" s="83"/>
      <c r="H51" s="44"/>
      <c r="I51" s="1"/>
      <c r="J51" s="1"/>
      <c r="K51" s="1"/>
      <c r="L51" s="1"/>
      <c r="M51" s="1"/>
    </row>
    <row r="52" spans="1:13" ht="15" customHeight="1" x14ac:dyDescent="0.25">
      <c r="A52" s="82"/>
      <c r="B52" s="82"/>
      <c r="C52" s="82"/>
      <c r="D52" s="82"/>
      <c r="E52" s="82"/>
      <c r="F52" s="83"/>
      <c r="G52" s="83"/>
      <c r="H52" s="44"/>
      <c r="I52" s="1"/>
      <c r="J52" s="1"/>
      <c r="K52" s="1"/>
      <c r="L52" s="1"/>
      <c r="M52" s="1"/>
    </row>
    <row r="53" spans="1:13" ht="15" customHeight="1" x14ac:dyDescent="0.25">
      <c r="A53" s="82"/>
      <c r="B53" s="82"/>
      <c r="C53" s="82"/>
      <c r="D53" s="82"/>
      <c r="E53" s="82"/>
      <c r="F53" s="83"/>
      <c r="G53" s="83"/>
      <c r="H53" s="44"/>
      <c r="I53" s="1"/>
      <c r="J53" s="1"/>
      <c r="K53" s="1"/>
      <c r="L53" s="1"/>
      <c r="M53" s="1"/>
    </row>
    <row r="54" spans="1:13" ht="15" customHeight="1" x14ac:dyDescent="0.25">
      <c r="A54" s="82"/>
      <c r="B54" s="82"/>
      <c r="C54" s="82"/>
      <c r="D54" s="82"/>
      <c r="E54" s="82"/>
      <c r="F54" s="83"/>
      <c r="G54" s="83"/>
      <c r="H54" s="44"/>
      <c r="I54" s="1"/>
      <c r="J54" s="1"/>
      <c r="K54" s="1"/>
      <c r="L54" s="1"/>
      <c r="M54" s="1"/>
    </row>
    <row r="55" spans="1:13" ht="15" customHeight="1" x14ac:dyDescent="0.25">
      <c r="A55" s="82"/>
      <c r="B55" s="82"/>
      <c r="C55" s="82"/>
      <c r="D55" s="82"/>
      <c r="E55" s="82"/>
      <c r="F55" s="83"/>
      <c r="G55" s="83"/>
      <c r="H55" s="44"/>
      <c r="I55" s="1"/>
      <c r="J55" s="1"/>
      <c r="K55" s="1"/>
      <c r="L55" s="1"/>
      <c r="M55" s="1"/>
    </row>
    <row r="56" spans="1:13" ht="15" customHeight="1" x14ac:dyDescent="0.25">
      <c r="A56" s="82"/>
      <c r="B56" s="82"/>
      <c r="C56" s="82"/>
      <c r="D56" s="82"/>
      <c r="E56" s="82"/>
      <c r="F56" s="83"/>
      <c r="G56" s="83"/>
      <c r="H56" s="44"/>
      <c r="I56" s="1"/>
      <c r="J56" s="1"/>
      <c r="K56" s="1"/>
      <c r="L56" s="1"/>
      <c r="M56" s="1"/>
    </row>
    <row r="57" spans="1:13" ht="15" customHeight="1" x14ac:dyDescent="0.25">
      <c r="A57" s="82"/>
      <c r="B57" s="82"/>
      <c r="C57" s="82"/>
      <c r="D57" s="82"/>
      <c r="E57" s="82"/>
      <c r="F57" s="83"/>
      <c r="G57" s="83"/>
      <c r="H57" s="44"/>
      <c r="I57" s="1"/>
      <c r="J57" s="1"/>
      <c r="K57" s="1"/>
      <c r="L57" s="1"/>
      <c r="M57" s="1"/>
    </row>
    <row r="58" spans="1:13" ht="15" customHeight="1" x14ac:dyDescent="0.25">
      <c r="A58" s="82"/>
      <c r="B58" s="82"/>
      <c r="C58" s="82"/>
      <c r="D58" s="82"/>
      <c r="E58" s="82"/>
      <c r="F58" s="83"/>
      <c r="G58" s="83"/>
      <c r="H58" s="44"/>
      <c r="I58" s="1"/>
      <c r="J58" s="1"/>
      <c r="K58" s="1"/>
      <c r="L58" s="1"/>
      <c r="M58" s="1"/>
    </row>
    <row r="59" spans="1:13" ht="15" customHeight="1" x14ac:dyDescent="0.25">
      <c r="A59" s="82"/>
      <c r="B59" s="82"/>
      <c r="C59" s="82"/>
      <c r="D59" s="82"/>
      <c r="E59" s="82"/>
      <c r="F59" s="83"/>
      <c r="G59" s="83"/>
      <c r="H59" s="44"/>
      <c r="I59" s="1"/>
      <c r="J59" s="1"/>
      <c r="K59" s="1"/>
      <c r="L59" s="1"/>
      <c r="M59" s="1"/>
    </row>
    <row r="60" spans="1:13" ht="15" customHeight="1" x14ac:dyDescent="0.25">
      <c r="A60" s="82"/>
      <c r="B60" s="82"/>
      <c r="C60" s="82"/>
      <c r="D60" s="82"/>
      <c r="E60" s="82"/>
      <c r="F60" s="83"/>
      <c r="G60" s="83"/>
      <c r="H60" s="44"/>
      <c r="I60" s="1"/>
      <c r="J60" s="1"/>
      <c r="K60" s="1"/>
      <c r="L60" s="1"/>
      <c r="M60" s="1"/>
    </row>
    <row r="61" spans="1:13" ht="15" customHeight="1" x14ac:dyDescent="0.25">
      <c r="A61" s="82"/>
      <c r="B61" s="82"/>
      <c r="C61" s="82"/>
      <c r="D61" s="82"/>
      <c r="E61" s="82"/>
      <c r="F61" s="83"/>
      <c r="G61" s="83"/>
      <c r="H61" s="44"/>
      <c r="I61" s="1"/>
      <c r="J61" s="1"/>
      <c r="K61" s="1"/>
      <c r="L61" s="1"/>
      <c r="M61" s="1"/>
    </row>
    <row r="62" spans="1:13" ht="15" customHeight="1" x14ac:dyDescent="0.25">
      <c r="A62" s="82"/>
      <c r="B62" s="82"/>
      <c r="C62" s="82"/>
      <c r="D62" s="82"/>
      <c r="E62" s="82"/>
      <c r="F62" s="83"/>
      <c r="G62" s="83"/>
      <c r="H62" s="44"/>
      <c r="I62" s="1"/>
      <c r="J62" s="1"/>
      <c r="K62" s="1"/>
      <c r="L62" s="1"/>
      <c r="M62" s="1"/>
    </row>
    <row r="63" spans="1:13" ht="15" customHeight="1" x14ac:dyDescent="0.25">
      <c r="A63" s="82"/>
      <c r="B63" s="82"/>
      <c r="C63" s="82"/>
      <c r="D63" s="82"/>
      <c r="E63" s="82"/>
      <c r="F63" s="83"/>
      <c r="G63" s="83"/>
      <c r="H63" s="44"/>
      <c r="I63" s="1"/>
      <c r="J63" s="1"/>
      <c r="K63" s="1"/>
      <c r="L63" s="1"/>
      <c r="M63" s="1"/>
    </row>
    <row r="64" spans="1:13" ht="15" customHeight="1" x14ac:dyDescent="0.25">
      <c r="A64" s="82"/>
      <c r="B64" s="82"/>
      <c r="C64" s="82"/>
      <c r="D64" s="82"/>
      <c r="E64" s="82"/>
      <c r="F64" s="83"/>
      <c r="G64" s="83"/>
      <c r="H64" s="44"/>
      <c r="I64" s="1"/>
      <c r="J64" s="1"/>
      <c r="K64" s="1"/>
      <c r="L64" s="1"/>
      <c r="M64" s="1"/>
    </row>
    <row r="65" spans="1:13" ht="15" customHeight="1" x14ac:dyDescent="0.25">
      <c r="A65" s="82"/>
      <c r="B65" s="82"/>
      <c r="C65" s="82"/>
      <c r="D65" s="82"/>
      <c r="E65" s="82"/>
      <c r="F65" s="83"/>
      <c r="G65" s="83"/>
      <c r="H65" s="44"/>
      <c r="I65" s="1"/>
      <c r="J65" s="1"/>
      <c r="K65" s="1"/>
      <c r="L65" s="1"/>
      <c r="M65" s="1"/>
    </row>
    <row r="66" spans="1:13" ht="15" customHeight="1" x14ac:dyDescent="0.25">
      <c r="A66" s="82"/>
      <c r="B66" s="82"/>
      <c r="C66" s="82"/>
      <c r="D66" s="82"/>
      <c r="E66" s="82"/>
      <c r="F66" s="83"/>
      <c r="G66" s="83"/>
      <c r="H66" s="44"/>
      <c r="I66" s="1"/>
      <c r="J66" s="1"/>
      <c r="K66" s="1"/>
      <c r="L66" s="1"/>
      <c r="M66" s="1"/>
    </row>
  </sheetData>
  <mergeCells count="4">
    <mergeCell ref="A4:G4"/>
    <mergeCell ref="A5:G5"/>
    <mergeCell ref="C7:D7"/>
    <mergeCell ref="A21:E21"/>
  </mergeCells>
  <pageMargins left="0.70866141732283472" right="0.70866141732283472" top="0.74803149606299213" bottom="0.74803149606299213" header="0.31496062992125984" footer="0.31496062992125984"/>
  <pageSetup paperSize="9" orientation="portrait" horizontalDpi="4294967293" vertic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"/>
  <sheetViews>
    <sheetView view="pageLayout" zoomScale="109" zoomScaleNormal="85" zoomScalePageLayoutView="109" workbookViewId="0">
      <selection activeCell="E14" sqref="E14"/>
    </sheetView>
  </sheetViews>
  <sheetFormatPr defaultColWidth="9.140625" defaultRowHeight="10.5" customHeight="1" x14ac:dyDescent="0.2"/>
  <cols>
    <col min="1" max="1" width="6.42578125" style="1" customWidth="1"/>
    <col min="2" max="2" width="14.140625" style="1" customWidth="1"/>
    <col min="3" max="3" width="29" style="1" customWidth="1"/>
    <col min="4" max="4" width="6.42578125" style="1" customWidth="1"/>
    <col min="5" max="7" width="14" style="1" customWidth="1"/>
    <col min="8" max="16384" width="9.140625" style="1"/>
  </cols>
  <sheetData/>
  <pageMargins left="0.31496062992125984" right="0.31496062992125984" top="0.35433070866141736" bottom="0.74803149606299213" header="0.31496062992125984" footer="0.31496062992125984"/>
  <pageSetup paperSize="5" orientation="portrait" horizont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"/>
  <sheetViews>
    <sheetView view="pageLayout" zoomScale="92" zoomScaleNormal="85" zoomScalePageLayoutView="92" workbookViewId="0">
      <selection activeCell="E15" sqref="E15"/>
    </sheetView>
  </sheetViews>
  <sheetFormatPr defaultColWidth="9.140625" defaultRowHeight="10.5" customHeight="1" x14ac:dyDescent="0.2"/>
  <cols>
    <col min="1" max="1" width="6.42578125" style="1" customWidth="1"/>
    <col min="2" max="2" width="14.140625" style="1" customWidth="1"/>
    <col min="3" max="3" width="29" style="1" customWidth="1"/>
    <col min="4" max="4" width="6.42578125" style="1" customWidth="1"/>
    <col min="5" max="7" width="14" style="1" customWidth="1"/>
    <col min="8" max="8" width="10.42578125" style="1" bestFit="1" customWidth="1"/>
    <col min="9" max="16384" width="9.140625" style="1"/>
  </cols>
  <sheetData/>
  <pageMargins left="0.31496062992125984" right="0.31496062992125984" top="0.35433070866141736" bottom="0.74803149606299213" header="0.31496062992125984" footer="0.31496062992125984"/>
  <pageSetup paperSize="5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BPTRA</vt:lpstr>
      <vt:lpstr>BPTRNA</vt:lpstr>
      <vt:lpstr>BPTDN</vt:lpstr>
      <vt:lpstr>BKM</vt:lpstr>
      <vt:lpstr>JRNA2 </vt:lpstr>
      <vt:lpstr>DVUD(1)</vt:lpstr>
      <vt:lpstr>DVUD</vt:lpstr>
      <vt:lpstr>J. Pemblk</vt:lpstr>
      <vt:lpstr>DUVHD</vt:lpstr>
      <vt:lpstr>J.Koreksi</vt:lpstr>
      <vt:lpstr>BKU</vt:lpstr>
      <vt:lpstr>BKU PM</vt:lpstr>
      <vt:lpstr>'DVUD(1)'!Print_Area</vt:lpstr>
    </vt:vector>
  </TitlesOfParts>
  <Company>Al_Ahsan_Computer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Umeko</dc:creator>
  <cp:lastModifiedBy>PC</cp:lastModifiedBy>
  <cp:lastPrinted>2026-01-09T00:43:01Z</cp:lastPrinted>
  <dcterms:created xsi:type="dcterms:W3CDTF">2012-01-28T01:42:55Z</dcterms:created>
  <dcterms:modified xsi:type="dcterms:W3CDTF">2026-07-08T04:33:21Z</dcterms:modified>
</cp:coreProperties>
</file>