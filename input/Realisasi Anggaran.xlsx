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68473580-97AD-43C6-9FB8-AAC60DDDA0F6}" xr6:coauthVersionLast="47" xr6:coauthVersionMax="47" xr10:uidLastSave="{00000000-0000-0000-0000-000000000000}"/>
  <bookViews>
    <workbookView xWindow="-120" yWindow="-120" windowWidth="29040" windowHeight="15720" firstSheet="4" activeTab="7" xr2:uid="{00000000-000D-0000-FFFF-FFFF00000000}"/>
  </bookViews>
  <sheets>
    <sheet name="LAP ARUS KAS" sheetId="80" state="hidden" r:id="rId1"/>
    <sheet name="LAP ARUS KAS (2)" sheetId="81" state="hidden" r:id="rId2"/>
    <sheet name="NERACA KOMPARATIF" sheetId="63" state="hidden" r:id="rId3"/>
    <sheet name="RL KOMPARATIF" sheetId="64" state="hidden" r:id="rId4"/>
    <sheet name="RINCIAN B. LANGSUNG USAHA" sheetId="67" r:id="rId5"/>
    <sheet name="RINCIAN B. TDK LANGSUNG" sheetId="68" r:id="rId6"/>
    <sheet name="B. NON OPERASIONAL" sheetId="69" r:id="rId7"/>
    <sheet name="P-9. Beban Operasi" sheetId="82" r:id="rId8"/>
    <sheet name="P-10. Beban Umum &amp; Adm" sheetId="83" r:id="rId9"/>
    <sheet name="P-10. Biaya Operasi" sheetId="78" state="hidden" r:id="rId10"/>
    <sheet name="P-11. Biaya UMUM &amp; ADM" sheetId="79" state="hidden" r:id="rId11"/>
    <sheet name="lama" sheetId="76" state="hidden" r:id="rId12"/>
    <sheet name="lama2" sheetId="77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Area" localSheetId="11">lama!$A$1:$T$95</definedName>
    <definedName name="_xlnm.Print_Area" localSheetId="12">lama2!$A$1:$T$90</definedName>
    <definedName name="_xlnm.Print_Area" localSheetId="8">'P-10. Beban Umum &amp; Adm'!$A$1:$S$85</definedName>
    <definedName name="_xlnm.Print_Area" localSheetId="9">'P-10. Biaya Operasi'!$A$1:$T$97</definedName>
    <definedName name="_xlnm.Print_Area" localSheetId="10">'P-11. Biaya UMUM &amp; ADM'!$A$1:$T$83</definedName>
    <definedName name="_xlnm.Print_Area" localSheetId="7">'P-9. Beban Operasi'!$A$1:$S$133</definedName>
    <definedName name="_xlnm.Print_Area" localSheetId="4">'RINCIAN B. LANGSUNG USAHA'!$A$74:$AE$164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6" i="82" l="1"/>
  <c r="Q52" i="82"/>
  <c r="Q53" i="82"/>
  <c r="Q54" i="82"/>
  <c r="Q57" i="82"/>
  <c r="Q58" i="82"/>
  <c r="Q59" i="82"/>
  <c r="Q60" i="82"/>
  <c r="Q61" i="82"/>
  <c r="Q62" i="82"/>
  <c r="Q63" i="82"/>
  <c r="Q64" i="82"/>
  <c r="Q65" i="82"/>
  <c r="Q68" i="82"/>
  <c r="Q69" i="82"/>
  <c r="Q70" i="82"/>
  <c r="E100" i="67" l="1"/>
  <c r="E69" i="67"/>
  <c r="AE120" i="67" l="1"/>
  <c r="W120" i="67"/>
  <c r="X120" i="67"/>
  <c r="Y120" i="67"/>
  <c r="Z120" i="67"/>
  <c r="AA120" i="67"/>
  <c r="AB120" i="67"/>
  <c r="AC120" i="67"/>
  <c r="AD120" i="67"/>
  <c r="V116" i="67"/>
  <c r="W116" i="67"/>
  <c r="U113" i="67"/>
  <c r="V113" i="67"/>
  <c r="W113" i="67"/>
  <c r="X113" i="67"/>
  <c r="Y113" i="67"/>
  <c r="Z113" i="67"/>
  <c r="AA113" i="67"/>
  <c r="AB113" i="67"/>
  <c r="AC113" i="67"/>
  <c r="AD113" i="67"/>
  <c r="AE113" i="67"/>
  <c r="T121" i="67"/>
  <c r="AD13" i="68"/>
  <c r="AD15" i="68"/>
  <c r="AD25" i="68"/>
  <c r="AD26" i="68"/>
  <c r="AD27" i="68"/>
  <c r="AD30" i="68"/>
  <c r="AD35" i="68"/>
  <c r="AD41" i="68"/>
  <c r="AD45" i="68"/>
  <c r="AD50" i="68"/>
  <c r="AD51" i="68"/>
  <c r="AD52" i="68"/>
  <c r="AD53" i="68"/>
  <c r="AD60" i="68"/>
  <c r="AD62" i="68"/>
  <c r="AD116" i="67" s="1"/>
  <c r="AD65" i="68"/>
  <c r="AD67" i="68"/>
  <c r="AD68" i="68"/>
  <c r="AD70" i="68"/>
  <c r="AD71" i="68"/>
  <c r="AD72" i="68"/>
  <c r="AD73" i="68"/>
  <c r="AD76" i="68"/>
  <c r="AC13" i="68"/>
  <c r="AC15" i="68"/>
  <c r="AC25" i="68"/>
  <c r="AC26" i="68"/>
  <c r="AC27" i="68"/>
  <c r="AC30" i="68"/>
  <c r="AC35" i="68"/>
  <c r="AC41" i="68"/>
  <c r="AC45" i="68"/>
  <c r="AC50" i="68"/>
  <c r="AC51" i="68"/>
  <c r="AC52" i="68"/>
  <c r="AC53" i="68"/>
  <c r="AC60" i="68"/>
  <c r="AC62" i="68"/>
  <c r="AC116" i="67" s="1"/>
  <c r="AC65" i="68"/>
  <c r="AC67" i="68"/>
  <c r="AC68" i="68"/>
  <c r="AC70" i="68"/>
  <c r="AC71" i="68"/>
  <c r="AC72" i="68"/>
  <c r="AC73" i="68"/>
  <c r="AC76" i="68"/>
  <c r="AB13" i="68"/>
  <c r="AB15" i="68"/>
  <c r="AB25" i="68"/>
  <c r="AB26" i="68"/>
  <c r="AB27" i="68"/>
  <c r="AB30" i="68"/>
  <c r="AB35" i="68"/>
  <c r="AB41" i="68"/>
  <c r="AB45" i="68"/>
  <c r="AB50" i="68"/>
  <c r="AB51" i="68"/>
  <c r="AB52" i="68"/>
  <c r="AB53" i="68"/>
  <c r="AB60" i="68"/>
  <c r="AB62" i="68"/>
  <c r="AB116" i="67" s="1"/>
  <c r="AB65" i="68"/>
  <c r="AB67" i="68"/>
  <c r="AB68" i="68"/>
  <c r="AB70" i="68"/>
  <c r="AB71" i="68"/>
  <c r="AB72" i="68"/>
  <c r="AB73" i="68"/>
  <c r="AB76" i="68"/>
  <c r="AA13" i="68"/>
  <c r="AA15" i="68"/>
  <c r="AA25" i="68"/>
  <c r="AA26" i="68"/>
  <c r="AA27" i="68"/>
  <c r="AA30" i="68"/>
  <c r="AA35" i="68"/>
  <c r="AA41" i="68"/>
  <c r="AA45" i="68"/>
  <c r="AA50" i="68"/>
  <c r="AA51" i="68"/>
  <c r="AA52" i="68"/>
  <c r="AA53" i="68"/>
  <c r="AA60" i="68"/>
  <c r="AA62" i="68"/>
  <c r="AA116" i="67" s="1"/>
  <c r="AA65" i="68"/>
  <c r="AA67" i="68"/>
  <c r="AA68" i="68"/>
  <c r="AA70" i="68"/>
  <c r="AA71" i="68"/>
  <c r="AA72" i="68"/>
  <c r="AA73" i="68"/>
  <c r="AA76" i="68"/>
  <c r="Z13" i="68"/>
  <c r="Z15" i="68"/>
  <c r="Z25" i="68"/>
  <c r="Z26" i="68"/>
  <c r="Z27" i="68"/>
  <c r="Z30" i="68"/>
  <c r="Z35" i="68"/>
  <c r="Z41" i="68"/>
  <c r="Z45" i="68"/>
  <c r="Z50" i="68"/>
  <c r="Z51" i="68"/>
  <c r="Z52" i="68"/>
  <c r="Z53" i="68"/>
  <c r="Z60" i="68"/>
  <c r="Z62" i="68"/>
  <c r="Z116" i="67" s="1"/>
  <c r="Z65" i="68"/>
  <c r="Z67" i="68"/>
  <c r="Z68" i="68"/>
  <c r="Z70" i="68"/>
  <c r="Z71" i="68"/>
  <c r="Z72" i="68"/>
  <c r="Z73" i="68"/>
  <c r="Z76" i="68"/>
  <c r="Y13" i="68"/>
  <c r="Y15" i="68"/>
  <c r="Y25" i="68"/>
  <c r="Y26" i="68"/>
  <c r="Y27" i="68"/>
  <c r="Y30" i="68"/>
  <c r="Y35" i="68"/>
  <c r="Y41" i="68"/>
  <c r="Y45" i="68"/>
  <c r="Y50" i="68"/>
  <c r="Y51" i="68"/>
  <c r="Y52" i="68"/>
  <c r="Y53" i="68"/>
  <c r="Y60" i="68"/>
  <c r="Y62" i="68"/>
  <c r="Y116" i="67" s="1"/>
  <c r="Y65" i="68"/>
  <c r="Y67" i="68"/>
  <c r="Y68" i="68"/>
  <c r="Y70" i="68"/>
  <c r="Y71" i="68"/>
  <c r="Y72" i="68"/>
  <c r="Y73" i="68"/>
  <c r="Y76" i="68"/>
  <c r="AE13" i="68"/>
  <c r="AE15" i="68"/>
  <c r="AE25" i="68"/>
  <c r="AE26" i="68"/>
  <c r="AE27" i="68"/>
  <c r="AE30" i="68"/>
  <c r="AE35" i="68"/>
  <c r="AE41" i="68"/>
  <c r="AE45" i="68"/>
  <c r="AE50" i="68"/>
  <c r="AE51" i="68"/>
  <c r="AE52" i="68"/>
  <c r="AE53" i="68"/>
  <c r="AE60" i="68"/>
  <c r="AE62" i="68"/>
  <c r="AE116" i="67" s="1"/>
  <c r="AE65" i="68"/>
  <c r="AE67" i="68"/>
  <c r="AE68" i="68"/>
  <c r="AE70" i="68"/>
  <c r="AE71" i="68"/>
  <c r="AE72" i="68"/>
  <c r="AE73" i="68"/>
  <c r="AE76" i="68"/>
  <c r="X13" i="68"/>
  <c r="X15" i="68"/>
  <c r="X25" i="68"/>
  <c r="X26" i="68"/>
  <c r="X27" i="68"/>
  <c r="X30" i="68"/>
  <c r="X35" i="68"/>
  <c r="X41" i="68"/>
  <c r="X45" i="68"/>
  <c r="X50" i="68"/>
  <c r="X51" i="68"/>
  <c r="X52" i="68"/>
  <c r="X53" i="68"/>
  <c r="X60" i="68"/>
  <c r="X62" i="68"/>
  <c r="X116" i="67" s="1"/>
  <c r="X65" i="68"/>
  <c r="X67" i="68"/>
  <c r="X68" i="68"/>
  <c r="X70" i="68"/>
  <c r="X71" i="68"/>
  <c r="X72" i="68"/>
  <c r="X73" i="68"/>
  <c r="X76" i="68"/>
  <c r="W13" i="68"/>
  <c r="W15" i="68"/>
  <c r="W25" i="68"/>
  <c r="W26" i="68"/>
  <c r="W27" i="68"/>
  <c r="W30" i="68"/>
  <c r="W35" i="68"/>
  <c r="W41" i="68"/>
  <c r="W45" i="68"/>
  <c r="W50" i="68"/>
  <c r="W51" i="68"/>
  <c r="W52" i="68"/>
  <c r="W53" i="68"/>
  <c r="W60" i="68"/>
  <c r="W62" i="68"/>
  <c r="W65" i="68"/>
  <c r="W67" i="68"/>
  <c r="W68" i="68"/>
  <c r="W70" i="68"/>
  <c r="W71" i="68"/>
  <c r="W72" i="68"/>
  <c r="W73" i="68"/>
  <c r="W76" i="68"/>
  <c r="V13" i="68"/>
  <c r="V15" i="68"/>
  <c r="V23" i="68"/>
  <c r="V25" i="68"/>
  <c r="V26" i="68"/>
  <c r="V27" i="68"/>
  <c r="V30" i="68"/>
  <c r="V35" i="68"/>
  <c r="V41" i="68"/>
  <c r="V45" i="68"/>
  <c r="V50" i="68"/>
  <c r="V51" i="68"/>
  <c r="V52" i="68"/>
  <c r="V120" i="67" s="1"/>
  <c r="V53" i="68"/>
  <c r="V56" i="68"/>
  <c r="V60" i="68"/>
  <c r="V62" i="68"/>
  <c r="V65" i="68"/>
  <c r="V67" i="68"/>
  <c r="V68" i="68"/>
  <c r="V70" i="68"/>
  <c r="V71" i="68"/>
  <c r="V72" i="68"/>
  <c r="V73" i="68"/>
  <c r="V76" i="68"/>
  <c r="U13" i="68"/>
  <c r="U15" i="68"/>
  <c r="U23" i="68"/>
  <c r="U25" i="68"/>
  <c r="U26" i="68"/>
  <c r="U27" i="68"/>
  <c r="U30" i="68"/>
  <c r="U32" i="68"/>
  <c r="U35" i="68"/>
  <c r="U41" i="68"/>
  <c r="U45" i="68"/>
  <c r="U50" i="68"/>
  <c r="U51" i="68"/>
  <c r="U52" i="68"/>
  <c r="U120" i="67" s="1"/>
  <c r="U53" i="68"/>
  <c r="U56" i="68"/>
  <c r="U60" i="68"/>
  <c r="U62" i="68"/>
  <c r="U116" i="67" s="1"/>
  <c r="U65" i="68"/>
  <c r="U67" i="68"/>
  <c r="U68" i="68"/>
  <c r="U70" i="68"/>
  <c r="U71" i="68"/>
  <c r="U72" i="68"/>
  <c r="U73" i="68"/>
  <c r="U76" i="68"/>
  <c r="T13" i="68"/>
  <c r="T15" i="68"/>
  <c r="T22" i="68"/>
  <c r="T23" i="68"/>
  <c r="T24" i="68"/>
  <c r="T25" i="68"/>
  <c r="T26" i="68"/>
  <c r="T27" i="68"/>
  <c r="T30" i="68"/>
  <c r="T32" i="68"/>
  <c r="T35" i="68"/>
  <c r="T41" i="68"/>
  <c r="T45" i="68"/>
  <c r="T50" i="68"/>
  <c r="T51" i="68"/>
  <c r="T52" i="68"/>
  <c r="T120" i="67" s="1"/>
  <c r="T53" i="68"/>
  <c r="T54" i="68"/>
  <c r="T56" i="68"/>
  <c r="T60" i="68"/>
  <c r="T62" i="68"/>
  <c r="T116" i="67" s="1"/>
  <c r="T65" i="68"/>
  <c r="T66" i="68"/>
  <c r="T67" i="68"/>
  <c r="T68" i="68"/>
  <c r="T70" i="68"/>
  <c r="T71" i="68"/>
  <c r="T72" i="68"/>
  <c r="T73" i="68"/>
  <c r="T76" i="68"/>
  <c r="T113" i="67" s="1"/>
  <c r="D157" i="67" a="1"/>
  <c r="D157" i="67" s="1"/>
  <c r="D93" i="68"/>
  <c r="D95" i="68"/>
  <c r="D112" i="68"/>
  <c r="D106" i="68"/>
  <c r="O113" i="67" l="1"/>
  <c r="D153" i="67" l="1"/>
  <c r="D151" i="67"/>
  <c r="D138" i="67" l="1"/>
  <c r="D87" i="68" l="1"/>
  <c r="D110" i="67"/>
  <c r="Z36" i="82" l="1"/>
  <c r="Z49" i="82"/>
  <c r="Z54" i="82"/>
  <c r="Z65" i="82"/>
  <c r="Z66" i="82"/>
  <c r="Z71" i="82"/>
  <c r="Z76" i="82"/>
  <c r="Z81" i="82"/>
  <c r="Z90" i="82"/>
  <c r="Z99" i="82"/>
  <c r="Z100" i="82"/>
  <c r="Z103" i="82"/>
  <c r="Z118" i="82"/>
  <c r="E82" i="83" l="1"/>
  <c r="E55" i="83"/>
  <c r="H135" i="82" l="1"/>
  <c r="I135" i="82"/>
  <c r="J135" i="82"/>
  <c r="K135" i="82"/>
  <c r="L135" i="82"/>
  <c r="M135" i="82"/>
  <c r="N135" i="82"/>
  <c r="O135" i="82"/>
  <c r="P135" i="82"/>
  <c r="G135" i="82"/>
  <c r="F135" i="82"/>
  <c r="E135" i="82" l="1"/>
  <c r="P33" i="82" l="1"/>
  <c r="O33" i="82"/>
  <c r="N33" i="82"/>
  <c r="M33" i="82"/>
  <c r="L33" i="82"/>
  <c r="K33" i="82"/>
  <c r="J33" i="82"/>
  <c r="I33" i="82"/>
  <c r="H33" i="82"/>
  <c r="G33" i="82"/>
  <c r="F33" i="82"/>
  <c r="E33" i="82"/>
  <c r="O28" i="82"/>
  <c r="N28" i="82"/>
  <c r="M28" i="82"/>
  <c r="J28" i="82"/>
  <c r="H28" i="82"/>
  <c r="G28" i="82"/>
  <c r="F28" i="82"/>
  <c r="E28" i="82"/>
  <c r="E36" i="82" s="1"/>
  <c r="P28" i="82" l="1"/>
  <c r="I28" i="82"/>
  <c r="L28" i="82"/>
  <c r="K28" i="82"/>
  <c r="H109" i="67"/>
  <c r="AE12" i="67"/>
  <c r="AE13" i="67"/>
  <c r="AE14" i="67"/>
  <c r="AE15" i="67"/>
  <c r="AE16" i="67"/>
  <c r="AE17" i="67"/>
  <c r="AE20" i="67"/>
  <c r="AE23" i="67"/>
  <c r="AE25" i="67"/>
  <c r="AE26" i="67"/>
  <c r="AE35" i="67"/>
  <c r="AE36" i="67"/>
  <c r="AE38" i="67"/>
  <c r="AE42" i="67"/>
  <c r="AE50" i="67"/>
  <c r="AE52" i="67"/>
  <c r="AE58" i="67"/>
  <c r="AE61" i="67"/>
  <c r="AE62" i="67"/>
  <c r="AE63" i="67"/>
  <c r="AE70" i="67"/>
  <c r="AE71" i="67"/>
  <c r="AE72" i="67"/>
  <c r="AE75" i="67"/>
  <c r="AE82" i="67"/>
  <c r="AE83" i="67"/>
  <c r="AE85" i="67"/>
  <c r="AE88" i="67"/>
  <c r="AE90" i="67"/>
  <c r="AE91" i="67"/>
  <c r="AE93" i="67"/>
  <c r="AE11" i="67"/>
  <c r="AD11" i="67"/>
  <c r="AD12" i="67"/>
  <c r="AD13" i="67"/>
  <c r="AD14" i="67"/>
  <c r="AD15" i="67"/>
  <c r="AD16" i="67"/>
  <c r="AD17" i="67"/>
  <c r="AD20" i="67"/>
  <c r="AD23" i="67"/>
  <c r="AD25" i="67"/>
  <c r="AD26" i="67"/>
  <c r="AD35" i="67"/>
  <c r="AD36" i="67"/>
  <c r="AD38" i="67"/>
  <c r="AD42" i="67"/>
  <c r="AD50" i="67"/>
  <c r="AD52" i="67"/>
  <c r="AD58" i="67"/>
  <c r="AD61" i="67"/>
  <c r="AD62" i="67"/>
  <c r="AD63" i="67"/>
  <c r="AD70" i="67"/>
  <c r="AD71" i="67"/>
  <c r="AD72" i="67"/>
  <c r="AD75" i="67"/>
  <c r="AD82" i="67"/>
  <c r="AD83" i="67"/>
  <c r="AD85" i="67"/>
  <c r="AD88" i="67"/>
  <c r="AD90" i="67"/>
  <c r="AD91" i="67"/>
  <c r="AD93" i="67"/>
  <c r="AC11" i="67"/>
  <c r="AC12" i="67"/>
  <c r="AC13" i="67"/>
  <c r="AC14" i="67"/>
  <c r="AC15" i="67"/>
  <c r="AC16" i="67"/>
  <c r="AC17" i="67"/>
  <c r="AC20" i="67"/>
  <c r="AC23" i="67"/>
  <c r="AC25" i="67"/>
  <c r="AC26" i="67"/>
  <c r="AC35" i="67"/>
  <c r="AC36" i="67"/>
  <c r="AC38" i="67"/>
  <c r="AC42" i="67"/>
  <c r="AC50" i="67"/>
  <c r="AC52" i="67"/>
  <c r="AC58" i="67"/>
  <c r="AC61" i="67"/>
  <c r="AC62" i="67"/>
  <c r="AC63" i="67"/>
  <c r="AC70" i="67"/>
  <c r="AC71" i="67"/>
  <c r="AC72" i="67"/>
  <c r="AC75" i="67"/>
  <c r="AC82" i="67"/>
  <c r="AC83" i="67"/>
  <c r="AC85" i="67"/>
  <c r="AC88" i="67"/>
  <c r="AC90" i="67"/>
  <c r="AC91" i="67"/>
  <c r="AC93" i="67"/>
  <c r="AB11" i="67"/>
  <c r="AB12" i="67"/>
  <c r="AB13" i="67"/>
  <c r="AB14" i="67"/>
  <c r="AB15" i="67"/>
  <c r="AB16" i="67"/>
  <c r="AB17" i="67"/>
  <c r="AB20" i="67"/>
  <c r="AB23" i="67"/>
  <c r="AB25" i="67"/>
  <c r="AB26" i="67"/>
  <c r="AB35" i="67"/>
  <c r="AB36" i="67"/>
  <c r="AB38" i="67"/>
  <c r="AB42" i="67"/>
  <c r="AB50" i="67"/>
  <c r="AB52" i="67"/>
  <c r="AB58" i="67"/>
  <c r="AB61" i="67"/>
  <c r="AB62" i="67"/>
  <c r="AB63" i="67"/>
  <c r="AB70" i="67"/>
  <c r="AB71" i="67"/>
  <c r="AB72" i="67"/>
  <c r="AB75" i="67"/>
  <c r="AB82" i="67"/>
  <c r="AB83" i="67"/>
  <c r="AB85" i="67"/>
  <c r="AB88" i="67"/>
  <c r="AB90" i="67"/>
  <c r="AB91" i="67"/>
  <c r="AB93" i="67"/>
  <c r="AA11" i="67"/>
  <c r="AA12" i="67"/>
  <c r="AA13" i="67"/>
  <c r="AA14" i="67"/>
  <c r="AA15" i="67"/>
  <c r="AA16" i="67"/>
  <c r="AA17" i="67"/>
  <c r="AA20" i="67"/>
  <c r="AA23" i="67"/>
  <c r="AA25" i="67"/>
  <c r="AA26" i="67"/>
  <c r="AA35" i="67"/>
  <c r="AA36" i="67"/>
  <c r="AA38" i="67"/>
  <c r="AA42" i="67"/>
  <c r="AA50" i="67"/>
  <c r="AA52" i="67"/>
  <c r="AA58" i="67"/>
  <c r="AA61" i="67"/>
  <c r="AA62" i="67"/>
  <c r="AA63" i="67"/>
  <c r="AA70" i="67"/>
  <c r="AA71" i="67"/>
  <c r="AA72" i="67"/>
  <c r="AA75" i="67"/>
  <c r="AA82" i="67"/>
  <c r="AA83" i="67"/>
  <c r="AA85" i="67"/>
  <c r="AA88" i="67"/>
  <c r="AA90" i="67"/>
  <c r="AA91" i="67"/>
  <c r="AA93" i="67"/>
  <c r="Z11" i="67"/>
  <c r="Z12" i="67"/>
  <c r="Z13" i="67"/>
  <c r="Z14" i="67"/>
  <c r="Z15" i="67"/>
  <c r="Z16" i="67"/>
  <c r="Z17" i="67"/>
  <c r="Z20" i="67"/>
  <c r="Z23" i="67"/>
  <c r="Z25" i="67"/>
  <c r="Z26" i="67"/>
  <c r="Z35" i="67"/>
  <c r="Z36" i="67"/>
  <c r="Z38" i="67"/>
  <c r="Z42" i="67"/>
  <c r="Z50" i="67"/>
  <c r="Z52" i="67"/>
  <c r="Z58" i="67"/>
  <c r="Z61" i="67"/>
  <c r="Z62" i="67"/>
  <c r="Z63" i="67"/>
  <c r="Z70" i="67"/>
  <c r="Z71" i="67"/>
  <c r="Z72" i="67"/>
  <c r="Z75" i="67"/>
  <c r="Z82" i="67"/>
  <c r="Z83" i="67"/>
  <c r="Z85" i="67"/>
  <c r="Z88" i="67"/>
  <c r="Z90" i="67"/>
  <c r="Z91" i="67"/>
  <c r="Z93" i="67"/>
  <c r="Y11" i="67"/>
  <c r="Y12" i="67"/>
  <c r="Y13" i="67"/>
  <c r="Y14" i="67"/>
  <c r="Y15" i="67"/>
  <c r="Y16" i="67"/>
  <c r="Y17" i="67"/>
  <c r="Y20" i="67"/>
  <c r="Y23" i="67"/>
  <c r="Y25" i="67"/>
  <c r="Y26" i="67"/>
  <c r="Y35" i="67"/>
  <c r="Y36" i="67"/>
  <c r="Y38" i="67"/>
  <c r="Y42" i="67"/>
  <c r="Y50" i="67"/>
  <c r="Y52" i="67"/>
  <c r="Y58" i="67"/>
  <c r="Y61" i="67"/>
  <c r="Y62" i="67"/>
  <c r="Y63" i="67"/>
  <c r="Y70" i="67"/>
  <c r="Y71" i="67"/>
  <c r="Y72" i="67"/>
  <c r="Y75" i="67"/>
  <c r="Y82" i="67"/>
  <c r="Y83" i="67"/>
  <c r="Y85" i="67"/>
  <c r="Y88" i="67"/>
  <c r="Y90" i="67"/>
  <c r="Y91" i="67"/>
  <c r="Y93" i="67"/>
  <c r="X11" i="67"/>
  <c r="X85" i="67"/>
  <c r="X88" i="67"/>
  <c r="X90" i="67"/>
  <c r="X91" i="67"/>
  <c r="X93" i="67"/>
  <c r="X82" i="67"/>
  <c r="X83" i="67"/>
  <c r="X61" i="67"/>
  <c r="X62" i="67"/>
  <c r="X63" i="67"/>
  <c r="X70" i="67"/>
  <c r="X71" i="67"/>
  <c r="X72" i="67"/>
  <c r="X75" i="67"/>
  <c r="X50" i="67"/>
  <c r="X52" i="67"/>
  <c r="X58" i="67"/>
  <c r="X35" i="67"/>
  <c r="X36" i="67"/>
  <c r="X38" i="67"/>
  <c r="X42" i="67"/>
  <c r="X12" i="67"/>
  <c r="X13" i="67"/>
  <c r="X14" i="67"/>
  <c r="X15" i="67"/>
  <c r="X16" i="67"/>
  <c r="X17" i="67"/>
  <c r="X20" i="67"/>
  <c r="X23" i="67"/>
  <c r="X25" i="67"/>
  <c r="X26" i="67"/>
  <c r="W11" i="67"/>
  <c r="W82" i="67"/>
  <c r="W83" i="67"/>
  <c r="W85" i="67"/>
  <c r="W88" i="67"/>
  <c r="W90" i="67"/>
  <c r="W91" i="67"/>
  <c r="W93" i="67"/>
  <c r="W70" i="67"/>
  <c r="W71" i="67"/>
  <c r="W72" i="67"/>
  <c r="W75" i="67"/>
  <c r="W50" i="67"/>
  <c r="W52" i="67"/>
  <c r="W58" i="67"/>
  <c r="W61" i="67"/>
  <c r="W62" i="67"/>
  <c r="W63" i="67"/>
  <c r="W35" i="67"/>
  <c r="W36" i="67"/>
  <c r="W38" i="67"/>
  <c r="W42" i="67"/>
  <c r="W12" i="67"/>
  <c r="W13" i="67"/>
  <c r="W14" i="67"/>
  <c r="W15" i="67"/>
  <c r="W16" i="67"/>
  <c r="W17" i="67"/>
  <c r="W20" i="67"/>
  <c r="W23" i="67"/>
  <c r="W25" i="67"/>
  <c r="W26" i="67"/>
  <c r="V12" i="67"/>
  <c r="V13" i="67"/>
  <c r="V14" i="67"/>
  <c r="V15" i="67"/>
  <c r="V16" i="67"/>
  <c r="V17" i="67"/>
  <c r="V20" i="67"/>
  <c r="V23" i="67"/>
  <c r="V25" i="67"/>
  <c r="V26" i="67"/>
  <c r="V35" i="67"/>
  <c r="V36" i="67"/>
  <c r="V38" i="67"/>
  <c r="V42" i="67"/>
  <c r="V50" i="67"/>
  <c r="V51" i="67"/>
  <c r="V52" i="67"/>
  <c r="V58" i="67"/>
  <c r="V61" i="67"/>
  <c r="V62" i="67"/>
  <c r="V63" i="67"/>
  <c r="V70" i="67"/>
  <c r="V71" i="67"/>
  <c r="V72" i="67"/>
  <c r="V75" i="67"/>
  <c r="V82" i="67"/>
  <c r="V83" i="67"/>
  <c r="V85" i="67"/>
  <c r="V88" i="67"/>
  <c r="V90" i="67"/>
  <c r="V91" i="67"/>
  <c r="V93" i="67"/>
  <c r="V11" i="67"/>
  <c r="U82" i="67"/>
  <c r="U83" i="67"/>
  <c r="U85" i="67"/>
  <c r="U88" i="67"/>
  <c r="U90" i="67"/>
  <c r="U91" i="67"/>
  <c r="U93" i="67"/>
  <c r="U94" i="67"/>
  <c r="U70" i="67"/>
  <c r="U71" i="67"/>
  <c r="U72" i="67"/>
  <c r="U75" i="67"/>
  <c r="U50" i="67"/>
  <c r="U51" i="67"/>
  <c r="U52" i="67"/>
  <c r="U58" i="67"/>
  <c r="U61" i="67"/>
  <c r="U62" i="67"/>
  <c r="U63" i="67"/>
  <c r="U64" i="67"/>
  <c r="U35" i="67"/>
  <c r="U36" i="67"/>
  <c r="U38" i="67"/>
  <c r="U42" i="67"/>
  <c r="U12" i="67"/>
  <c r="U13" i="67"/>
  <c r="U14" i="67"/>
  <c r="U15" i="67"/>
  <c r="U16" i="67"/>
  <c r="U17" i="67"/>
  <c r="U18" i="67"/>
  <c r="U20" i="67"/>
  <c r="U21" i="67"/>
  <c r="U23" i="67"/>
  <c r="U24" i="67"/>
  <c r="U25" i="67"/>
  <c r="U26" i="67"/>
  <c r="U27" i="67"/>
  <c r="U11" i="67"/>
  <c r="T93" i="67"/>
  <c r="T94" i="67"/>
  <c r="T96" i="67"/>
  <c r="T82" i="67"/>
  <c r="T83" i="67"/>
  <c r="T84" i="67"/>
  <c r="T85" i="67"/>
  <c r="T88" i="67"/>
  <c r="T90" i="67"/>
  <c r="T91" i="67"/>
  <c r="T61" i="67"/>
  <c r="T62" i="67"/>
  <c r="T63" i="67"/>
  <c r="T64" i="67"/>
  <c r="T70" i="67"/>
  <c r="T71" i="67"/>
  <c r="T72" i="67"/>
  <c r="T75" i="67"/>
  <c r="T49" i="67"/>
  <c r="T50" i="67"/>
  <c r="T51" i="67"/>
  <c r="T52" i="67"/>
  <c r="T58" i="67"/>
  <c r="T59" i="67"/>
  <c r="T31" i="67"/>
  <c r="T35" i="67"/>
  <c r="T36" i="67"/>
  <c r="T38" i="67"/>
  <c r="T42" i="67"/>
  <c r="T12" i="67"/>
  <c r="T13" i="67"/>
  <c r="T14" i="67"/>
  <c r="T15" i="67"/>
  <c r="T16" i="67"/>
  <c r="T17" i="67"/>
  <c r="T18" i="67"/>
  <c r="T20" i="67"/>
  <c r="T21" i="67"/>
  <c r="T23" i="67"/>
  <c r="T24" i="67"/>
  <c r="T25" i="67"/>
  <c r="T26" i="67"/>
  <c r="T27" i="67"/>
  <c r="T11" i="67"/>
  <c r="S40" i="83" l="1"/>
  <c r="R92" i="82"/>
  <c r="Q81" i="83"/>
  <c r="Q80" i="83"/>
  <c r="Q79" i="83"/>
  <c r="Q78" i="83"/>
  <c r="Q77" i="83"/>
  <c r="Q76" i="83"/>
  <c r="Q74" i="83"/>
  <c r="Q73" i="83"/>
  <c r="Q72" i="83"/>
  <c r="Q71" i="83"/>
  <c r="Q70" i="83"/>
  <c r="Q69" i="83"/>
  <c r="O82" i="83"/>
  <c r="N82" i="83"/>
  <c r="M82" i="83"/>
  <c r="K82" i="83"/>
  <c r="J82" i="83"/>
  <c r="I82" i="83"/>
  <c r="H82" i="83"/>
  <c r="F82" i="83"/>
  <c r="Q67" i="83"/>
  <c r="Q66" i="83"/>
  <c r="Q65" i="83"/>
  <c r="Q63" i="83"/>
  <c r="Q60" i="83"/>
  <c r="Q59" i="83"/>
  <c r="N62" i="83"/>
  <c r="J62" i="83"/>
  <c r="F62" i="83"/>
  <c r="Q57" i="83"/>
  <c r="Q56" i="83"/>
  <c r="P55" i="83"/>
  <c r="O55" i="83"/>
  <c r="N55" i="83"/>
  <c r="M55" i="83"/>
  <c r="L55" i="83"/>
  <c r="K55" i="83"/>
  <c r="J55" i="83"/>
  <c r="I55" i="83"/>
  <c r="H55" i="83"/>
  <c r="G55" i="83"/>
  <c r="F55" i="83"/>
  <c r="Q54" i="83"/>
  <c r="Q52" i="83"/>
  <c r="Q51" i="83"/>
  <c r="Q50" i="83"/>
  <c r="P48" i="83"/>
  <c r="O48" i="83"/>
  <c r="N48" i="83"/>
  <c r="M48" i="83"/>
  <c r="L48" i="83"/>
  <c r="K48" i="83"/>
  <c r="I48" i="83"/>
  <c r="H48" i="83"/>
  <c r="F48" i="83"/>
  <c r="E48" i="83"/>
  <c r="Q47" i="83"/>
  <c r="Q46" i="83"/>
  <c r="G48" i="83"/>
  <c r="Q44" i="83"/>
  <c r="Q42" i="83"/>
  <c r="Q41" i="83"/>
  <c r="P43" i="83"/>
  <c r="O43" i="83"/>
  <c r="N43" i="83"/>
  <c r="M43" i="83"/>
  <c r="L43" i="83"/>
  <c r="K43" i="83"/>
  <c r="J43" i="83"/>
  <c r="I43" i="83"/>
  <c r="H43" i="83"/>
  <c r="G43" i="83"/>
  <c r="Q38" i="83"/>
  <c r="Q37" i="83"/>
  <c r="Q36" i="83"/>
  <c r="Q35" i="83"/>
  <c r="Q34" i="83"/>
  <c r="Q33" i="83"/>
  <c r="Q32" i="83"/>
  <c r="O30" i="83"/>
  <c r="M30" i="83"/>
  <c r="L30" i="83"/>
  <c r="K30" i="83"/>
  <c r="J30" i="83"/>
  <c r="I30" i="83"/>
  <c r="F30" i="83"/>
  <c r="Q29" i="83"/>
  <c r="Q28" i="83"/>
  <c r="Q27" i="83"/>
  <c r="Q26" i="83"/>
  <c r="V25" i="83"/>
  <c r="Q25" i="83"/>
  <c r="N30" i="83"/>
  <c r="Q23" i="83"/>
  <c r="E30" i="83"/>
  <c r="Q21" i="83"/>
  <c r="Q20" i="83"/>
  <c r="Q19" i="83"/>
  <c r="Q18" i="83"/>
  <c r="P30" i="83"/>
  <c r="G30" i="83"/>
  <c r="Q16" i="83"/>
  <c r="Q15" i="83"/>
  <c r="Q14" i="83"/>
  <c r="Q125" i="82"/>
  <c r="P126" i="82"/>
  <c r="O126" i="82"/>
  <c r="N126" i="82"/>
  <c r="M126" i="82"/>
  <c r="L126" i="82"/>
  <c r="K126" i="82"/>
  <c r="J126" i="82"/>
  <c r="I126" i="82"/>
  <c r="H126" i="82"/>
  <c r="G126" i="82"/>
  <c r="F126" i="82"/>
  <c r="Q123" i="82"/>
  <c r="Q122" i="82"/>
  <c r="Q121" i="82"/>
  <c r="Q120" i="82"/>
  <c r="Q117" i="82"/>
  <c r="E118" i="82"/>
  <c r="Q115" i="82"/>
  <c r="Q114" i="82"/>
  <c r="Q113" i="82"/>
  <c r="Q111" i="82"/>
  <c r="Q110" i="82"/>
  <c r="Q109" i="82"/>
  <c r="Q108" i="82"/>
  <c r="Q107" i="82"/>
  <c r="Q106" i="82"/>
  <c r="Z105" i="82" s="1"/>
  <c r="J118" i="82"/>
  <c r="F118" i="82"/>
  <c r="Q102" i="82"/>
  <c r="Z101" i="82" s="1"/>
  <c r="P96" i="82"/>
  <c r="O96" i="82"/>
  <c r="N96" i="82"/>
  <c r="M96" i="82"/>
  <c r="L96" i="82"/>
  <c r="K96" i="82"/>
  <c r="I96" i="82"/>
  <c r="H96" i="82"/>
  <c r="G96" i="82"/>
  <c r="F96" i="82"/>
  <c r="E96" i="82"/>
  <c r="Q95" i="82"/>
  <c r="Q94" i="82"/>
  <c r="J96" i="82"/>
  <c r="Q92" i="82"/>
  <c r="Q89" i="82"/>
  <c r="Q88" i="82"/>
  <c r="W83" i="82"/>
  <c r="W78" i="82"/>
  <c r="O81" i="82"/>
  <c r="W73" i="82"/>
  <c r="W68" i="82"/>
  <c r="E71" i="82"/>
  <c r="U65" i="82"/>
  <c r="Z64" i="82"/>
  <c r="Z56" i="82"/>
  <c r="Z53" i="82"/>
  <c r="Z52" i="82"/>
  <c r="Q49" i="82"/>
  <c r="Z48" i="82" s="1"/>
  <c r="P44" i="82"/>
  <c r="O44" i="82"/>
  <c r="N44" i="82"/>
  <c r="M44" i="82"/>
  <c r="L44" i="82"/>
  <c r="K44" i="82"/>
  <c r="J44" i="82"/>
  <c r="I44" i="82"/>
  <c r="H44" i="82"/>
  <c r="G44" i="82"/>
  <c r="F44" i="82"/>
  <c r="E44" i="82"/>
  <c r="E46" i="82" s="1"/>
  <c r="Q43" i="82"/>
  <c r="Q42" i="82"/>
  <c r="Q41" i="82"/>
  <c r="Q40" i="82"/>
  <c r="Q39" i="82"/>
  <c r="Q38" i="82"/>
  <c r="Q35" i="82"/>
  <c r="Q34" i="82"/>
  <c r="Q32" i="82"/>
  <c r="Z31" i="82" s="1"/>
  <c r="Q31" i="82"/>
  <c r="Z30" i="82" s="1"/>
  <c r="Q30" i="82"/>
  <c r="Z29" i="82" s="1"/>
  <c r="Q29" i="82"/>
  <c r="Q25" i="82"/>
  <c r="S25" i="82" s="1"/>
  <c r="Q24" i="82"/>
  <c r="S24" i="82" s="1"/>
  <c r="Q23" i="82"/>
  <c r="S23" i="82" s="1"/>
  <c r="Q22" i="82"/>
  <c r="S22" i="82" s="1"/>
  <c r="Q21" i="82"/>
  <c r="S21" i="82" s="1"/>
  <c r="Q20" i="82"/>
  <c r="S20" i="82" s="1"/>
  <c r="Q19" i="82"/>
  <c r="S19" i="82" s="1"/>
  <c r="Q18" i="82"/>
  <c r="S18" i="82" s="1"/>
  <c r="Q17" i="82"/>
  <c r="S17" i="82" s="1"/>
  <c r="Q16" i="82"/>
  <c r="S16" i="82" s="1"/>
  <c r="Q15" i="82"/>
  <c r="S15" i="82" s="1"/>
  <c r="Q14" i="82"/>
  <c r="S14" i="82" s="1"/>
  <c r="Q13" i="82"/>
  <c r="S13" i="82" s="1"/>
  <c r="Q12" i="82"/>
  <c r="S12" i="82" s="1"/>
  <c r="Q11" i="82"/>
  <c r="S11" i="82" s="1"/>
  <c r="Z51" i="82" l="1"/>
  <c r="S29" i="82"/>
  <c r="Z28" i="82"/>
  <c r="S92" i="82"/>
  <c r="Z91" i="82" s="1"/>
  <c r="P82" i="83"/>
  <c r="N86" i="82"/>
  <c r="K36" i="82"/>
  <c r="K46" i="82" s="1"/>
  <c r="K48" i="82" s="1"/>
  <c r="M36" i="82"/>
  <c r="M46" i="82" s="1"/>
  <c r="M48" i="82" s="1"/>
  <c r="I36" i="82"/>
  <c r="I46" i="82" s="1"/>
  <c r="I48" i="82" s="1"/>
  <c r="L82" i="83"/>
  <c r="G81" i="82"/>
  <c r="F86" i="82"/>
  <c r="N118" i="82"/>
  <c r="N127" i="82" s="1"/>
  <c r="N129" i="82" s="1"/>
  <c r="H118" i="82"/>
  <c r="H127" i="82" s="1"/>
  <c r="H129" i="82" s="1"/>
  <c r="H71" i="82"/>
  <c r="H62" i="83"/>
  <c r="Q112" i="82"/>
  <c r="I62" i="83"/>
  <c r="I83" i="83" s="1"/>
  <c r="I85" i="83" s="1"/>
  <c r="L71" i="82"/>
  <c r="O118" i="82"/>
  <c r="O127" i="82" s="1"/>
  <c r="O129" i="82" s="1"/>
  <c r="L76" i="82"/>
  <c r="K81" i="82"/>
  <c r="J86" i="82"/>
  <c r="M62" i="83"/>
  <c r="M83" i="83" s="1"/>
  <c r="M85" i="83" s="1"/>
  <c r="P71" i="82"/>
  <c r="G76" i="82"/>
  <c r="K76" i="82"/>
  <c r="Q83" i="82"/>
  <c r="Z82" i="82" s="1"/>
  <c r="I86" i="82"/>
  <c r="M86" i="82"/>
  <c r="F132" i="82"/>
  <c r="J132" i="82"/>
  <c r="N132" i="82"/>
  <c r="Q17" i="83"/>
  <c r="Q58" i="83"/>
  <c r="G82" i="83"/>
  <c r="Q22" i="83"/>
  <c r="Q45" i="83"/>
  <c r="Q84" i="83"/>
  <c r="Q39" i="83"/>
  <c r="Q55" i="83"/>
  <c r="G62" i="83"/>
  <c r="K62" i="83"/>
  <c r="K83" i="83" s="1"/>
  <c r="K85" i="83" s="1"/>
  <c r="O62" i="83"/>
  <c r="O83" i="83" s="1"/>
  <c r="O85" i="83" s="1"/>
  <c r="Q61" i="83"/>
  <c r="Q24" i="83"/>
  <c r="L62" i="83"/>
  <c r="L83" i="83" s="1"/>
  <c r="L85" i="83" s="1"/>
  <c r="P62" i="83"/>
  <c r="F36" i="82"/>
  <c r="F46" i="82" s="1"/>
  <c r="F48" i="82" s="1"/>
  <c r="N36" i="82"/>
  <c r="N46" i="82" s="1"/>
  <c r="N48" i="82" s="1"/>
  <c r="Q47" i="82"/>
  <c r="Q124" i="82"/>
  <c r="G36" i="82"/>
  <c r="G46" i="82" s="1"/>
  <c r="G48" i="82" s="1"/>
  <c r="O36" i="82"/>
  <c r="O46" i="82" s="1"/>
  <c r="O48" i="82" s="1"/>
  <c r="Q33" i="82"/>
  <c r="H76" i="82"/>
  <c r="G86" i="82"/>
  <c r="K86" i="82"/>
  <c r="O86" i="82"/>
  <c r="Q98" i="82"/>
  <c r="P76" i="82"/>
  <c r="Q27" i="82"/>
  <c r="Z67" i="82"/>
  <c r="M71" i="82"/>
  <c r="Q74" i="82"/>
  <c r="Z73" i="82" s="1"/>
  <c r="Q75" i="82"/>
  <c r="Z74" i="82" s="1"/>
  <c r="Q93" i="82"/>
  <c r="E126" i="82"/>
  <c r="E127" i="82" s="1"/>
  <c r="G132" i="82"/>
  <c r="K132" i="82"/>
  <c r="O132" i="82"/>
  <c r="Q44" i="82"/>
  <c r="Q45" i="82"/>
  <c r="Z69" i="82"/>
  <c r="O76" i="82"/>
  <c r="G118" i="82"/>
  <c r="G127" i="82" s="1"/>
  <c r="G129" i="82" s="1"/>
  <c r="J36" i="82"/>
  <c r="J46" i="82" s="1"/>
  <c r="J48" i="82" s="1"/>
  <c r="F81" i="82"/>
  <c r="J81" i="82"/>
  <c r="N81" i="82"/>
  <c r="Z78" i="82"/>
  <c r="L118" i="82"/>
  <c r="L127" i="82" s="1"/>
  <c r="L129" i="82" s="1"/>
  <c r="P118" i="82"/>
  <c r="P127" i="82" s="1"/>
  <c r="P129" i="82" s="1"/>
  <c r="N83" i="83"/>
  <c r="N85" i="83" s="1"/>
  <c r="H30" i="83"/>
  <c r="E43" i="83"/>
  <c r="J48" i="83"/>
  <c r="Q48" i="83" s="1"/>
  <c r="Q68" i="83"/>
  <c r="Q75" i="83"/>
  <c r="E62" i="83"/>
  <c r="F43" i="83"/>
  <c r="F83" i="83" s="1"/>
  <c r="F85" i="83" s="1"/>
  <c r="H36" i="82"/>
  <c r="L36" i="82"/>
  <c r="L46" i="82" s="1"/>
  <c r="L48" i="82" s="1"/>
  <c r="P36" i="82"/>
  <c r="P46" i="82" s="1"/>
  <c r="P48" i="82" s="1"/>
  <c r="F71" i="82"/>
  <c r="J71" i="82"/>
  <c r="N71" i="82"/>
  <c r="I71" i="82"/>
  <c r="Z79" i="82"/>
  <c r="Q84" i="82"/>
  <c r="Z83" i="82" s="1"/>
  <c r="Q85" i="82"/>
  <c r="Z84" i="82" s="1"/>
  <c r="E86" i="82"/>
  <c r="K118" i="82"/>
  <c r="K127" i="82" s="1"/>
  <c r="Q116" i="82"/>
  <c r="Q26" i="82"/>
  <c r="G71" i="82"/>
  <c r="K71" i="82"/>
  <c r="O71" i="82"/>
  <c r="Z68" i="82"/>
  <c r="E76" i="82"/>
  <c r="I76" i="82"/>
  <c r="M76" i="82"/>
  <c r="H81" i="82"/>
  <c r="L81" i="82"/>
  <c r="P81" i="82"/>
  <c r="H86" i="82"/>
  <c r="L86" i="82"/>
  <c r="P86" i="82"/>
  <c r="F127" i="82"/>
  <c r="F129" i="82" s="1"/>
  <c r="J127" i="82"/>
  <c r="J129" i="82" s="1"/>
  <c r="H132" i="82"/>
  <c r="L132" i="82"/>
  <c r="P132" i="82"/>
  <c r="Q130" i="82"/>
  <c r="F76" i="82"/>
  <c r="J76" i="82"/>
  <c r="N76" i="82"/>
  <c r="E81" i="82"/>
  <c r="I81" i="82"/>
  <c r="M81" i="82"/>
  <c r="I118" i="82"/>
  <c r="M118" i="82"/>
  <c r="M127" i="82" s="1"/>
  <c r="E132" i="82"/>
  <c r="I132" i="82"/>
  <c r="M132" i="82"/>
  <c r="Q73" i="82"/>
  <c r="Z72" i="82" s="1"/>
  <c r="Q103" i="82"/>
  <c r="Z77" i="82"/>
  <c r="Q128" i="82"/>
  <c r="H83" i="83" l="1"/>
  <c r="H85" i="83" s="1"/>
  <c r="P83" i="83"/>
  <c r="P85" i="83" s="1"/>
  <c r="Q82" i="83"/>
  <c r="G83" i="83"/>
  <c r="G85" i="83" s="1"/>
  <c r="E48" i="82"/>
  <c r="Q96" i="82"/>
  <c r="U105" i="82"/>
  <c r="Q86" i="82"/>
  <c r="E87" i="82"/>
  <c r="E90" i="82" s="1"/>
  <c r="K87" i="82"/>
  <c r="K90" i="82" s="1"/>
  <c r="K97" i="82" s="1"/>
  <c r="K99" i="82" s="1"/>
  <c r="Q71" i="82"/>
  <c r="G87" i="82"/>
  <c r="G90" i="82" s="1"/>
  <c r="G97" i="82" s="1"/>
  <c r="G99" i="82" s="1"/>
  <c r="Q36" i="82"/>
  <c r="Q62" i="83"/>
  <c r="J83" i="83"/>
  <c r="J85" i="83" s="1"/>
  <c r="Q126" i="82"/>
  <c r="P87" i="82"/>
  <c r="P90" i="82" s="1"/>
  <c r="P97" i="82" s="1"/>
  <c r="P99" i="82" s="1"/>
  <c r="Q132" i="82"/>
  <c r="L87" i="82"/>
  <c r="L90" i="82" s="1"/>
  <c r="L97" i="82" s="1"/>
  <c r="L131" i="82" s="1"/>
  <c r="L133" i="82" s="1"/>
  <c r="L136" i="82" s="1"/>
  <c r="Q118" i="82"/>
  <c r="H87" i="82"/>
  <c r="H90" i="82" s="1"/>
  <c r="H97" i="82" s="1"/>
  <c r="Q28" i="82"/>
  <c r="I127" i="82"/>
  <c r="I129" i="82" s="1"/>
  <c r="Q76" i="82"/>
  <c r="Q81" i="82"/>
  <c r="H46" i="82"/>
  <c r="H48" i="82" s="1"/>
  <c r="M87" i="82"/>
  <c r="M90" i="82" s="1"/>
  <c r="M97" i="82" s="1"/>
  <c r="M99" i="82" s="1"/>
  <c r="O87" i="82"/>
  <c r="O90" i="82" s="1"/>
  <c r="O97" i="82" s="1"/>
  <c r="O99" i="82" s="1"/>
  <c r="Q30" i="83"/>
  <c r="Q43" i="83"/>
  <c r="E83" i="83"/>
  <c r="M129" i="82"/>
  <c r="K129" i="82"/>
  <c r="F87" i="82"/>
  <c r="F90" i="82" s="1"/>
  <c r="F97" i="82" s="1"/>
  <c r="I87" i="82"/>
  <c r="I90" i="82" s="1"/>
  <c r="I97" i="82" s="1"/>
  <c r="I99" i="82" s="1"/>
  <c r="E129" i="82"/>
  <c r="N87" i="82"/>
  <c r="N90" i="82" s="1"/>
  <c r="N97" i="82" s="1"/>
  <c r="Q105" i="82"/>
  <c r="J87" i="82"/>
  <c r="J90" i="82" s="1"/>
  <c r="J97" i="82" s="1"/>
  <c r="Q48" i="82" l="1"/>
  <c r="Q46" i="82"/>
  <c r="Q127" i="82"/>
  <c r="Q129" i="82" s="1"/>
  <c r="L99" i="82"/>
  <c r="K131" i="82"/>
  <c r="K133" i="82" s="1"/>
  <c r="K136" i="82" s="1"/>
  <c r="H131" i="82"/>
  <c r="H133" i="82" s="1"/>
  <c r="H136" i="82" s="1"/>
  <c r="M131" i="82"/>
  <c r="M133" i="82" s="1"/>
  <c r="M136" i="82" s="1"/>
  <c r="P131" i="82"/>
  <c r="P133" i="82" s="1"/>
  <c r="P136" i="82" s="1"/>
  <c r="H99" i="82"/>
  <c r="O131" i="82"/>
  <c r="O133" i="82" s="1"/>
  <c r="O136" i="82" s="1"/>
  <c r="G131" i="82"/>
  <c r="G133" i="82" s="1"/>
  <c r="G136" i="82" s="1"/>
  <c r="Q83" i="83"/>
  <c r="Q85" i="83" s="1"/>
  <c r="E85" i="83"/>
  <c r="E97" i="82"/>
  <c r="E131" i="82" s="1"/>
  <c r="Q90" i="82"/>
  <c r="Q87" i="82"/>
  <c r="I131" i="82"/>
  <c r="I133" i="82" s="1"/>
  <c r="I136" i="82" s="1"/>
  <c r="F99" i="82"/>
  <c r="F131" i="82"/>
  <c r="J99" i="82"/>
  <c r="J131" i="82"/>
  <c r="J133" i="82" s="1"/>
  <c r="J136" i="82" s="1"/>
  <c r="N99" i="82"/>
  <c r="N131" i="82"/>
  <c r="N133" i="82" s="1"/>
  <c r="N136" i="82" s="1"/>
  <c r="F133" i="82" l="1"/>
  <c r="F136" i="82" s="1"/>
  <c r="Q131" i="82"/>
  <c r="Q133" i="82" s="1"/>
  <c r="Z86" i="82"/>
  <c r="Q97" i="82"/>
  <c r="E99" i="82"/>
  <c r="E133" i="82" l="1"/>
  <c r="E136" i="82" s="1"/>
  <c r="Q99" i="82"/>
  <c r="L13" i="81" l="1"/>
  <c r="L12" i="81"/>
  <c r="I24" i="81" l="1"/>
  <c r="I23" i="81"/>
  <c r="I22" i="81"/>
  <c r="G905" i="81"/>
  <c r="G898" i="81"/>
  <c r="G892" i="81"/>
  <c r="G881" i="81"/>
  <c r="G833" i="81"/>
  <c r="G826" i="81"/>
  <c r="G820" i="81"/>
  <c r="G809" i="81"/>
  <c r="G761" i="81"/>
  <c r="G754" i="81"/>
  <c r="G748" i="81"/>
  <c r="G737" i="81"/>
  <c r="G689" i="81"/>
  <c r="G682" i="81"/>
  <c r="G676" i="81"/>
  <c r="G665" i="81"/>
  <c r="G617" i="81"/>
  <c r="G610" i="81"/>
  <c r="G604" i="81"/>
  <c r="G593" i="81"/>
  <c r="G553" i="81"/>
  <c r="G545" i="81"/>
  <c r="G538" i="81"/>
  <c r="G532" i="81"/>
  <c r="G521" i="81"/>
  <c r="G481" i="81"/>
  <c r="G473" i="81"/>
  <c r="G466" i="81"/>
  <c r="G460" i="81"/>
  <c r="G449" i="81"/>
  <c r="G462" i="81" s="1"/>
  <c r="G409" i="81"/>
  <c r="G401" i="81"/>
  <c r="G394" i="81"/>
  <c r="G388" i="81"/>
  <c r="G377" i="81"/>
  <c r="G390" i="81" s="1"/>
  <c r="G337" i="81"/>
  <c r="G329" i="81"/>
  <c r="G322" i="81"/>
  <c r="G316" i="81"/>
  <c r="G305" i="81"/>
  <c r="G265" i="81"/>
  <c r="G257" i="81"/>
  <c r="G250" i="81"/>
  <c r="G244" i="81"/>
  <c r="G233" i="81"/>
  <c r="G193" i="81"/>
  <c r="G185" i="81"/>
  <c r="I184" i="81"/>
  <c r="I255" i="81" s="1"/>
  <c r="I326" i="81" s="1"/>
  <c r="I397" i="81" s="1"/>
  <c r="I183" i="81"/>
  <c r="I254" i="81" s="1"/>
  <c r="I325" i="81" s="1"/>
  <c r="I182" i="81"/>
  <c r="I253" i="81" s="1"/>
  <c r="I181" i="81"/>
  <c r="G172" i="81"/>
  <c r="I170" i="81"/>
  <c r="I242" i="81" s="1"/>
  <c r="I314" i="81" s="1"/>
  <c r="I386" i="81" s="1"/>
  <c r="I458" i="81" s="1"/>
  <c r="I530" i="81" s="1"/>
  <c r="I602" i="81" s="1"/>
  <c r="I674" i="81" s="1"/>
  <c r="I746" i="81" s="1"/>
  <c r="I818" i="81" s="1"/>
  <c r="I890" i="81" s="1"/>
  <c r="G27" i="81" s="1"/>
  <c r="I169" i="81"/>
  <c r="I241" i="81" s="1"/>
  <c r="I313" i="81" s="1"/>
  <c r="I385" i="81" s="1"/>
  <c r="I457" i="81" s="1"/>
  <c r="I529" i="81" s="1"/>
  <c r="I601" i="81" s="1"/>
  <c r="I673" i="81" s="1"/>
  <c r="I745" i="81" s="1"/>
  <c r="I817" i="81" s="1"/>
  <c r="I889" i="81" s="1"/>
  <c r="G26" i="81" s="1"/>
  <c r="I168" i="81"/>
  <c r="I240" i="81" s="1"/>
  <c r="I312" i="81" s="1"/>
  <c r="I384" i="81" s="1"/>
  <c r="I456" i="81" s="1"/>
  <c r="I528" i="81" s="1"/>
  <c r="I600" i="81" s="1"/>
  <c r="I672" i="81" s="1"/>
  <c r="I744" i="81" s="1"/>
  <c r="I816" i="81" s="1"/>
  <c r="I888" i="81" s="1"/>
  <c r="G25" i="81" s="1"/>
  <c r="G161" i="81"/>
  <c r="G174" i="81" s="1"/>
  <c r="I160" i="81"/>
  <c r="I159" i="81"/>
  <c r="I231" i="81" s="1"/>
  <c r="I303" i="81" s="1"/>
  <c r="I375" i="81" s="1"/>
  <c r="I447" i="81" s="1"/>
  <c r="I519" i="81" s="1"/>
  <c r="I591" i="81" s="1"/>
  <c r="I663" i="81" s="1"/>
  <c r="I735" i="81" s="1"/>
  <c r="I807" i="81" s="1"/>
  <c r="I879" i="81" s="1"/>
  <c r="G16" i="81" s="1"/>
  <c r="I158" i="81"/>
  <c r="I230" i="81" s="1"/>
  <c r="I302" i="81" s="1"/>
  <c r="I374" i="81" s="1"/>
  <c r="I446" i="81" s="1"/>
  <c r="I518" i="81" s="1"/>
  <c r="I590" i="81" s="1"/>
  <c r="I662" i="81" s="1"/>
  <c r="I734" i="81" s="1"/>
  <c r="I806" i="81" s="1"/>
  <c r="I878" i="81" s="1"/>
  <c r="G15" i="81" s="1"/>
  <c r="I114" i="81"/>
  <c r="G114" i="81"/>
  <c r="G106" i="81"/>
  <c r="I106" i="81" s="1"/>
  <c r="I107" i="81" s="1"/>
  <c r="I42" i="81"/>
  <c r="M39" i="81"/>
  <c r="I34" i="81"/>
  <c r="I35" i="81" s="1"/>
  <c r="I21" i="81"/>
  <c r="L20" i="81"/>
  <c r="I18" i="81"/>
  <c r="I21" i="80"/>
  <c r="L20" i="80"/>
  <c r="I34" i="80"/>
  <c r="M39" i="80"/>
  <c r="G475" i="81" l="1"/>
  <c r="G318" i="81"/>
  <c r="G331" i="81" s="1"/>
  <c r="I185" i="81"/>
  <c r="I256" i="81" s="1"/>
  <c r="I327" i="81" s="1"/>
  <c r="I398" i="81" s="1"/>
  <c r="I469" i="81" s="1"/>
  <c r="I26" i="81"/>
  <c r="I29" i="81" s="1"/>
  <c r="I31" i="81" s="1"/>
  <c r="I44" i="81" s="1"/>
  <c r="I48" i="81" s="1"/>
  <c r="G534" i="81"/>
  <c r="G547" i="81" s="1"/>
  <c r="G606" i="81"/>
  <c r="G619" i="81" s="1"/>
  <c r="G403" i="81"/>
  <c r="G246" i="81"/>
  <c r="G259" i="81" s="1"/>
  <c r="G678" i="81"/>
  <c r="G691" i="81" s="1"/>
  <c r="G750" i="81"/>
  <c r="G763" i="81" s="1"/>
  <c r="G822" i="81"/>
  <c r="G835" i="81" s="1"/>
  <c r="G894" i="81"/>
  <c r="G907" i="81" s="1"/>
  <c r="G107" i="81"/>
  <c r="I257" i="81" l="1"/>
  <c r="I328" i="81" s="1"/>
  <c r="I399" i="81" s="1"/>
  <c r="I470" i="81" s="1"/>
  <c r="I541" i="81" s="1"/>
  <c r="I329" i="81"/>
  <c r="I400" i="81" s="1"/>
  <c r="I471" i="81" s="1"/>
  <c r="I542" i="81" s="1"/>
  <c r="I613" i="81" s="1"/>
  <c r="I401" i="81" l="1"/>
  <c r="I472" i="81" s="1"/>
  <c r="I543" i="81" s="1"/>
  <c r="I614" i="81" s="1"/>
  <c r="I685" i="81" s="1"/>
  <c r="I473" i="81"/>
  <c r="I544" i="81" s="1"/>
  <c r="I615" i="81" s="1"/>
  <c r="I686" i="81" s="1"/>
  <c r="I757" i="81" s="1"/>
  <c r="I545" i="81" l="1"/>
  <c r="I616" i="81" s="1"/>
  <c r="I687" i="81" s="1"/>
  <c r="I758" i="81" s="1"/>
  <c r="I829" i="81" s="1"/>
  <c r="I617" i="81" l="1"/>
  <c r="I688" i="81" s="1"/>
  <c r="I759" i="81" s="1"/>
  <c r="I830" i="81" s="1"/>
  <c r="I901" i="81" s="1"/>
  <c r="I689" i="81" l="1"/>
  <c r="I760" i="81" s="1"/>
  <c r="I831" i="81" s="1"/>
  <c r="I902" i="81" s="1"/>
  <c r="G39" i="81" s="1"/>
  <c r="I761" i="81"/>
  <c r="I832" i="81" s="1"/>
  <c r="I903" i="81" s="1"/>
  <c r="G40" i="81" s="1"/>
  <c r="G38" i="81"/>
  <c r="I833" i="81" l="1"/>
  <c r="I904" i="81" s="1"/>
  <c r="G41" i="81" l="1"/>
  <c r="G42" i="81" s="1"/>
  <c r="I905" i="81"/>
  <c r="I23" i="80" l="1"/>
  <c r="I22" i="80"/>
  <c r="I24" i="80" l="1"/>
  <c r="G905" i="80"/>
  <c r="G898" i="80"/>
  <c r="G892" i="80"/>
  <c r="G881" i="80"/>
  <c r="G894" i="80" s="1"/>
  <c r="G907" i="80" s="1"/>
  <c r="G833" i="80"/>
  <c r="G826" i="80"/>
  <c r="G820" i="80"/>
  <c r="G809" i="80"/>
  <c r="G822" i="80" s="1"/>
  <c r="G835" i="80" s="1"/>
  <c r="G761" i="80"/>
  <c r="G754" i="80"/>
  <c r="G748" i="80"/>
  <c r="G737" i="80"/>
  <c r="G689" i="80"/>
  <c r="G682" i="80"/>
  <c r="G676" i="80"/>
  <c r="G665" i="80"/>
  <c r="G678" i="80" s="1"/>
  <c r="G691" i="80" s="1"/>
  <c r="G617" i="80"/>
  <c r="G610" i="80"/>
  <c r="G604" i="80"/>
  <c r="G593" i="80"/>
  <c r="G606" i="80" s="1"/>
  <c r="G619" i="80" s="1"/>
  <c r="G553" i="80"/>
  <c r="G545" i="80"/>
  <c r="G538" i="80"/>
  <c r="G532" i="80"/>
  <c r="G521" i="80"/>
  <c r="G481" i="80"/>
  <c r="G473" i="80"/>
  <c r="G466" i="80"/>
  <c r="G460" i="80"/>
  <c r="G449" i="80"/>
  <c r="G409" i="80"/>
  <c r="G401" i="80"/>
  <c r="G394" i="80"/>
  <c r="G388" i="80"/>
  <c r="G377" i="80"/>
  <c r="G390" i="80" s="1"/>
  <c r="G403" i="80" s="1"/>
  <c r="G337" i="80"/>
  <c r="G329" i="80"/>
  <c r="G322" i="80"/>
  <c r="G316" i="80"/>
  <c r="G305" i="80"/>
  <c r="G318" i="80" s="1"/>
  <c r="G331" i="80" s="1"/>
  <c r="G265" i="80"/>
  <c r="G257" i="80"/>
  <c r="G250" i="80"/>
  <c r="G244" i="80"/>
  <c r="G233" i="80"/>
  <c r="G462" i="80" l="1"/>
  <c r="G475" i="80" s="1"/>
  <c r="G246" i="80"/>
  <c r="G259" i="80" s="1"/>
  <c r="G534" i="80"/>
  <c r="G547" i="80" s="1"/>
  <c r="G750" i="80"/>
  <c r="G763" i="80"/>
  <c r="I182" i="80"/>
  <c r="I253" i="80" s="1"/>
  <c r="I183" i="80"/>
  <c r="I254" i="80" s="1"/>
  <c r="I325" i="80" s="1"/>
  <c r="I184" i="80"/>
  <c r="I255" i="80" s="1"/>
  <c r="I326" i="80" s="1"/>
  <c r="I397" i="80" s="1"/>
  <c r="I181" i="80"/>
  <c r="I185" i="80" s="1"/>
  <c r="I256" i="80" s="1"/>
  <c r="I327" i="80" s="1"/>
  <c r="I398" i="80" s="1"/>
  <c r="I469" i="80" s="1"/>
  <c r="I168" i="80"/>
  <c r="I240" i="80" s="1"/>
  <c r="I312" i="80" s="1"/>
  <c r="I384" i="80" s="1"/>
  <c r="I456" i="80" s="1"/>
  <c r="I528" i="80" s="1"/>
  <c r="I600" i="80" s="1"/>
  <c r="I672" i="80" s="1"/>
  <c r="I744" i="80" s="1"/>
  <c r="I816" i="80" s="1"/>
  <c r="I888" i="80" s="1"/>
  <c r="G25" i="80" s="1"/>
  <c r="I169" i="80"/>
  <c r="I241" i="80" s="1"/>
  <c r="I313" i="80" s="1"/>
  <c r="I385" i="80" s="1"/>
  <c r="I457" i="80" s="1"/>
  <c r="I529" i="80" s="1"/>
  <c r="I601" i="80" s="1"/>
  <c r="I673" i="80" s="1"/>
  <c r="I745" i="80" s="1"/>
  <c r="I817" i="80" s="1"/>
  <c r="I889" i="80" s="1"/>
  <c r="G26" i="80" s="1"/>
  <c r="I170" i="80"/>
  <c r="I242" i="80" s="1"/>
  <c r="I314" i="80" s="1"/>
  <c r="I386" i="80" s="1"/>
  <c r="I458" i="80" s="1"/>
  <c r="I530" i="80" s="1"/>
  <c r="I602" i="80" s="1"/>
  <c r="I674" i="80" s="1"/>
  <c r="I746" i="80" s="1"/>
  <c r="I818" i="80" s="1"/>
  <c r="I890" i="80" s="1"/>
  <c r="G27" i="80" s="1"/>
  <c r="I158" i="80"/>
  <c r="I230" i="80" s="1"/>
  <c r="I302" i="80" s="1"/>
  <c r="I374" i="80" s="1"/>
  <c r="I446" i="80" s="1"/>
  <c r="I518" i="80" s="1"/>
  <c r="I590" i="80" s="1"/>
  <c r="I662" i="80" s="1"/>
  <c r="I734" i="80" s="1"/>
  <c r="I806" i="80" s="1"/>
  <c r="I878" i="80" s="1"/>
  <c r="G15" i="80" s="1"/>
  <c r="I159" i="80"/>
  <c r="I231" i="80" s="1"/>
  <c r="I303" i="80" s="1"/>
  <c r="I375" i="80" s="1"/>
  <c r="I447" i="80" s="1"/>
  <c r="I519" i="80" s="1"/>
  <c r="I591" i="80" s="1"/>
  <c r="I663" i="80" s="1"/>
  <c r="I735" i="80" s="1"/>
  <c r="I807" i="80" s="1"/>
  <c r="I879" i="80" s="1"/>
  <c r="G16" i="80" s="1"/>
  <c r="I160" i="80"/>
  <c r="I42" i="80"/>
  <c r="I35" i="80"/>
  <c r="G193" i="80"/>
  <c r="G185" i="80"/>
  <c r="G161" i="80"/>
  <c r="I114" i="80"/>
  <c r="G106" i="80"/>
  <c r="I106" i="80" s="1"/>
  <c r="I107" i="80" s="1"/>
  <c r="I257" i="80" l="1"/>
  <c r="I328" i="80" s="1"/>
  <c r="I399" i="80" s="1"/>
  <c r="I470" i="80" s="1"/>
  <c r="I541" i="80" s="1"/>
  <c r="I18" i="80"/>
  <c r="G172" i="80"/>
  <c r="G174" i="80" s="1"/>
  <c r="G107" i="80"/>
  <c r="G114" i="80"/>
  <c r="I329" i="80" l="1"/>
  <c r="I400" i="80" s="1"/>
  <c r="I471" i="80" s="1"/>
  <c r="I542" i="80" s="1"/>
  <c r="I613" i="80" s="1"/>
  <c r="I401" i="80"/>
  <c r="I472" i="80" s="1"/>
  <c r="I543" i="80" s="1"/>
  <c r="I614" i="80" s="1"/>
  <c r="I685" i="80" s="1"/>
  <c r="I473" i="80" l="1"/>
  <c r="I544" i="80" s="1"/>
  <c r="I615" i="80" s="1"/>
  <c r="I686" i="80" s="1"/>
  <c r="I757" i="80" s="1"/>
  <c r="I545" i="80"/>
  <c r="I616" i="80" s="1"/>
  <c r="I687" i="80" s="1"/>
  <c r="I758" i="80" s="1"/>
  <c r="I829" i="80" s="1"/>
  <c r="I617" i="80" l="1"/>
  <c r="I688" i="80" s="1"/>
  <c r="I759" i="80" s="1"/>
  <c r="I830" i="80" s="1"/>
  <c r="I901" i="80" s="1"/>
  <c r="G38" i="80" l="1"/>
  <c r="I689" i="80"/>
  <c r="I760" i="80" s="1"/>
  <c r="I831" i="80" s="1"/>
  <c r="I902" i="80" s="1"/>
  <c r="G39" i="80" s="1"/>
  <c r="I761" i="80"/>
  <c r="I832" i="80" s="1"/>
  <c r="I903" i="80" s="1"/>
  <c r="G40" i="80" s="1"/>
  <c r="Q82" i="67"/>
  <c r="R111" i="82" s="1"/>
  <c r="S111" i="82" s="1"/>
  <c r="Z110" i="82" s="1"/>
  <c r="Q85" i="67"/>
  <c r="R114" i="82" s="1"/>
  <c r="S114" i="82" s="1"/>
  <c r="Z113" i="82" s="1"/>
  <c r="P77" i="67"/>
  <c r="P73" i="67"/>
  <c r="Q62" i="68"/>
  <c r="Q65" i="68"/>
  <c r="Q67" i="68"/>
  <c r="Q68" i="68"/>
  <c r="Q26" i="68"/>
  <c r="R27" i="83" s="1"/>
  <c r="S27" i="83" s="1"/>
  <c r="Q27" i="68"/>
  <c r="R28" i="83" s="1"/>
  <c r="S28" i="83" s="1"/>
  <c r="Q13" i="68"/>
  <c r="P44" i="67"/>
  <c r="P37" i="67"/>
  <c r="Q52" i="67"/>
  <c r="Q38" i="67"/>
  <c r="Q14" i="67"/>
  <c r="Q15" i="67"/>
  <c r="Q16" i="67"/>
  <c r="Q17" i="67"/>
  <c r="I833" i="80" l="1"/>
  <c r="I904" i="80" s="1"/>
  <c r="G41" i="80" s="1"/>
  <c r="G42" i="80" s="1"/>
  <c r="R67" i="83"/>
  <c r="S67" i="83" s="1"/>
  <c r="P89" i="67"/>
  <c r="I905" i="80" l="1"/>
  <c r="Q42" i="79" l="1"/>
  <c r="T38" i="79"/>
  <c r="S66" i="78"/>
  <c r="P82" i="79"/>
  <c r="O82" i="79"/>
  <c r="N82" i="79"/>
  <c r="M82" i="79"/>
  <c r="L82" i="79"/>
  <c r="K82" i="79"/>
  <c r="J82" i="79"/>
  <c r="I82" i="79"/>
  <c r="H82" i="79"/>
  <c r="G82" i="79"/>
  <c r="F82" i="79"/>
  <c r="E82" i="79"/>
  <c r="P80" i="79"/>
  <c r="O80" i="79"/>
  <c r="N80" i="79"/>
  <c r="M80" i="79"/>
  <c r="K80" i="79"/>
  <c r="J80" i="79"/>
  <c r="I80" i="79"/>
  <c r="H80" i="79"/>
  <c r="G80" i="79"/>
  <c r="F80" i="79"/>
  <c r="E79" i="79"/>
  <c r="E80" i="79" s="1"/>
  <c r="L78" i="79"/>
  <c r="L80" i="79" s="1"/>
  <c r="Q77" i="79"/>
  <c r="Q76" i="79"/>
  <c r="T76" i="79" s="1"/>
  <c r="Q75" i="79"/>
  <c r="T75" i="79" s="1"/>
  <c r="Q74" i="79"/>
  <c r="Q73" i="79"/>
  <c r="Q72" i="79"/>
  <c r="Q71" i="79"/>
  <c r="T71" i="79" s="1"/>
  <c r="Q70" i="79"/>
  <c r="T70" i="79" s="1"/>
  <c r="Q69" i="79"/>
  <c r="T69" i="79" s="1"/>
  <c r="Q68" i="79"/>
  <c r="Q67" i="79"/>
  <c r="T67" i="79" s="1"/>
  <c r="Q66" i="79"/>
  <c r="Q65" i="79"/>
  <c r="Q64" i="79"/>
  <c r="Q63" i="79"/>
  <c r="Q61" i="79"/>
  <c r="P60" i="79"/>
  <c r="O60" i="79"/>
  <c r="N60" i="79"/>
  <c r="M60" i="79"/>
  <c r="L60" i="79"/>
  <c r="K60" i="79"/>
  <c r="J60" i="79"/>
  <c r="I60" i="79"/>
  <c r="H60" i="79"/>
  <c r="G60" i="79"/>
  <c r="F60" i="79"/>
  <c r="E60" i="79"/>
  <c r="Q59" i="79"/>
  <c r="Q58" i="79"/>
  <c r="Q55" i="79"/>
  <c r="Q54" i="79"/>
  <c r="Q53" i="79"/>
  <c r="P52" i="79"/>
  <c r="P56" i="79" s="1"/>
  <c r="O52" i="79"/>
  <c r="O56" i="79" s="1"/>
  <c r="N52" i="79"/>
  <c r="N56" i="79" s="1"/>
  <c r="M52" i="79"/>
  <c r="M56" i="79" s="1"/>
  <c r="L52" i="79"/>
  <c r="L56" i="79" s="1"/>
  <c r="K52" i="79"/>
  <c r="K56" i="79" s="1"/>
  <c r="J52" i="79"/>
  <c r="J56" i="79" s="1"/>
  <c r="I52" i="79"/>
  <c r="I56" i="79" s="1"/>
  <c r="H52" i="79"/>
  <c r="H56" i="79" s="1"/>
  <c r="G52" i="79"/>
  <c r="G56" i="79" s="1"/>
  <c r="F52" i="79"/>
  <c r="F56" i="79" s="1"/>
  <c r="E52" i="79"/>
  <c r="E56" i="79" s="1"/>
  <c r="Q51" i="79"/>
  <c r="Q50" i="79"/>
  <c r="P49" i="79"/>
  <c r="O49" i="79"/>
  <c r="N49" i="79"/>
  <c r="M49" i="79"/>
  <c r="L49" i="79"/>
  <c r="K49" i="79"/>
  <c r="J49" i="79"/>
  <c r="I49" i="79"/>
  <c r="H49" i="79"/>
  <c r="G49" i="79"/>
  <c r="F49" i="79"/>
  <c r="E49" i="79"/>
  <c r="Q48" i="79"/>
  <c r="P46" i="79"/>
  <c r="O46" i="79"/>
  <c r="N46" i="79"/>
  <c r="M46" i="79"/>
  <c r="L46" i="79"/>
  <c r="K46" i="79"/>
  <c r="J46" i="79"/>
  <c r="I46" i="79"/>
  <c r="H46" i="79"/>
  <c r="G46" i="79"/>
  <c r="F46" i="79"/>
  <c r="E46" i="79"/>
  <c r="Q45" i="79"/>
  <c r="Q44" i="79"/>
  <c r="Q43" i="79"/>
  <c r="P41" i="79"/>
  <c r="O41" i="79"/>
  <c r="N41" i="79"/>
  <c r="M41" i="79"/>
  <c r="L41" i="79"/>
  <c r="K41" i="79"/>
  <c r="J41" i="79"/>
  <c r="I41" i="79"/>
  <c r="H41" i="79"/>
  <c r="G41" i="79"/>
  <c r="F41" i="79"/>
  <c r="E41" i="79"/>
  <c r="Q40" i="79"/>
  <c r="Q39" i="79"/>
  <c r="Q37" i="79"/>
  <c r="Q36" i="79"/>
  <c r="Q35" i="79"/>
  <c r="Q34" i="79"/>
  <c r="Q33" i="79"/>
  <c r="Q32" i="79"/>
  <c r="Q31" i="79"/>
  <c r="Q30" i="79"/>
  <c r="Q27" i="79"/>
  <c r="Q26" i="79"/>
  <c r="T26" i="79" s="1"/>
  <c r="Q25" i="79"/>
  <c r="Q24" i="79"/>
  <c r="G23" i="79"/>
  <c r="E23" i="79"/>
  <c r="Q23" i="79" s="1"/>
  <c r="Q22" i="79"/>
  <c r="Q20" i="79"/>
  <c r="H19" i="79"/>
  <c r="F19" i="79"/>
  <c r="Q18" i="79"/>
  <c r="Q16" i="79"/>
  <c r="P14" i="79"/>
  <c r="P15" i="79" s="1"/>
  <c r="P28" i="79" s="1"/>
  <c r="O14" i="79"/>
  <c r="O15" i="79" s="1"/>
  <c r="O28" i="79" s="1"/>
  <c r="N14" i="79"/>
  <c r="N15" i="79" s="1"/>
  <c r="N28" i="79" s="1"/>
  <c r="M14" i="79"/>
  <c r="M15" i="79" s="1"/>
  <c r="M28" i="79" s="1"/>
  <c r="L14" i="79"/>
  <c r="L15" i="79" s="1"/>
  <c r="L28" i="79" s="1"/>
  <c r="K14" i="79"/>
  <c r="K15" i="79" s="1"/>
  <c r="K28" i="79" s="1"/>
  <c r="J14" i="79"/>
  <c r="J15" i="79" s="1"/>
  <c r="J28" i="79" s="1"/>
  <c r="I14" i="79"/>
  <c r="I15" i="79" s="1"/>
  <c r="I28" i="79" s="1"/>
  <c r="H14" i="79"/>
  <c r="H15" i="79" s="1"/>
  <c r="G14" i="79"/>
  <c r="G15" i="79" s="1"/>
  <c r="F14" i="79"/>
  <c r="F15" i="79" s="1"/>
  <c r="F28" i="79" s="1"/>
  <c r="E14" i="79"/>
  <c r="Q13" i="79"/>
  <c r="P93" i="78"/>
  <c r="O93" i="78"/>
  <c r="N93" i="78"/>
  <c r="M93" i="78"/>
  <c r="L93" i="78"/>
  <c r="K93" i="78"/>
  <c r="J93" i="78"/>
  <c r="I93" i="78"/>
  <c r="H93" i="78"/>
  <c r="G93" i="78"/>
  <c r="F93" i="78"/>
  <c r="E93" i="78"/>
  <c r="Q90" i="78"/>
  <c r="P89" i="78"/>
  <c r="P91" i="78" s="1"/>
  <c r="O89" i="78"/>
  <c r="O91" i="78" s="1"/>
  <c r="N89" i="78"/>
  <c r="N91" i="78" s="1"/>
  <c r="M89" i="78"/>
  <c r="M91" i="78" s="1"/>
  <c r="L89" i="78"/>
  <c r="L91" i="78" s="1"/>
  <c r="K89" i="78"/>
  <c r="K91" i="78" s="1"/>
  <c r="J89" i="78"/>
  <c r="J91" i="78" s="1"/>
  <c r="I89" i="78"/>
  <c r="I91" i="78" s="1"/>
  <c r="H89" i="78"/>
  <c r="H91" i="78" s="1"/>
  <c r="G89" i="78"/>
  <c r="G91" i="78" s="1"/>
  <c r="F89" i="78"/>
  <c r="F91" i="78" s="1"/>
  <c r="E89" i="78"/>
  <c r="Q88" i="78"/>
  <c r="Q87" i="78"/>
  <c r="Q86" i="78"/>
  <c r="Q85" i="78"/>
  <c r="Q82" i="78"/>
  <c r="P81" i="78"/>
  <c r="P83" i="78" s="1"/>
  <c r="O81" i="78"/>
  <c r="O83" i="78" s="1"/>
  <c r="N81" i="78"/>
  <c r="N83" i="78" s="1"/>
  <c r="M81" i="78"/>
  <c r="M83" i="78" s="1"/>
  <c r="L81" i="78"/>
  <c r="L83" i="78" s="1"/>
  <c r="K81" i="78"/>
  <c r="K83" i="78" s="1"/>
  <c r="J81" i="78"/>
  <c r="J83" i="78" s="1"/>
  <c r="I81" i="78"/>
  <c r="I83" i="78" s="1"/>
  <c r="H81" i="78"/>
  <c r="H83" i="78" s="1"/>
  <c r="G81" i="78"/>
  <c r="G83" i="78" s="1"/>
  <c r="F81" i="78"/>
  <c r="F83" i="78" s="1"/>
  <c r="E81" i="78"/>
  <c r="Q80" i="78"/>
  <c r="Q79" i="78"/>
  <c r="P72" i="78"/>
  <c r="O72" i="78"/>
  <c r="N72" i="78"/>
  <c r="M72" i="78"/>
  <c r="L72" i="78"/>
  <c r="K72" i="78"/>
  <c r="J72" i="78"/>
  <c r="I72" i="78"/>
  <c r="H72" i="78"/>
  <c r="G72" i="78"/>
  <c r="F72" i="78"/>
  <c r="E72" i="78"/>
  <c r="P70" i="78"/>
  <c r="O70" i="78"/>
  <c r="N70" i="78"/>
  <c r="M70" i="78"/>
  <c r="K70" i="78"/>
  <c r="J70" i="78"/>
  <c r="I70" i="78"/>
  <c r="H70" i="78"/>
  <c r="G70" i="78"/>
  <c r="F70" i="78"/>
  <c r="E70" i="78"/>
  <c r="L69" i="78"/>
  <c r="L70" i="78" s="1"/>
  <c r="Q68" i="78"/>
  <c r="Q67" i="78"/>
  <c r="Q66" i="78"/>
  <c r="O63" i="78"/>
  <c r="L63" i="78"/>
  <c r="I63" i="78"/>
  <c r="F63" i="78"/>
  <c r="E62" i="78"/>
  <c r="Q62" i="78" s="1"/>
  <c r="P59" i="78"/>
  <c r="O59" i="78"/>
  <c r="N59" i="78"/>
  <c r="M59" i="78"/>
  <c r="L59" i="78"/>
  <c r="K59" i="78"/>
  <c r="J59" i="78"/>
  <c r="I59" i="78"/>
  <c r="H59" i="78"/>
  <c r="G59" i="78"/>
  <c r="F59" i="78"/>
  <c r="E59" i="78"/>
  <c r="P58" i="78"/>
  <c r="O58" i="78"/>
  <c r="N58" i="78"/>
  <c r="M58" i="78"/>
  <c r="L58" i="78"/>
  <c r="K58" i="78"/>
  <c r="J58" i="78"/>
  <c r="I58" i="78"/>
  <c r="H58" i="78"/>
  <c r="G58" i="78"/>
  <c r="F58" i="78"/>
  <c r="E58" i="78"/>
  <c r="P57" i="78"/>
  <c r="O57" i="78"/>
  <c r="N57" i="78"/>
  <c r="M57" i="78"/>
  <c r="L57" i="78"/>
  <c r="L60" i="78" s="1"/>
  <c r="K57" i="78"/>
  <c r="J57" i="78"/>
  <c r="J60" i="78" s="1"/>
  <c r="I57" i="78"/>
  <c r="H57" i="78"/>
  <c r="H60" i="78" s="1"/>
  <c r="G57" i="78"/>
  <c r="F57" i="78"/>
  <c r="F60" i="78" s="1"/>
  <c r="E57" i="78"/>
  <c r="P54" i="78"/>
  <c r="O54" i="78"/>
  <c r="N54" i="78"/>
  <c r="M54" i="78"/>
  <c r="L54" i="78"/>
  <c r="K54" i="78"/>
  <c r="J54" i="78"/>
  <c r="I54" i="78"/>
  <c r="H54" i="78"/>
  <c r="G54" i="78"/>
  <c r="F54" i="78"/>
  <c r="E54" i="78"/>
  <c r="P53" i="78"/>
  <c r="O53" i="78"/>
  <c r="N53" i="78"/>
  <c r="M53" i="78"/>
  <c r="L53" i="78"/>
  <c r="K53" i="78"/>
  <c r="J53" i="78"/>
  <c r="I53" i="78"/>
  <c r="H53" i="78"/>
  <c r="G53" i="78"/>
  <c r="F53" i="78"/>
  <c r="E53" i="78"/>
  <c r="P52" i="78"/>
  <c r="P55" i="78" s="1"/>
  <c r="O52" i="78"/>
  <c r="N52" i="78"/>
  <c r="M52" i="78"/>
  <c r="L52" i="78"/>
  <c r="K52" i="78"/>
  <c r="J52" i="78"/>
  <c r="J55" i="78" s="1"/>
  <c r="I52" i="78"/>
  <c r="H52" i="78"/>
  <c r="H55" i="78" s="1"/>
  <c r="G52" i="78"/>
  <c r="F52" i="78"/>
  <c r="F55" i="78" s="1"/>
  <c r="E52" i="78"/>
  <c r="P49" i="78"/>
  <c r="O49" i="78"/>
  <c r="N49" i="78"/>
  <c r="M49" i="78"/>
  <c r="L49" i="78"/>
  <c r="K49" i="78"/>
  <c r="J49" i="78"/>
  <c r="I49" i="78"/>
  <c r="H49" i="78"/>
  <c r="G49" i="78"/>
  <c r="F49" i="78"/>
  <c r="E49" i="78"/>
  <c r="P48" i="78"/>
  <c r="O48" i="78"/>
  <c r="N48" i="78"/>
  <c r="M48" i="78"/>
  <c r="L48" i="78"/>
  <c r="K48" i="78"/>
  <c r="J48" i="78"/>
  <c r="I48" i="78"/>
  <c r="H48" i="78"/>
  <c r="G48" i="78"/>
  <c r="F48" i="78"/>
  <c r="E48" i="78"/>
  <c r="P47" i="78"/>
  <c r="P50" i="78" s="1"/>
  <c r="O47" i="78"/>
  <c r="N47" i="78"/>
  <c r="M47" i="78"/>
  <c r="L47" i="78"/>
  <c r="L50" i="78" s="1"/>
  <c r="K47" i="78"/>
  <c r="K50" i="78" s="1"/>
  <c r="J47" i="78"/>
  <c r="J50" i="78" s="1"/>
  <c r="J61" i="78" s="1"/>
  <c r="I47" i="78"/>
  <c r="H47" i="78"/>
  <c r="G47" i="78"/>
  <c r="G50" i="78" s="1"/>
  <c r="F47" i="78"/>
  <c r="F50" i="78" s="1"/>
  <c r="F61" i="78" s="1"/>
  <c r="E47" i="78"/>
  <c r="P43" i="78"/>
  <c r="O43" i="78"/>
  <c r="N43" i="78"/>
  <c r="M43" i="78"/>
  <c r="L43" i="78"/>
  <c r="K43" i="78"/>
  <c r="J43" i="78"/>
  <c r="I43" i="78"/>
  <c r="H43" i="78"/>
  <c r="G43" i="78"/>
  <c r="F43" i="78"/>
  <c r="E43" i="78"/>
  <c r="P42" i="78"/>
  <c r="P44" i="78" s="1"/>
  <c r="O42" i="78"/>
  <c r="N42" i="78"/>
  <c r="M42" i="78"/>
  <c r="M44" i="78" s="1"/>
  <c r="L42" i="78"/>
  <c r="L44" i="78" s="1"/>
  <c r="K42" i="78"/>
  <c r="K44" i="78" s="1"/>
  <c r="J42" i="78"/>
  <c r="J44" i="78" s="1"/>
  <c r="I42" i="78"/>
  <c r="I44" i="78" s="1"/>
  <c r="H42" i="78"/>
  <c r="H44" i="78" s="1"/>
  <c r="G42" i="78"/>
  <c r="F42" i="78"/>
  <c r="F44" i="78" s="1"/>
  <c r="E42" i="78"/>
  <c r="E44" i="78" s="1"/>
  <c r="Q41" i="78"/>
  <c r="Q39" i="78"/>
  <c r="Q38" i="78"/>
  <c r="P36" i="78"/>
  <c r="O36" i="78"/>
  <c r="N36" i="78"/>
  <c r="M36" i="78"/>
  <c r="L36" i="78"/>
  <c r="K36" i="78"/>
  <c r="J36" i="78"/>
  <c r="I36" i="78"/>
  <c r="H36" i="78"/>
  <c r="G36" i="78"/>
  <c r="F36" i="78"/>
  <c r="E36" i="78"/>
  <c r="G34" i="78"/>
  <c r="Q34" i="78" s="1"/>
  <c r="P33" i="78"/>
  <c r="O33" i="78"/>
  <c r="N33" i="78"/>
  <c r="M33" i="78"/>
  <c r="L33" i="78"/>
  <c r="K33" i="78"/>
  <c r="J33" i="78"/>
  <c r="I33" i="78"/>
  <c r="H33" i="78"/>
  <c r="G33" i="78"/>
  <c r="F33" i="78"/>
  <c r="E33" i="78"/>
  <c r="Q32" i="78"/>
  <c r="Q31" i="78"/>
  <c r="Q30" i="78"/>
  <c r="Q29" i="78"/>
  <c r="Q28" i="78"/>
  <c r="Q27" i="78"/>
  <c r="Q24" i="78"/>
  <c r="Q23" i="78"/>
  <c r="P22" i="78"/>
  <c r="O22" i="78"/>
  <c r="N22" i="78"/>
  <c r="M22" i="78"/>
  <c r="L22" i="78"/>
  <c r="K22" i="78"/>
  <c r="J22" i="78"/>
  <c r="I22" i="78"/>
  <c r="H22" i="78"/>
  <c r="G22" i="78"/>
  <c r="F22" i="78"/>
  <c r="E22" i="78"/>
  <c r="Q21" i="78"/>
  <c r="Q20" i="78"/>
  <c r="Q19" i="78"/>
  <c r="Q18" i="78"/>
  <c r="T18" i="78" s="1"/>
  <c r="N16" i="78"/>
  <c r="M16" i="78"/>
  <c r="L16" i="78"/>
  <c r="K16" i="78"/>
  <c r="J16" i="78"/>
  <c r="P15" i="78"/>
  <c r="P17" i="78" s="1"/>
  <c r="O15" i="78"/>
  <c r="O17" i="78" s="1"/>
  <c r="N15" i="78"/>
  <c r="M15" i="78"/>
  <c r="L15" i="78"/>
  <c r="L17" i="78" s="1"/>
  <c r="L25" i="78" s="1"/>
  <c r="K15" i="78"/>
  <c r="J15" i="78"/>
  <c r="I15" i="78"/>
  <c r="I17" i="78" s="1"/>
  <c r="H15" i="78"/>
  <c r="H17" i="78" s="1"/>
  <c r="G15" i="78"/>
  <c r="G17" i="78" s="1"/>
  <c r="F15" i="78"/>
  <c r="F17" i="78" s="1"/>
  <c r="E15" i="78"/>
  <c r="Q14" i="78"/>
  <c r="Q13" i="78"/>
  <c r="Q12" i="78"/>
  <c r="Q11" i="78"/>
  <c r="G44" i="78" l="1"/>
  <c r="L55" i="78"/>
  <c r="F25" i="78"/>
  <c r="G25" i="78"/>
  <c r="Q19" i="79"/>
  <c r="P60" i="78"/>
  <c r="N60" i="78"/>
  <c r="N17" i="78"/>
  <c r="N25" i="78" s="1"/>
  <c r="N35" i="78" s="1"/>
  <c r="N37" i="78" s="1"/>
  <c r="N44" i="78"/>
  <c r="O44" i="78"/>
  <c r="O50" i="78"/>
  <c r="N50" i="78"/>
  <c r="N55" i="78"/>
  <c r="O25" i="78"/>
  <c r="O35" i="78" s="1"/>
  <c r="O37" i="78" s="1"/>
  <c r="P25" i="78"/>
  <c r="P35" i="78" s="1"/>
  <c r="P37" i="78" s="1"/>
  <c r="H50" i="78"/>
  <c r="H61" i="78" s="1"/>
  <c r="H64" i="78" s="1"/>
  <c r="H71" i="78" s="1"/>
  <c r="H73" i="78" s="1"/>
  <c r="Q41" i="79"/>
  <c r="O81" i="79"/>
  <c r="O83" i="79" s="1"/>
  <c r="H25" i="78"/>
  <c r="Q60" i="79"/>
  <c r="Q17" i="79"/>
  <c r="Q82" i="79"/>
  <c r="G28" i="79"/>
  <c r="G81" i="79" s="1"/>
  <c r="G83" i="79" s="1"/>
  <c r="Q49" i="79"/>
  <c r="J17" i="78"/>
  <c r="J25" i="78" s="1"/>
  <c r="J35" i="78" s="1"/>
  <c r="J37" i="78" s="1"/>
  <c r="Q69" i="78"/>
  <c r="Q70" i="78" s="1"/>
  <c r="Q14" i="79"/>
  <c r="Q15" i="79" s="1"/>
  <c r="E15" i="79"/>
  <c r="E28" i="79" s="1"/>
  <c r="E81" i="79" s="1"/>
  <c r="Q46" i="79"/>
  <c r="I25" i="78"/>
  <c r="I35" i="78" s="1"/>
  <c r="I37" i="78" s="1"/>
  <c r="K17" i="78"/>
  <c r="K25" i="78" s="1"/>
  <c r="K35" i="78" s="1"/>
  <c r="K37" i="78" s="1"/>
  <c r="Q22" i="78"/>
  <c r="Q78" i="79"/>
  <c r="Q79" i="79"/>
  <c r="T66" i="78"/>
  <c r="Q15" i="78"/>
  <c r="M17" i="78"/>
  <c r="M25" i="78" s="1"/>
  <c r="M35" i="78" s="1"/>
  <c r="M37" i="78" s="1"/>
  <c r="Q52" i="78"/>
  <c r="E55" i="78"/>
  <c r="I55" i="78"/>
  <c r="M55" i="78"/>
  <c r="Q54" i="78"/>
  <c r="Q57" i="78"/>
  <c r="E60" i="78"/>
  <c r="I60" i="78"/>
  <c r="M60" i="78"/>
  <c r="Q59" i="78"/>
  <c r="Q81" i="78"/>
  <c r="G96" i="78"/>
  <c r="K96" i="78"/>
  <c r="O96" i="78"/>
  <c r="Q47" i="78"/>
  <c r="E50" i="78"/>
  <c r="I50" i="78"/>
  <c r="M50" i="78"/>
  <c r="Q49" i="78"/>
  <c r="Q63" i="78"/>
  <c r="H96" i="78"/>
  <c r="L96" i="78"/>
  <c r="P96" i="78"/>
  <c r="Q89" i="78"/>
  <c r="G35" i="78"/>
  <c r="G37" i="78" s="1"/>
  <c r="Q43" i="78"/>
  <c r="G55" i="78"/>
  <c r="K55" i="78"/>
  <c r="O55" i="78"/>
  <c r="G60" i="78"/>
  <c r="K60" i="78"/>
  <c r="O60" i="78"/>
  <c r="Q72" i="78"/>
  <c r="F92" i="78"/>
  <c r="F94" i="78" s="1"/>
  <c r="J92" i="78"/>
  <c r="J94" i="78" s="1"/>
  <c r="N92" i="78"/>
  <c r="N94" i="78" s="1"/>
  <c r="Q93" i="78"/>
  <c r="I96" i="78"/>
  <c r="M96" i="78"/>
  <c r="Q80" i="79"/>
  <c r="Q56" i="79"/>
  <c r="I81" i="79"/>
  <c r="I83" i="79" s="1"/>
  <c r="M81" i="79"/>
  <c r="M83" i="79" s="1"/>
  <c r="N81" i="79"/>
  <c r="N83" i="79" s="1"/>
  <c r="L81" i="79"/>
  <c r="L83" i="79" s="1"/>
  <c r="F81" i="79"/>
  <c r="F83" i="79" s="1"/>
  <c r="J81" i="79"/>
  <c r="J83" i="79" s="1"/>
  <c r="H21" i="79"/>
  <c r="Q21" i="79" s="1"/>
  <c r="K81" i="79"/>
  <c r="K83" i="79" s="1"/>
  <c r="P81" i="79"/>
  <c r="P83" i="79" s="1"/>
  <c r="Q52" i="79"/>
  <c r="F35" i="78"/>
  <c r="F37" i="78" s="1"/>
  <c r="Q44" i="78"/>
  <c r="F64" i="78"/>
  <c r="J64" i="78"/>
  <c r="J71" i="78" s="1"/>
  <c r="J73" i="78" s="1"/>
  <c r="F71" i="78"/>
  <c r="F73" i="78" s="1"/>
  <c r="F96" i="78"/>
  <c r="J96" i="78"/>
  <c r="N96" i="78"/>
  <c r="G92" i="78"/>
  <c r="K92" i="78"/>
  <c r="O92" i="78"/>
  <c r="E17" i="78"/>
  <c r="E25" i="78" s="1"/>
  <c r="H35" i="78"/>
  <c r="H37" i="78" s="1"/>
  <c r="L35" i="78"/>
  <c r="L37" i="78" s="1"/>
  <c r="L61" i="78"/>
  <c r="L64" i="78" s="1"/>
  <c r="L71" i="78" s="1"/>
  <c r="L73" i="78" s="1"/>
  <c r="P61" i="78"/>
  <c r="P64" i="78" s="1"/>
  <c r="P71" i="78" s="1"/>
  <c r="P73" i="78" s="1"/>
  <c r="H92" i="78"/>
  <c r="L92" i="78"/>
  <c r="P92" i="78"/>
  <c r="Q16" i="78"/>
  <c r="Q33" i="78"/>
  <c r="Q36" i="78"/>
  <c r="I92" i="78"/>
  <c r="M92" i="78"/>
  <c r="Q42" i="78"/>
  <c r="Q48" i="78"/>
  <c r="Q53" i="78"/>
  <c r="Q58" i="78"/>
  <c r="E91" i="78"/>
  <c r="E83" i="78"/>
  <c r="Q83" i="78" s="1"/>
  <c r="E96" i="78"/>
  <c r="O61" i="78" l="1"/>
  <c r="O64" i="78" s="1"/>
  <c r="O71" i="78" s="1"/>
  <c r="O73" i="78" s="1"/>
  <c r="Q60" i="78"/>
  <c r="G61" i="78"/>
  <c r="G64" i="78" s="1"/>
  <c r="G71" i="78" s="1"/>
  <c r="G73" i="78" s="1"/>
  <c r="Q17" i="78"/>
  <c r="K61" i="78"/>
  <c r="K64" i="78" s="1"/>
  <c r="K71" i="78" s="1"/>
  <c r="K73" i="78" s="1"/>
  <c r="E61" i="78"/>
  <c r="E64" i="78" s="1"/>
  <c r="Q96" i="78"/>
  <c r="Q55" i="78"/>
  <c r="Q50" i="78"/>
  <c r="N61" i="78"/>
  <c r="N64" i="78" s="1"/>
  <c r="N71" i="78" s="1"/>
  <c r="N73" i="78" s="1"/>
  <c r="N100" i="78" s="1"/>
  <c r="F100" i="78"/>
  <c r="M61" i="78"/>
  <c r="M64" i="78" s="1"/>
  <c r="M71" i="78" s="1"/>
  <c r="M73" i="78" s="1"/>
  <c r="F95" i="78"/>
  <c r="F97" i="78" s="1"/>
  <c r="I61" i="78"/>
  <c r="I64" i="78" s="1"/>
  <c r="I71" i="78" s="1"/>
  <c r="I73" i="78" s="1"/>
  <c r="E83" i="79"/>
  <c r="H28" i="79"/>
  <c r="Q28" i="79" s="1"/>
  <c r="G95" i="78"/>
  <c r="G97" i="78" s="1"/>
  <c r="G94" i="78"/>
  <c r="G100" i="78" s="1"/>
  <c r="J100" i="78"/>
  <c r="E71" i="78"/>
  <c r="E92" i="78"/>
  <c r="Q91" i="78"/>
  <c r="P95" i="78"/>
  <c r="P97" i="78" s="1"/>
  <c r="P94" i="78"/>
  <c r="P100" i="78" s="1"/>
  <c r="E35" i="78"/>
  <c r="Q25" i="78"/>
  <c r="J95" i="78"/>
  <c r="J97" i="78" s="1"/>
  <c r="M94" i="78"/>
  <c r="L95" i="78"/>
  <c r="L97" i="78" s="1"/>
  <c r="L94" i="78"/>
  <c r="L100" i="78" s="1"/>
  <c r="O95" i="78"/>
  <c r="O97" i="78" s="1"/>
  <c r="O94" i="78"/>
  <c r="O100" i="78" s="1"/>
  <c r="I94" i="78"/>
  <c r="H95" i="78"/>
  <c r="H97" i="78" s="1"/>
  <c r="H94" i="78"/>
  <c r="H100" i="78" s="1"/>
  <c r="K95" i="78"/>
  <c r="K97" i="78" s="1"/>
  <c r="K94" i="78"/>
  <c r="K100" i="78" l="1"/>
  <c r="N95" i="78"/>
  <c r="N97" i="78" s="1"/>
  <c r="I95" i="78"/>
  <c r="I97" i="78" s="1"/>
  <c r="Q64" i="78"/>
  <c r="M95" i="78"/>
  <c r="M97" i="78" s="1"/>
  <c r="I100" i="78"/>
  <c r="M100" i="78"/>
  <c r="Q61" i="78"/>
  <c r="H81" i="79"/>
  <c r="Q35" i="78"/>
  <c r="E37" i="78"/>
  <c r="Q37" i="78" s="1"/>
  <c r="E94" i="78"/>
  <c r="Q92" i="78"/>
  <c r="Q94" i="78" s="1"/>
  <c r="E95" i="78"/>
  <c r="Q71" i="78"/>
  <c r="E73" i="78"/>
  <c r="Q73" i="78" s="1"/>
  <c r="H83" i="79" l="1"/>
  <c r="Q81" i="79"/>
  <c r="Q83" i="79" s="1"/>
  <c r="Q84" i="79" s="1"/>
  <c r="E100" i="78"/>
  <c r="Q100" i="78" s="1"/>
  <c r="E97" i="78"/>
  <c r="Q95" i="78"/>
  <c r="Q97" i="78" s="1"/>
  <c r="P89" i="77" l="1"/>
  <c r="O89" i="77"/>
  <c r="N89" i="77"/>
  <c r="M89" i="77"/>
  <c r="L89" i="77"/>
  <c r="K89" i="77"/>
  <c r="J89" i="77"/>
  <c r="I89" i="77"/>
  <c r="H89" i="77"/>
  <c r="G89" i="77"/>
  <c r="F89" i="77"/>
  <c r="O43" i="77"/>
  <c r="Q43" i="77" s="1"/>
  <c r="G43" i="77"/>
  <c r="Q35" i="77"/>
  <c r="Q36" i="77"/>
  <c r="Q37" i="77"/>
  <c r="Q38" i="77"/>
  <c r="Q39" i="77"/>
  <c r="Q40" i="77"/>
  <c r="Q41" i="77"/>
  <c r="Q42" i="77"/>
  <c r="Q44" i="77"/>
  <c r="Q21" i="77"/>
  <c r="S21" i="77" s="1"/>
  <c r="Q22" i="77"/>
  <c r="Q23" i="77"/>
  <c r="Q24" i="77"/>
  <c r="E94" i="76"/>
  <c r="O63" i="76"/>
  <c r="P60" i="76"/>
  <c r="O60" i="76"/>
  <c r="N60" i="76"/>
  <c r="M60" i="76"/>
  <c r="L60" i="76"/>
  <c r="K60" i="76"/>
  <c r="J60" i="76"/>
  <c r="I60" i="76"/>
  <c r="H60" i="76"/>
  <c r="G60" i="76"/>
  <c r="F60" i="76"/>
  <c r="E60" i="76"/>
  <c r="P55" i="76"/>
  <c r="O55" i="76"/>
  <c r="N55" i="76"/>
  <c r="M55" i="76"/>
  <c r="L55" i="76"/>
  <c r="K55" i="76"/>
  <c r="J55" i="76"/>
  <c r="I55" i="76"/>
  <c r="H55" i="76"/>
  <c r="G55" i="76"/>
  <c r="F55" i="76"/>
  <c r="E55" i="76"/>
  <c r="P50" i="76"/>
  <c r="O50" i="76"/>
  <c r="N50" i="76"/>
  <c r="M50" i="76"/>
  <c r="L50" i="76"/>
  <c r="K50" i="76"/>
  <c r="J50" i="76"/>
  <c r="I50" i="76"/>
  <c r="H50" i="76"/>
  <c r="G50" i="76"/>
  <c r="F50" i="76"/>
  <c r="E50" i="76"/>
  <c r="P36" i="76"/>
  <c r="P94" i="76" s="1"/>
  <c r="O36" i="76"/>
  <c r="O94" i="76" s="1"/>
  <c r="N36" i="76"/>
  <c r="N94" i="76" s="1"/>
  <c r="M36" i="76"/>
  <c r="M94" i="76" s="1"/>
  <c r="L36" i="76"/>
  <c r="L94" i="76" s="1"/>
  <c r="K36" i="76"/>
  <c r="K94" i="76" s="1"/>
  <c r="J36" i="76"/>
  <c r="J94" i="76" s="1"/>
  <c r="I36" i="76"/>
  <c r="I94" i="76" s="1"/>
  <c r="H36" i="76"/>
  <c r="H94" i="76" s="1"/>
  <c r="G36" i="76"/>
  <c r="G94" i="76" s="1"/>
  <c r="F36" i="76"/>
  <c r="F94" i="76" s="1"/>
  <c r="P22" i="76"/>
  <c r="O22" i="76"/>
  <c r="N22" i="76"/>
  <c r="M22" i="76"/>
  <c r="L22" i="76"/>
  <c r="K22" i="76"/>
  <c r="J22" i="76"/>
  <c r="I22" i="76"/>
  <c r="H22" i="76"/>
  <c r="G22" i="76"/>
  <c r="F22" i="76"/>
  <c r="E22" i="76"/>
  <c r="P17" i="76"/>
  <c r="O17" i="76"/>
  <c r="O25" i="76" s="1"/>
  <c r="N17" i="76"/>
  <c r="N25" i="76" s="1"/>
  <c r="M17" i="76"/>
  <c r="L17" i="76"/>
  <c r="L25" i="76" s="1"/>
  <c r="K17" i="76"/>
  <c r="K25" i="76" s="1"/>
  <c r="J17" i="76"/>
  <c r="J25" i="76" s="1"/>
  <c r="I17" i="76"/>
  <c r="I25" i="76" s="1"/>
  <c r="H17" i="76"/>
  <c r="H25" i="76" s="1"/>
  <c r="G17" i="76"/>
  <c r="G25" i="76" s="1"/>
  <c r="F17" i="76"/>
  <c r="F25" i="76" s="1"/>
  <c r="E17" i="76"/>
  <c r="E25" i="76" s="1"/>
  <c r="P25" i="76"/>
  <c r="E33" i="76"/>
  <c r="E35" i="76" s="1"/>
  <c r="F33" i="76"/>
  <c r="F35" i="76" s="1"/>
  <c r="G33" i="76"/>
  <c r="H33" i="76"/>
  <c r="I33" i="76"/>
  <c r="J33" i="76"/>
  <c r="K33" i="76"/>
  <c r="L33" i="76"/>
  <c r="M33" i="76"/>
  <c r="N33" i="76"/>
  <c r="O33" i="76"/>
  <c r="P33" i="76"/>
  <c r="M25" i="76" l="1"/>
  <c r="M35" i="76"/>
  <c r="O35" i="76"/>
  <c r="N35" i="76"/>
  <c r="J35" i="76"/>
  <c r="K35" i="76"/>
  <c r="I35" i="76"/>
  <c r="P35" i="76"/>
  <c r="H35" i="76"/>
  <c r="G35" i="76"/>
  <c r="L35" i="76"/>
  <c r="Q66" i="76" l="1"/>
  <c r="R76" i="76" l="1"/>
  <c r="S76" i="76" s="1"/>
  <c r="R75" i="76"/>
  <c r="S75" i="76" s="1"/>
  <c r="R66" i="76"/>
  <c r="S66" i="76" s="1"/>
  <c r="Q35" i="76"/>
  <c r="Q36" i="76"/>
  <c r="Q34" i="76"/>
  <c r="Q25" i="76"/>
  <c r="M104" i="77"/>
  <c r="M103" i="77"/>
  <c r="Q89" i="77"/>
  <c r="O87" i="77"/>
  <c r="M87" i="77"/>
  <c r="L87" i="77"/>
  <c r="J87" i="77"/>
  <c r="I87" i="77"/>
  <c r="H87" i="77"/>
  <c r="G87" i="77"/>
  <c r="F87" i="77"/>
  <c r="E87" i="77"/>
  <c r="Q86" i="77"/>
  <c r="Q85" i="77"/>
  <c r="Q84" i="77"/>
  <c r="Q83" i="77"/>
  <c r="Q82" i="77"/>
  <c r="Q81" i="77"/>
  <c r="Q80" i="77"/>
  <c r="Q79" i="77"/>
  <c r="Q78" i="77"/>
  <c r="Q77" i="77"/>
  <c r="Q76" i="77"/>
  <c r="Q75" i="77"/>
  <c r="Q74" i="77"/>
  <c r="Q73" i="77"/>
  <c r="Q72" i="77"/>
  <c r="Q71" i="77"/>
  <c r="Q70" i="77"/>
  <c r="Q69" i="77"/>
  <c r="P87" i="77"/>
  <c r="Q65" i="77"/>
  <c r="P64" i="77"/>
  <c r="O64" i="77"/>
  <c r="N64" i="77"/>
  <c r="M64" i="77"/>
  <c r="L64" i="77"/>
  <c r="K64" i="77"/>
  <c r="J64" i="77"/>
  <c r="I64" i="77"/>
  <c r="H64" i="77"/>
  <c r="G64" i="77"/>
  <c r="F64" i="77"/>
  <c r="E64" i="77"/>
  <c r="Q63" i="77"/>
  <c r="Q62" i="77"/>
  <c r="P60" i="77"/>
  <c r="O60" i="77"/>
  <c r="N60" i="77"/>
  <c r="M60" i="77"/>
  <c r="L60" i="77"/>
  <c r="K60" i="77"/>
  <c r="J60" i="77"/>
  <c r="I60" i="77"/>
  <c r="H60" i="77"/>
  <c r="G60" i="77"/>
  <c r="F60" i="77"/>
  <c r="E60" i="77"/>
  <c r="Q59" i="77"/>
  <c r="Q58" i="77"/>
  <c r="Q57" i="77"/>
  <c r="Q56" i="77"/>
  <c r="Q55" i="77"/>
  <c r="Q54" i="77"/>
  <c r="P53" i="77"/>
  <c r="O53" i="77"/>
  <c r="N53" i="77"/>
  <c r="M53" i="77"/>
  <c r="L53" i="77"/>
  <c r="K53" i="77"/>
  <c r="J53" i="77"/>
  <c r="I53" i="77"/>
  <c r="H53" i="77"/>
  <c r="G53" i="77"/>
  <c r="F53" i="77"/>
  <c r="E53" i="77"/>
  <c r="Q52" i="77"/>
  <c r="P50" i="77"/>
  <c r="O50" i="77"/>
  <c r="N50" i="77"/>
  <c r="M50" i="77"/>
  <c r="L50" i="77"/>
  <c r="K50" i="77"/>
  <c r="J50" i="77"/>
  <c r="I50" i="77"/>
  <c r="H50" i="77"/>
  <c r="G50" i="77"/>
  <c r="F50" i="77"/>
  <c r="E50" i="77"/>
  <c r="Q49" i="77"/>
  <c r="Q48" i="77"/>
  <c r="Q47" i="77"/>
  <c r="Q46" i="77"/>
  <c r="P45" i="77"/>
  <c r="N45" i="77"/>
  <c r="M45" i="77"/>
  <c r="L45" i="77"/>
  <c r="K45" i="77"/>
  <c r="J45" i="77"/>
  <c r="I45" i="77"/>
  <c r="H45" i="77"/>
  <c r="G45" i="77"/>
  <c r="F45" i="77"/>
  <c r="E45" i="77"/>
  <c r="O45" i="77"/>
  <c r="Q34" i="77"/>
  <c r="Q33" i="77"/>
  <c r="Q32" i="77"/>
  <c r="Q31" i="77"/>
  <c r="Q30" i="77"/>
  <c r="Q27" i="77"/>
  <c r="Q25" i="77"/>
  <c r="Q20" i="77"/>
  <c r="Q19" i="77"/>
  <c r="Q16" i="77"/>
  <c r="Q15" i="77"/>
  <c r="P17" i="77"/>
  <c r="P28" i="77" s="1"/>
  <c r="O17" i="77"/>
  <c r="O28" i="77" s="1"/>
  <c r="N17" i="77"/>
  <c r="N28" i="77" s="1"/>
  <c r="M17" i="77"/>
  <c r="M28" i="77" s="1"/>
  <c r="L17" i="77"/>
  <c r="L28" i="77" s="1"/>
  <c r="K17" i="77"/>
  <c r="K28" i="77" s="1"/>
  <c r="J17" i="77"/>
  <c r="J28" i="77" s="1"/>
  <c r="I17" i="77"/>
  <c r="H17" i="77"/>
  <c r="H28" i="77" s="1"/>
  <c r="G17" i="77"/>
  <c r="G28" i="77" s="1"/>
  <c r="F17" i="77"/>
  <c r="F28" i="77" s="1"/>
  <c r="Q13" i="77"/>
  <c r="Q91" i="76"/>
  <c r="P89" i="76"/>
  <c r="O89" i="76"/>
  <c r="N89" i="76"/>
  <c r="M89" i="76"/>
  <c r="L89" i="76"/>
  <c r="K89" i="76"/>
  <c r="J89" i="76"/>
  <c r="I89" i="76"/>
  <c r="H89" i="76"/>
  <c r="G89" i="76"/>
  <c r="F89" i="76"/>
  <c r="E89" i="76"/>
  <c r="Q88" i="76"/>
  <c r="Q87" i="76"/>
  <c r="Q86" i="76"/>
  <c r="Q85" i="76"/>
  <c r="Q84" i="76"/>
  <c r="Q83" i="76"/>
  <c r="P81" i="76"/>
  <c r="O81" i="76"/>
  <c r="N81" i="76"/>
  <c r="M81" i="76"/>
  <c r="L81" i="76"/>
  <c r="K81" i="76"/>
  <c r="J81" i="76"/>
  <c r="I81" i="76"/>
  <c r="H81" i="76"/>
  <c r="H90" i="76" s="1"/>
  <c r="H92" i="76" s="1"/>
  <c r="G81" i="76"/>
  <c r="F81" i="76"/>
  <c r="E81" i="76"/>
  <c r="Q80" i="76"/>
  <c r="Q79" i="76"/>
  <c r="Q78" i="76"/>
  <c r="Q77" i="76"/>
  <c r="Q72" i="76"/>
  <c r="P70" i="76"/>
  <c r="O70" i="76"/>
  <c r="N70" i="76"/>
  <c r="M70" i="76"/>
  <c r="L70" i="76"/>
  <c r="K70" i="76"/>
  <c r="J70" i="76"/>
  <c r="I70" i="76"/>
  <c r="H70" i="76"/>
  <c r="G70" i="76"/>
  <c r="F70" i="76"/>
  <c r="E70" i="76"/>
  <c r="Q69" i="76"/>
  <c r="Q68" i="76"/>
  <c r="Q67" i="76"/>
  <c r="Q63" i="76"/>
  <c r="Q62" i="76"/>
  <c r="Q59" i="76"/>
  <c r="Q58" i="76"/>
  <c r="Q57" i="76"/>
  <c r="Q60" i="76" s="1"/>
  <c r="Q54" i="76"/>
  <c r="Q53" i="76"/>
  <c r="P61" i="76"/>
  <c r="Q49" i="76"/>
  <c r="Q48" i="76"/>
  <c r="G61" i="76"/>
  <c r="P44" i="76"/>
  <c r="P64" i="76" s="1"/>
  <c r="O44" i="76"/>
  <c r="N44" i="76"/>
  <c r="M44" i="76"/>
  <c r="L44" i="76"/>
  <c r="K44" i="76"/>
  <c r="Q43" i="76"/>
  <c r="Q42" i="76"/>
  <c r="J44" i="76"/>
  <c r="I44" i="76"/>
  <c r="H44" i="76"/>
  <c r="G44" i="76"/>
  <c r="G64" i="76" s="1"/>
  <c r="F44" i="76"/>
  <c r="E44" i="76"/>
  <c r="Q39" i="76"/>
  <c r="Q38" i="76"/>
  <c r="Q32" i="76"/>
  <c r="Q31" i="76"/>
  <c r="Q30" i="76"/>
  <c r="Q29" i="76"/>
  <c r="Q28" i="76"/>
  <c r="Q27" i="76"/>
  <c r="Q24" i="76"/>
  <c r="Q23" i="76"/>
  <c r="Q21" i="76"/>
  <c r="Q20" i="76"/>
  <c r="I37" i="76"/>
  <c r="Q18" i="76"/>
  <c r="Q16" i="76"/>
  <c r="Q15" i="76"/>
  <c r="Q14" i="76"/>
  <c r="Q13" i="76"/>
  <c r="Q12" i="76"/>
  <c r="Q11" i="76"/>
  <c r="Q70" i="76" l="1"/>
  <c r="F90" i="76"/>
  <c r="F92" i="76" s="1"/>
  <c r="J90" i="76"/>
  <c r="J92" i="76" s="1"/>
  <c r="N90" i="76"/>
  <c r="N92" i="76" s="1"/>
  <c r="I18" i="77"/>
  <c r="Q18" i="77" s="1"/>
  <c r="P71" i="76"/>
  <c r="Q67" i="77"/>
  <c r="Q89" i="76"/>
  <c r="L90" i="76"/>
  <c r="L92" i="76" s="1"/>
  <c r="P90" i="76"/>
  <c r="P92" i="76" s="1"/>
  <c r="Q14" i="77"/>
  <c r="Q17" i="77" s="1"/>
  <c r="K87" i="77"/>
  <c r="K88" i="77" s="1"/>
  <c r="K90" i="77" s="1"/>
  <c r="Q68" i="77"/>
  <c r="N87" i="77"/>
  <c r="N88" i="77" s="1"/>
  <c r="N90" i="77" s="1"/>
  <c r="Q53" i="77"/>
  <c r="Q64" i="77"/>
  <c r="F88" i="77"/>
  <c r="F90" i="77" s="1"/>
  <c r="J88" i="77"/>
  <c r="J90" i="77" s="1"/>
  <c r="Q50" i="77"/>
  <c r="M37" i="76"/>
  <c r="N61" i="76"/>
  <c r="N64" i="76" s="1"/>
  <c r="N71" i="76" s="1"/>
  <c r="L61" i="76"/>
  <c r="L64" i="76" s="1"/>
  <c r="Q17" i="76"/>
  <c r="I61" i="76"/>
  <c r="I64" i="76" s="1"/>
  <c r="I71" i="76" s="1"/>
  <c r="Q33" i="76"/>
  <c r="Q52" i="76"/>
  <c r="Q55" i="76" s="1"/>
  <c r="Q94" i="76"/>
  <c r="H37" i="76"/>
  <c r="L37" i="76"/>
  <c r="P37" i="76"/>
  <c r="N37" i="76"/>
  <c r="G71" i="76"/>
  <c r="Q47" i="76"/>
  <c r="Q50" i="76" s="1"/>
  <c r="E61" i="76"/>
  <c r="E64" i="76" s="1"/>
  <c r="E71" i="76" s="1"/>
  <c r="E93" i="76" s="1"/>
  <c r="H61" i="76"/>
  <c r="K61" i="76"/>
  <c r="O61" i="76"/>
  <c r="Q81" i="76"/>
  <c r="I90" i="76"/>
  <c r="I92" i="76" s="1"/>
  <c r="M90" i="76"/>
  <c r="M92" i="76" s="1"/>
  <c r="G90" i="76"/>
  <c r="G92" i="76" s="1"/>
  <c r="K90" i="76"/>
  <c r="K92" i="76" s="1"/>
  <c r="O90" i="76"/>
  <c r="O92" i="76" s="1"/>
  <c r="Q41" i="76"/>
  <c r="M61" i="76"/>
  <c r="H88" i="77"/>
  <c r="H90" i="77" s="1"/>
  <c r="G88" i="77"/>
  <c r="G90" i="77" s="1"/>
  <c r="O88" i="77"/>
  <c r="O90" i="77" s="1"/>
  <c r="Q45" i="77"/>
  <c r="M88" i="77"/>
  <c r="M90" i="77" s="1"/>
  <c r="L88" i="77"/>
  <c r="L90" i="77" s="1"/>
  <c r="P88" i="77"/>
  <c r="P90" i="77" s="1"/>
  <c r="Q60" i="77"/>
  <c r="E17" i="77"/>
  <c r="E28" i="77" s="1"/>
  <c r="J37" i="76"/>
  <c r="Q44" i="76"/>
  <c r="F37" i="76"/>
  <c r="G37" i="76"/>
  <c r="K37" i="76"/>
  <c r="O37" i="76"/>
  <c r="F61" i="76"/>
  <c r="J61" i="76"/>
  <c r="E90" i="76"/>
  <c r="E92" i="76" s="1"/>
  <c r="Q19" i="76"/>
  <c r="Q22" i="76" s="1"/>
  <c r="M64" i="76" l="1"/>
  <c r="M71" i="76" s="1"/>
  <c r="H64" i="76"/>
  <c r="H71" i="76" s="1"/>
  <c r="L71" i="76"/>
  <c r="L73" i="76" s="1"/>
  <c r="O64" i="76"/>
  <c r="O71" i="76" s="1"/>
  <c r="K64" i="76"/>
  <c r="K71" i="76" s="1"/>
  <c r="J64" i="76"/>
  <c r="J71" i="76" s="1"/>
  <c r="F64" i="76"/>
  <c r="F71" i="76" s="1"/>
  <c r="I28" i="77"/>
  <c r="I88" i="77" s="1"/>
  <c r="I90" i="77" s="1"/>
  <c r="G73" i="76"/>
  <c r="G93" i="76"/>
  <c r="G95" i="76" s="1"/>
  <c r="I73" i="76"/>
  <c r="I93" i="76"/>
  <c r="I95" i="76" s="1"/>
  <c r="N73" i="76"/>
  <c r="N93" i="76"/>
  <c r="N95" i="76" s="1"/>
  <c r="P73" i="76"/>
  <c r="P93" i="76"/>
  <c r="P95" i="76" s="1"/>
  <c r="Q87" i="77"/>
  <c r="E88" i="77"/>
  <c r="Q90" i="76"/>
  <c r="Q92" i="76" s="1"/>
  <c r="Q61" i="76"/>
  <c r="E73" i="76"/>
  <c r="E37" i="76"/>
  <c r="Q37" i="76" s="1"/>
  <c r="L93" i="76" l="1"/>
  <c r="L95" i="76" s="1"/>
  <c r="K73" i="76"/>
  <c r="K93" i="76"/>
  <c r="K95" i="76" s="1"/>
  <c r="Q64" i="76"/>
  <c r="F93" i="76"/>
  <c r="F95" i="76" s="1"/>
  <c r="Q71" i="76"/>
  <c r="F73" i="76"/>
  <c r="H93" i="76"/>
  <c r="H95" i="76" s="1"/>
  <c r="H73" i="76"/>
  <c r="J93" i="76"/>
  <c r="J95" i="76" s="1"/>
  <c r="J73" i="76"/>
  <c r="O73" i="76"/>
  <c r="O93" i="76"/>
  <c r="O95" i="76" s="1"/>
  <c r="M93" i="76"/>
  <c r="M95" i="76" s="1"/>
  <c r="M73" i="76"/>
  <c r="Q28" i="77"/>
  <c r="Q88" i="77"/>
  <c r="E90" i="77"/>
  <c r="E95" i="76"/>
  <c r="Q73" i="76" l="1"/>
  <c r="Q93" i="76"/>
  <c r="Q95" i="76" s="1"/>
  <c r="Q90" i="77"/>
  <c r="J14" i="69" l="1"/>
  <c r="Q72" i="68" l="1"/>
  <c r="Q70" i="68"/>
  <c r="R77" i="83" s="1"/>
  <c r="S77" i="83" s="1"/>
  <c r="R74" i="77"/>
  <c r="S74" i="77" s="1"/>
  <c r="R73" i="77"/>
  <c r="S73" i="77" s="1"/>
  <c r="R71" i="77"/>
  <c r="S71" i="77" s="1"/>
  <c r="Q60" i="68"/>
  <c r="Q53" i="68"/>
  <c r="P52" i="68"/>
  <c r="O52" i="68"/>
  <c r="J52" i="68"/>
  <c r="I52" i="68"/>
  <c r="H52" i="68"/>
  <c r="G52" i="68"/>
  <c r="F52" i="68"/>
  <c r="E52" i="68"/>
  <c r="Q50" i="68"/>
  <c r="Q45" i="68"/>
  <c r="Q41" i="68"/>
  <c r="R40" i="77" s="1"/>
  <c r="Q30" i="68"/>
  <c r="Q93" i="67"/>
  <c r="R122" i="82" s="1"/>
  <c r="S122" i="82" s="1"/>
  <c r="Z121" i="82" s="1"/>
  <c r="Q36" i="67"/>
  <c r="Q35" i="67"/>
  <c r="Q13" i="67"/>
  <c r="Q12" i="67"/>
  <c r="Q11" i="67"/>
  <c r="S13" i="78" l="1"/>
  <c r="T13" i="78" s="1"/>
  <c r="R78" i="77"/>
  <c r="S78" i="77" s="1"/>
  <c r="R63" i="77"/>
  <c r="S63" i="77" s="1"/>
  <c r="S59" i="79"/>
  <c r="T59" i="79" s="1"/>
  <c r="R80" i="77"/>
  <c r="S80" i="77" s="1"/>
  <c r="S77" i="79"/>
  <c r="T77" i="79" s="1"/>
  <c r="R85" i="76"/>
  <c r="S85" i="76" s="1"/>
  <c r="S87" i="78"/>
  <c r="T87" i="78" s="1"/>
  <c r="G137" i="63" l="1"/>
  <c r="G136" i="63"/>
  <c r="G131" i="63"/>
  <c r="G130" i="63"/>
  <c r="F129" i="63"/>
  <c r="F128" i="63"/>
  <c r="G104" i="63"/>
  <c r="F99" i="63"/>
  <c r="F92" i="63"/>
  <c r="E79" i="63"/>
  <c r="E78" i="63"/>
  <c r="E77" i="63"/>
  <c r="E76" i="63"/>
  <c r="E75" i="63"/>
  <c r="E74" i="63"/>
  <c r="F73" i="63"/>
  <c r="E72" i="63"/>
  <c r="E71" i="63"/>
  <c r="E70" i="63"/>
  <c r="E69" i="63"/>
  <c r="E68" i="63"/>
  <c r="E67" i="63"/>
  <c r="E66" i="63"/>
  <c r="E65" i="63"/>
  <c r="F64" i="63"/>
  <c r="E63" i="63"/>
  <c r="E62" i="63"/>
  <c r="E61" i="63"/>
  <c r="E60" i="63"/>
  <c r="E59" i="63"/>
  <c r="E58" i="63"/>
  <c r="E57" i="63"/>
  <c r="E56" i="63"/>
  <c r="F55" i="63"/>
  <c r="F54" i="63"/>
  <c r="F53" i="63"/>
  <c r="E52" i="63"/>
  <c r="E51" i="63"/>
  <c r="E50" i="63"/>
  <c r="E49" i="63"/>
  <c r="E48" i="63"/>
  <c r="E47" i="63"/>
  <c r="E46" i="63"/>
  <c r="E45" i="63"/>
  <c r="E43" i="63"/>
  <c r="E42" i="63"/>
  <c r="E41" i="63"/>
  <c r="E40" i="63"/>
  <c r="E39" i="63"/>
  <c r="E38" i="63"/>
  <c r="E37" i="63"/>
  <c r="E36" i="63"/>
  <c r="E35" i="63"/>
  <c r="E32" i="63"/>
  <c r="E31" i="63"/>
  <c r="E30" i="63"/>
  <c r="E29" i="63"/>
  <c r="E27" i="63"/>
  <c r="F26" i="63"/>
  <c r="E25" i="63"/>
  <c r="E24" i="63"/>
  <c r="E23" i="63"/>
  <c r="E21" i="63"/>
  <c r="E20" i="63"/>
  <c r="F18" i="63"/>
  <c r="E17" i="63"/>
  <c r="E16" i="63"/>
  <c r="F15" i="63" s="1"/>
  <c r="E14" i="63"/>
  <c r="E13" i="63"/>
  <c r="F12" i="63"/>
  <c r="E11" i="63"/>
  <c r="F9" i="63" s="1"/>
  <c r="G127" i="63" l="1"/>
  <c r="G138" i="63" s="1"/>
  <c r="F19" i="63"/>
  <c r="F22" i="63"/>
  <c r="F44" i="63"/>
  <c r="F34" i="63"/>
  <c r="G91" i="63"/>
  <c r="G118" i="63" s="1"/>
  <c r="G140" i="63" l="1"/>
  <c r="G33" i="63"/>
  <c r="G8" i="63"/>
  <c r="G80" i="63" l="1"/>
  <c r="E47" i="64" l="1"/>
  <c r="D54" i="64" l="1"/>
  <c r="D39" i="64" l="1"/>
  <c r="D32" i="64" l="1"/>
  <c r="D33" i="64" l="1"/>
  <c r="E31" i="64" s="1"/>
  <c r="D40" i="64"/>
  <c r="E38" i="64" s="1"/>
  <c r="E29" i="64"/>
  <c r="E55" i="64" l="1"/>
  <c r="E56" i="64" l="1"/>
  <c r="D44" i="64" l="1"/>
  <c r="D43" i="64" l="1"/>
  <c r="D28" i="64" l="1"/>
  <c r="D46" i="64" l="1"/>
  <c r="D17" i="64" l="1"/>
  <c r="D45" i="64" l="1"/>
  <c r="E42" i="64" s="1"/>
  <c r="D16" i="64" l="1"/>
  <c r="D14" i="64" l="1"/>
  <c r="D15" i="64" l="1"/>
  <c r="D11" i="64" l="1"/>
  <c r="D21" i="64" l="1"/>
  <c r="D20" i="64" l="1"/>
  <c r="E19" i="64" s="1"/>
  <c r="D13" i="64" l="1"/>
  <c r="D9" i="64" l="1"/>
  <c r="E8" i="64" s="1"/>
  <c r="D12" i="64" l="1"/>
  <c r="E10" i="64" s="1"/>
  <c r="F23" i="64" s="1"/>
  <c r="E41" i="64" l="1"/>
  <c r="D51" i="64" l="1"/>
  <c r="D49" i="64" l="1"/>
  <c r="D50" i="64" l="1"/>
  <c r="D52" i="64" l="1"/>
  <c r="D53" i="64" l="1"/>
  <c r="E48" i="64" s="1"/>
  <c r="D27" i="64" l="1"/>
  <c r="E26" i="64" s="1"/>
  <c r="F58" i="64" s="1"/>
  <c r="F60" i="64" s="1"/>
  <c r="F62" i="64" s="1"/>
  <c r="F64" i="64" s="1"/>
  <c r="E30" i="64" l="1"/>
  <c r="D36" i="64" l="1"/>
  <c r="D35" i="64" l="1"/>
  <c r="D37" i="64" l="1"/>
  <c r="E34" i="64" s="1"/>
  <c r="Q20" i="67" l="1"/>
  <c r="R34" i="82" s="1"/>
  <c r="S34" i="82" s="1"/>
  <c r="Z33" i="82" s="1"/>
  <c r="S23" i="78" l="1"/>
  <c r="T23" i="78" s="1"/>
  <c r="R23" i="76"/>
  <c r="S23" i="76" s="1"/>
  <c r="Q35" i="68" l="1"/>
  <c r="R34" i="77" s="1"/>
  <c r="S34" i="77" s="1"/>
  <c r="Q25" i="67" l="1"/>
  <c r="R39" i="82" s="1"/>
  <c r="S39" i="82" s="1"/>
  <c r="Z38" i="82" s="1"/>
  <c r="R62" i="77" l="1"/>
  <c r="S62" i="77" s="1"/>
  <c r="S58" i="79"/>
  <c r="R28" i="76"/>
  <c r="S28" i="76" s="1"/>
  <c r="S28" i="78"/>
  <c r="T28" i="78" s="1"/>
  <c r="R64" i="77" l="1"/>
  <c r="S64" i="77" s="1"/>
  <c r="S60" i="79"/>
  <c r="T58" i="79"/>
  <c r="T60" i="79" s="1"/>
  <c r="R84" i="77" l="1"/>
  <c r="S84" i="77" s="1"/>
  <c r="P66" i="67" l="1"/>
  <c r="N52" i="68" l="1"/>
  <c r="R83" i="77" l="1"/>
  <c r="S83" i="77" s="1"/>
  <c r="R23" i="77" l="1"/>
  <c r="S23" i="77" s="1"/>
  <c r="R82" i="77" l="1"/>
  <c r="S82" i="77" s="1"/>
  <c r="R42" i="77" l="1"/>
  <c r="S42" i="77" s="1"/>
  <c r="R81" i="77"/>
  <c r="S81" i="77" s="1"/>
  <c r="R41" i="77" l="1"/>
  <c r="S41" i="77" s="1"/>
  <c r="R22" i="77" l="1"/>
  <c r="S22" i="77" s="1"/>
  <c r="L52" i="68" l="1"/>
  <c r="P49" i="68" l="1"/>
  <c r="P30" i="67" l="1"/>
  <c r="P22" i="67" l="1"/>
  <c r="P75" i="68" l="1"/>
  <c r="S64" i="79" l="1"/>
  <c r="T64" i="79" s="1"/>
  <c r="R68" i="77"/>
  <c r="S68" i="77" s="1"/>
  <c r="S73" i="79"/>
  <c r="T73" i="79" s="1"/>
  <c r="R77" i="77"/>
  <c r="S77" i="77" s="1"/>
  <c r="R76" i="77" l="1"/>
  <c r="S76" i="77" s="1"/>
  <c r="S72" i="79"/>
  <c r="T72" i="79" s="1"/>
  <c r="R67" i="77" l="1"/>
  <c r="S63" i="79"/>
  <c r="S67" i="77" l="1"/>
  <c r="T63" i="79"/>
  <c r="S80" i="79" l="1"/>
  <c r="U80" i="79" s="1"/>
  <c r="Q58" i="67" l="1"/>
  <c r="R88" i="82" s="1"/>
  <c r="S88" i="82" s="1"/>
  <c r="Z87" i="82" s="1"/>
  <c r="S62" i="78" l="1"/>
  <c r="T62" i="78" s="1"/>
  <c r="R62" i="76"/>
  <c r="S62" i="76" s="1"/>
  <c r="P59" i="68" l="1"/>
  <c r="R20" i="77" l="1"/>
  <c r="S20" i="77" s="1"/>
  <c r="S22" i="79"/>
  <c r="T22" i="79" s="1"/>
  <c r="S21" i="79" l="1"/>
  <c r="T21" i="79" s="1"/>
  <c r="R18" i="77"/>
  <c r="S18" i="77" s="1"/>
  <c r="R19" i="77" l="1"/>
  <c r="S19" i="77" s="1"/>
  <c r="S16" i="79"/>
  <c r="T16" i="79" s="1"/>
  <c r="S15" i="79" l="1"/>
  <c r="R17" i="77"/>
  <c r="S17" i="77" l="1"/>
  <c r="R28" i="77"/>
  <c r="T15" i="79"/>
  <c r="S28" i="77" l="1"/>
  <c r="S17" i="79" l="1"/>
  <c r="T17" i="79" l="1"/>
  <c r="Q25" i="68" l="1"/>
  <c r="R26" i="83" s="1"/>
  <c r="S26" i="83" s="1"/>
  <c r="S25" i="79" l="1"/>
  <c r="R25" i="77"/>
  <c r="S25" i="77" s="1"/>
  <c r="T25" i="79" l="1"/>
  <c r="T28" i="79" s="1"/>
  <c r="S28" i="79"/>
  <c r="L14" i="69" l="1"/>
  <c r="I29" i="80" l="1"/>
  <c r="I31" i="80" s="1"/>
  <c r="I44" i="80" s="1"/>
  <c r="I48" i="80" s="1"/>
  <c r="O73" i="67" l="1"/>
  <c r="O30" i="67" l="1"/>
  <c r="O77" i="67"/>
  <c r="O37" i="67"/>
  <c r="O44" i="67"/>
  <c r="O49" i="68"/>
  <c r="O89" i="67" l="1"/>
  <c r="Q88" i="67" l="1"/>
  <c r="N73" i="67"/>
  <c r="N30" i="67"/>
  <c r="N77" i="67" l="1"/>
  <c r="N37" i="67"/>
  <c r="R117" i="82"/>
  <c r="S117" i="82" s="1"/>
  <c r="Z116" i="82" s="1"/>
  <c r="R80" i="76"/>
  <c r="S80" i="76" s="1"/>
  <c r="S82" i="78"/>
  <c r="T82" i="78" s="1"/>
  <c r="N49" i="68"/>
  <c r="N44" i="67" l="1"/>
  <c r="N89" i="67"/>
  <c r="M77" i="67" l="1"/>
  <c r="M52" i="68"/>
  <c r="M73" i="67" l="1"/>
  <c r="M49" i="68"/>
  <c r="M37" i="67"/>
  <c r="M30" i="67"/>
  <c r="M89" i="67"/>
  <c r="M44" i="67" l="1"/>
  <c r="L73" i="67" l="1"/>
  <c r="Q50" i="67"/>
  <c r="R63" i="82" s="1"/>
  <c r="S63" i="82" s="1"/>
  <c r="Z62" i="82" s="1"/>
  <c r="Q73" i="68" l="1"/>
  <c r="L77" i="67"/>
  <c r="L37" i="67"/>
  <c r="L49" i="68"/>
  <c r="L30" i="67"/>
  <c r="Q83" i="67"/>
  <c r="R112" i="82" s="1"/>
  <c r="S112" i="82" s="1"/>
  <c r="Z111" i="82" s="1"/>
  <c r="L44" i="67"/>
  <c r="R85" i="77" l="1"/>
  <c r="S85" i="77" s="1"/>
  <c r="S78" i="79"/>
  <c r="T78" i="79" s="1"/>
  <c r="Q71" i="68" l="1"/>
  <c r="K73" i="67" l="1"/>
  <c r="K37" i="67"/>
  <c r="S74" i="79"/>
  <c r="T74" i="79" s="1"/>
  <c r="R79" i="77"/>
  <c r="S79" i="77" s="1"/>
  <c r="Q51" i="68"/>
  <c r="K52" i="68"/>
  <c r="Q52" i="68" s="1"/>
  <c r="R55" i="83" l="1"/>
  <c r="S55" i="83" s="1"/>
  <c r="R52" i="77"/>
  <c r="S48" i="79"/>
  <c r="K77" i="67"/>
  <c r="K89" i="67" s="1"/>
  <c r="K44" i="67"/>
  <c r="K49" i="68"/>
  <c r="T48" i="79" l="1"/>
  <c r="T49" i="79" s="1"/>
  <c r="S49" i="79"/>
  <c r="R53" i="77"/>
  <c r="S53" i="77" s="1"/>
  <c r="S52" i="77"/>
  <c r="Q75" i="67" l="1"/>
  <c r="Q42" i="67"/>
  <c r="J77" i="67" l="1"/>
  <c r="J44" i="67"/>
  <c r="J73" i="67"/>
  <c r="J37" i="67"/>
  <c r="J49" i="68"/>
  <c r="I49" i="68" l="1"/>
  <c r="N66" i="67" l="1"/>
  <c r="O66" i="67" l="1"/>
  <c r="L66" i="67" l="1"/>
  <c r="O75" i="68"/>
  <c r="N75" i="68"/>
  <c r="M75" i="68"/>
  <c r="L75" i="68" l="1"/>
  <c r="L89" i="67" l="1"/>
  <c r="K66" i="67" l="1"/>
  <c r="K75" i="68"/>
  <c r="J66" i="67" l="1"/>
  <c r="J22" i="67" l="1"/>
  <c r="O22" i="67"/>
  <c r="O32" i="67" s="1"/>
  <c r="M22" i="67" l="1"/>
  <c r="M32" i="67" s="1"/>
  <c r="L22" i="67"/>
  <c r="L32" i="67" s="1"/>
  <c r="K22" i="67"/>
  <c r="N22" i="67" l="1"/>
  <c r="N32" i="67" s="1"/>
  <c r="M59" i="68" l="1"/>
  <c r="J89" i="67" l="1"/>
  <c r="J30" i="67" l="1"/>
  <c r="J32" i="67" s="1"/>
  <c r="L59" i="68" l="1"/>
  <c r="O59" i="68" l="1"/>
  <c r="N59" i="68" l="1"/>
  <c r="K59" i="68" l="1"/>
  <c r="J59" i="68" l="1"/>
  <c r="J75" i="68" l="1"/>
  <c r="Q91" i="67" l="1"/>
  <c r="K30" i="67" l="1"/>
  <c r="K32" i="67" s="1"/>
  <c r="Q26" i="67"/>
  <c r="R83" i="76"/>
  <c r="S83" i="76" s="1"/>
  <c r="R120" i="82"/>
  <c r="S85" i="78"/>
  <c r="T85" i="78" s="1"/>
  <c r="S120" i="82" l="1"/>
  <c r="R40" i="82"/>
  <c r="S29" i="78"/>
  <c r="R29" i="76"/>
  <c r="Z119" i="82" l="1"/>
  <c r="S29" i="76"/>
  <c r="T29" i="78"/>
  <c r="S40" i="82"/>
  <c r="Z39" i="82" s="1"/>
  <c r="M66" i="67" l="1"/>
  <c r="Q63" i="67"/>
  <c r="R93" i="82" l="1"/>
  <c r="R67" i="76"/>
  <c r="S67" i="78"/>
  <c r="T67" i="78" l="1"/>
  <c r="S67" i="76"/>
  <c r="S93" i="82"/>
  <c r="Z92" i="82" s="1"/>
  <c r="P32" i="67" l="1"/>
  <c r="P103" i="67" l="1"/>
  <c r="P34" i="67"/>
  <c r="P12" i="68" l="1"/>
  <c r="P17" i="68" l="1"/>
  <c r="N14" i="69"/>
  <c r="P29" i="68" l="1"/>
  <c r="O103" i="67" l="1"/>
  <c r="O34" i="67"/>
  <c r="O12" i="68" l="1"/>
  <c r="O17" i="68" l="1"/>
  <c r="O29" i="68" s="1"/>
  <c r="M14" i="69"/>
  <c r="N12" i="68" l="1"/>
  <c r="N17" i="68" l="1"/>
  <c r="N29" i="68" s="1"/>
  <c r="N103" i="67"/>
  <c r="N34" i="67"/>
  <c r="M12" i="68" l="1"/>
  <c r="M17" i="68"/>
  <c r="M103" i="67"/>
  <c r="K14" i="69"/>
  <c r="M34" i="67"/>
  <c r="M29" i="68" l="1"/>
  <c r="L103" i="67" l="1"/>
  <c r="L34" i="67"/>
  <c r="L17" i="68" l="1"/>
  <c r="L12" i="68"/>
  <c r="K12" i="68" l="1"/>
  <c r="K103" i="67"/>
  <c r="K34" i="67"/>
  <c r="K17" i="68" l="1"/>
  <c r="K29" i="68" s="1"/>
  <c r="I14" i="69"/>
  <c r="Q15" i="68" l="1"/>
  <c r="J12" i="68" l="1"/>
  <c r="J17" i="68"/>
  <c r="J29" i="68" s="1"/>
  <c r="P44" i="68" l="1"/>
  <c r="O44" i="68" l="1"/>
  <c r="O77" i="68"/>
  <c r="O80" i="68" l="1"/>
  <c r="L44" i="68" l="1"/>
  <c r="K44" i="68" l="1"/>
  <c r="K77" i="68" l="1"/>
  <c r="K80" i="68" l="1"/>
  <c r="J44" i="68" l="1"/>
  <c r="J77" i="68" l="1"/>
  <c r="N44" i="68" l="1"/>
  <c r="N77" i="68" l="1"/>
  <c r="M44" i="68"/>
  <c r="M77" i="68" l="1"/>
  <c r="N80" i="68"/>
  <c r="M80" i="68" l="1"/>
  <c r="L29" i="68" l="1"/>
  <c r="L77" i="68" l="1"/>
  <c r="L80" i="68" l="1"/>
  <c r="H14" i="69" l="1"/>
  <c r="J80" i="68" l="1"/>
  <c r="J34" i="67" l="1"/>
  <c r="J103" i="67"/>
  <c r="P77" i="68" l="1"/>
  <c r="Q76" i="68" l="1"/>
  <c r="P80" i="68" l="1"/>
  <c r="P53" i="67" l="1"/>
  <c r="P60" i="67" s="1"/>
  <c r="P67" i="67" s="1"/>
  <c r="P69" i="67" l="1"/>
  <c r="O53" i="67" l="1"/>
  <c r="O60" i="67" s="1"/>
  <c r="O67" i="67" s="1"/>
  <c r="O69" i="67" l="1"/>
  <c r="N53" i="67" l="1"/>
  <c r="N60" i="67" s="1"/>
  <c r="N67" i="67" s="1"/>
  <c r="N69" i="67" l="1"/>
  <c r="M53" i="67" l="1"/>
  <c r="M60" i="67" s="1"/>
  <c r="M67" i="67" s="1"/>
  <c r="M69" i="67" l="1"/>
  <c r="L53" i="67" l="1"/>
  <c r="L60" i="67" s="1"/>
  <c r="L67" i="67" s="1"/>
  <c r="L69" i="67" l="1"/>
  <c r="K53" i="67" l="1"/>
  <c r="K60" i="67" s="1"/>
  <c r="K67" i="67" s="1"/>
  <c r="K69" i="67" l="1"/>
  <c r="P97" i="67" l="1"/>
  <c r="P98" i="67" s="1"/>
  <c r="P102" i="67" l="1"/>
  <c r="P104" i="67" s="1"/>
  <c r="P100" i="67"/>
  <c r="O97" i="67" l="1"/>
  <c r="O98" i="67" s="1"/>
  <c r="O102" i="67" s="1"/>
  <c r="O104" i="67" s="1"/>
  <c r="O100" i="67" l="1"/>
  <c r="N97" i="67" l="1"/>
  <c r="N98" i="67" s="1"/>
  <c r="N100" i="67" l="1"/>
  <c r="N102" i="67"/>
  <c r="N104" i="67" s="1"/>
  <c r="M97" i="67" l="1"/>
  <c r="M98" i="67" s="1"/>
  <c r="M100" i="67" l="1"/>
  <c r="M102" i="67"/>
  <c r="M104" i="67" s="1"/>
  <c r="L97" i="67" l="1"/>
  <c r="L98" i="67" s="1"/>
  <c r="L100" i="67" l="1"/>
  <c r="L102" i="67"/>
  <c r="L104" i="67" s="1"/>
  <c r="K97" i="67" l="1"/>
  <c r="K98" i="67" s="1"/>
  <c r="K100" i="67" l="1"/>
  <c r="K102" i="67"/>
  <c r="K104" i="67" s="1"/>
  <c r="J53" i="67" l="1"/>
  <c r="J60" i="67" s="1"/>
  <c r="J67" i="67" s="1"/>
  <c r="J69" i="67" l="1"/>
  <c r="J97" i="67" l="1"/>
  <c r="J98" i="67" s="1"/>
  <c r="J100" i="67" s="1"/>
  <c r="J102" i="67" l="1"/>
  <c r="J104" i="67" s="1"/>
  <c r="G85" i="80" l="1"/>
  <c r="I85" i="80" s="1"/>
  <c r="I156" i="80" s="1"/>
  <c r="I228" i="80" s="1"/>
  <c r="I300" i="80" s="1"/>
  <c r="I372" i="80" s="1"/>
  <c r="I444" i="80" s="1"/>
  <c r="I516" i="80" s="1"/>
  <c r="I588" i="80" s="1"/>
  <c r="I660" i="80" s="1"/>
  <c r="I732" i="80" s="1"/>
  <c r="I804" i="80" s="1"/>
  <c r="I876" i="80" s="1"/>
  <c r="G13" i="80" s="1"/>
  <c r="G85" i="81"/>
  <c r="I85" i="81" s="1"/>
  <c r="I156" i="81" s="1"/>
  <c r="I228" i="81" s="1"/>
  <c r="I300" i="81" s="1"/>
  <c r="I372" i="81" s="1"/>
  <c r="I444" i="81" s="1"/>
  <c r="I516" i="81" s="1"/>
  <c r="I588" i="81" s="1"/>
  <c r="I660" i="81" s="1"/>
  <c r="I732" i="81" s="1"/>
  <c r="I804" i="81" s="1"/>
  <c r="I876" i="81" s="1"/>
  <c r="G13" i="81" s="1"/>
  <c r="S61" i="82" l="1"/>
  <c r="Z60" i="82" s="1"/>
  <c r="S110" i="82"/>
  <c r="Z109" i="82" s="1"/>
  <c r="G84" i="81" l="1"/>
  <c r="G84" i="80"/>
  <c r="I84" i="80" l="1"/>
  <c r="I84" i="81"/>
  <c r="I155" i="80" l="1"/>
  <c r="I155" i="81"/>
  <c r="I227" i="81" l="1"/>
  <c r="I227" i="80"/>
  <c r="I299" i="81" l="1"/>
  <c r="I299" i="80"/>
  <c r="I371" i="80" l="1"/>
  <c r="I371" i="81"/>
  <c r="I443" i="81" l="1"/>
  <c r="I443" i="80"/>
  <c r="I515" i="80" l="1"/>
  <c r="I515" i="81"/>
  <c r="I587" i="81" l="1"/>
  <c r="I587" i="80"/>
  <c r="I659" i="80" l="1"/>
  <c r="I659" i="81"/>
  <c r="I731" i="81" l="1"/>
  <c r="I731" i="80"/>
  <c r="I803" i="80" l="1"/>
  <c r="I803" i="81"/>
  <c r="I875" i="81" l="1"/>
  <c r="I875" i="80"/>
  <c r="G12" i="80" l="1"/>
  <c r="G12" i="81"/>
  <c r="D111" i="67" l="1"/>
  <c r="D140" i="67" l="1"/>
  <c r="I37" i="67" l="1"/>
  <c r="I73" i="67"/>
  <c r="I12" i="68"/>
  <c r="I30" i="67"/>
  <c r="I44" i="67" l="1"/>
  <c r="I77" i="67"/>
  <c r="I89" i="67" l="1"/>
  <c r="I59" i="68"/>
  <c r="I44" i="68"/>
  <c r="I17" i="68"/>
  <c r="D110" i="68"/>
  <c r="I29" i="68" l="1"/>
  <c r="I103" i="67"/>
  <c r="I53" i="67" l="1"/>
  <c r="I60" i="67" l="1"/>
  <c r="I97" i="67" l="1"/>
  <c r="I98" i="67" s="1"/>
  <c r="D117" i="67"/>
  <c r="D111" i="68" s="1"/>
  <c r="D113" i="68" s="1"/>
  <c r="I100" i="67" l="1"/>
  <c r="G14" i="69" l="1"/>
  <c r="I22" i="67"/>
  <c r="I32" i="67" s="1"/>
  <c r="D90" i="68" l="1"/>
  <c r="I75" i="68"/>
  <c r="I77" i="68" s="1"/>
  <c r="I66" i="67"/>
  <c r="I67" i="67" s="1"/>
  <c r="D131" i="67"/>
  <c r="D143" i="67"/>
  <c r="D134" i="67"/>
  <c r="D92" i="68" l="1"/>
  <c r="D94" i="68" s="1"/>
  <c r="D96" i="68" s="1"/>
  <c r="I69" i="67"/>
  <c r="I102" i="67"/>
  <c r="I104" i="67" s="1"/>
  <c r="I80" i="68"/>
  <c r="D146" i="67" l="1"/>
  <c r="D137" i="67"/>
  <c r="D139" i="67" s="1"/>
  <c r="D141" i="67" s="1"/>
  <c r="H73" i="67" l="1"/>
  <c r="H12" i="68"/>
  <c r="H66" i="67"/>
  <c r="Q23" i="68" l="1"/>
  <c r="AC23" i="68"/>
  <c r="AB23" i="68"/>
  <c r="Z23" i="68"/>
  <c r="AD23" i="68"/>
  <c r="X23" i="68"/>
  <c r="W23" i="68"/>
  <c r="Y23" i="68"/>
  <c r="AE23" i="68"/>
  <c r="AA23" i="68"/>
  <c r="AB51" i="67"/>
  <c r="AC51" i="67"/>
  <c r="X51" i="67"/>
  <c r="Z51" i="67"/>
  <c r="Y51" i="67"/>
  <c r="AD51" i="67"/>
  <c r="W51" i="67"/>
  <c r="AA51" i="67"/>
  <c r="Q51" i="67"/>
  <c r="R64" i="82" s="1"/>
  <c r="S64" i="82" s="1"/>
  <c r="AE51" i="67"/>
  <c r="H37" i="67"/>
  <c r="H49" i="68"/>
  <c r="Z63" i="82" l="1"/>
  <c r="R24" i="83"/>
  <c r="S24" i="83" s="1"/>
  <c r="S23" i="79"/>
  <c r="T23" i="79" s="1"/>
  <c r="F14" i="69" l="1"/>
  <c r="H44" i="67" l="1"/>
  <c r="H77" i="67"/>
  <c r="H17" i="68"/>
  <c r="H29" i="68" l="1"/>
  <c r="H89" i="67"/>
  <c r="H30" i="67"/>
  <c r="D118" i="67"/>
  <c r="H44" i="68" l="1"/>
  <c r="D149" i="67"/>
  <c r="D125" i="67"/>
  <c r="H22" i="67"/>
  <c r="H32" i="67" s="1"/>
  <c r="D121" i="67"/>
  <c r="D108" i="67"/>
  <c r="H97" i="67" l="1"/>
  <c r="H98" i="67" s="1"/>
  <c r="G17" i="68" l="1"/>
  <c r="Q49" i="67"/>
  <c r="R62" i="82" s="1"/>
  <c r="S62" i="82" s="1"/>
  <c r="Z61" i="82" s="1"/>
  <c r="W49" i="67"/>
  <c r="Z49" i="67"/>
  <c r="Y49" i="67"/>
  <c r="V49" i="67"/>
  <c r="U49" i="67"/>
  <c r="AC49" i="67"/>
  <c r="AB49" i="67"/>
  <c r="AE49" i="67"/>
  <c r="AD49" i="67"/>
  <c r="X49" i="67"/>
  <c r="AA49" i="67"/>
  <c r="Q22" i="68"/>
  <c r="R23" i="83" s="1"/>
  <c r="S23" i="83" s="1"/>
  <c r="W22" i="68"/>
  <c r="Y22" i="68"/>
  <c r="U22" i="68"/>
  <c r="V22" i="68"/>
  <c r="X22" i="68"/>
  <c r="AA22" i="68"/>
  <c r="AC22" i="68"/>
  <c r="Z22" i="68"/>
  <c r="AB22" i="68"/>
  <c r="AE22" i="68"/>
  <c r="AD22" i="68"/>
  <c r="F44" i="67"/>
  <c r="G44" i="67"/>
  <c r="F17" i="68"/>
  <c r="V45" i="67" l="1"/>
  <c r="Z45" i="67"/>
  <c r="Q45" i="67"/>
  <c r="R58" i="82" s="1"/>
  <c r="S58" i="82" s="1"/>
  <c r="Z57" i="82" s="1"/>
  <c r="AB45" i="67"/>
  <c r="T45" i="67"/>
  <c r="X45" i="67"/>
  <c r="AA45" i="67"/>
  <c r="U45" i="67"/>
  <c r="W45" i="67"/>
  <c r="AE45" i="67"/>
  <c r="Y45" i="67"/>
  <c r="AC45" i="67"/>
  <c r="AD45" i="67"/>
  <c r="Y47" i="67"/>
  <c r="U47" i="67"/>
  <c r="Z47" i="67"/>
  <c r="T47" i="67"/>
  <c r="X47" i="67"/>
  <c r="V47" i="67"/>
  <c r="AC47" i="67"/>
  <c r="AB47" i="67"/>
  <c r="Q47" i="67"/>
  <c r="R60" i="82" s="1"/>
  <c r="S60" i="82" s="1"/>
  <c r="Z59" i="82" s="1"/>
  <c r="AD47" i="67"/>
  <c r="AA47" i="67"/>
  <c r="AE47" i="67"/>
  <c r="W47" i="67"/>
  <c r="Q20" i="68" l="1"/>
  <c r="R21" i="83" s="1"/>
  <c r="S21" i="83" s="1"/>
  <c r="W20" i="68"/>
  <c r="AD20" i="68"/>
  <c r="T20" i="68"/>
  <c r="AB20" i="68"/>
  <c r="Z20" i="68"/>
  <c r="U20" i="68"/>
  <c r="Y20" i="68"/>
  <c r="AC20" i="68"/>
  <c r="AA20" i="68"/>
  <c r="AE20" i="68"/>
  <c r="V20" i="68"/>
  <c r="X20" i="68"/>
  <c r="V18" i="68"/>
  <c r="Q18" i="68"/>
  <c r="R19" i="83" s="1"/>
  <c r="S19" i="83" s="1"/>
  <c r="AA18" i="68"/>
  <c r="Z18" i="68"/>
  <c r="Y18" i="68"/>
  <c r="AD18" i="68"/>
  <c r="AE18" i="68"/>
  <c r="T18" i="68"/>
  <c r="AC18" i="68"/>
  <c r="U18" i="68"/>
  <c r="AB18" i="68"/>
  <c r="X18" i="68"/>
  <c r="W18" i="68"/>
  <c r="E14" i="69" l="1"/>
  <c r="D14" i="69" l="1"/>
  <c r="G177" i="81" l="1"/>
  <c r="G177" i="80"/>
  <c r="G178" i="80" l="1"/>
  <c r="G187" i="80" s="1"/>
  <c r="I177" i="80"/>
  <c r="G178" i="81"/>
  <c r="G187" i="81" s="1"/>
  <c r="I177" i="81"/>
  <c r="I178" i="81" l="1"/>
  <c r="I249" i="81"/>
  <c r="I249" i="80"/>
  <c r="I178" i="80"/>
  <c r="Y24" i="67" l="1"/>
  <c r="X24" i="67"/>
  <c r="AE24" i="67"/>
  <c r="Q24" i="67"/>
  <c r="V24" i="67"/>
  <c r="AB24" i="67"/>
  <c r="W24" i="67"/>
  <c r="AD24" i="67"/>
  <c r="Z24" i="67"/>
  <c r="AC24" i="67"/>
  <c r="AA24" i="67"/>
  <c r="Y94" i="67"/>
  <c r="Q94" i="67"/>
  <c r="AC94" i="67"/>
  <c r="AA94" i="67"/>
  <c r="AE94" i="67"/>
  <c r="W94" i="67"/>
  <c r="X94" i="67"/>
  <c r="AB94" i="67"/>
  <c r="AD94" i="67"/>
  <c r="Z94" i="67"/>
  <c r="V94" i="67"/>
  <c r="I250" i="80"/>
  <c r="I321" i="80"/>
  <c r="X21" i="67"/>
  <c r="AA21" i="67"/>
  <c r="AE21" i="67"/>
  <c r="Q21" i="67"/>
  <c r="W21" i="67"/>
  <c r="V21" i="67"/>
  <c r="AB21" i="67"/>
  <c r="AD21" i="67"/>
  <c r="Z21" i="67"/>
  <c r="AC21" i="67"/>
  <c r="Y21" i="67"/>
  <c r="AD64" i="67"/>
  <c r="W64" i="67"/>
  <c r="AB64" i="67"/>
  <c r="AE64" i="67"/>
  <c r="AA64" i="67"/>
  <c r="Z64" i="67"/>
  <c r="Y64" i="67"/>
  <c r="X64" i="67"/>
  <c r="V64" i="67"/>
  <c r="AC64" i="67"/>
  <c r="Q64" i="67"/>
  <c r="I250" i="81"/>
  <c r="I321" i="81"/>
  <c r="AE18" i="67"/>
  <c r="Y18" i="67"/>
  <c r="W18" i="67"/>
  <c r="AA18" i="67"/>
  <c r="V18" i="67"/>
  <c r="AD18" i="67"/>
  <c r="X18" i="67"/>
  <c r="Z18" i="67"/>
  <c r="AB18" i="67"/>
  <c r="Q18" i="67"/>
  <c r="AC18" i="67"/>
  <c r="R35" i="82" l="1"/>
  <c r="S35" i="82" s="1"/>
  <c r="Z34" i="82" s="1"/>
  <c r="R24" i="76"/>
  <c r="S24" i="76" s="1"/>
  <c r="S24" i="78"/>
  <c r="T24" i="78" s="1"/>
  <c r="I322" i="81"/>
  <c r="I393" i="81"/>
  <c r="R28" i="82"/>
  <c r="R17" i="76"/>
  <c r="S17" i="78"/>
  <c r="R27" i="76"/>
  <c r="R38" i="82"/>
  <c r="S27" i="78"/>
  <c r="R94" i="82"/>
  <c r="R68" i="76"/>
  <c r="S68" i="78"/>
  <c r="S88" i="78"/>
  <c r="T88" i="78" s="1"/>
  <c r="R123" i="82"/>
  <c r="S123" i="82" s="1"/>
  <c r="Z122" i="82" s="1"/>
  <c r="R86" i="76"/>
  <c r="S86" i="76" s="1"/>
  <c r="I322" i="80"/>
  <c r="I393" i="80"/>
  <c r="S27" i="76" l="1"/>
  <c r="I465" i="81"/>
  <c r="I394" i="81"/>
  <c r="I465" i="80"/>
  <c r="I394" i="80"/>
  <c r="T27" i="78"/>
  <c r="S38" i="82"/>
  <c r="T68" i="78"/>
  <c r="T17" i="78"/>
  <c r="S28" i="82"/>
  <c r="S68" i="76"/>
  <c r="S17" i="76"/>
  <c r="S94" i="82"/>
  <c r="Z37" i="82" l="1"/>
  <c r="Z93" i="82"/>
  <c r="I466" i="81"/>
  <c r="I537" i="81"/>
  <c r="I466" i="80"/>
  <c r="I537" i="80"/>
  <c r="Z27" i="82"/>
  <c r="I538" i="80" l="1"/>
  <c r="I609" i="80"/>
  <c r="I609" i="81"/>
  <c r="I538" i="81"/>
  <c r="AC27" i="67" l="1"/>
  <c r="AA27" i="67"/>
  <c r="Y27" i="67"/>
  <c r="AD27" i="67"/>
  <c r="X27" i="67"/>
  <c r="AE27" i="67"/>
  <c r="Z27" i="67"/>
  <c r="W27" i="67"/>
  <c r="AB27" i="67"/>
  <c r="V27" i="67"/>
  <c r="Q27" i="67"/>
  <c r="G30" i="67"/>
  <c r="I610" i="81"/>
  <c r="I681" i="81"/>
  <c r="I610" i="80"/>
  <c r="I681" i="80"/>
  <c r="R41" i="82" l="1"/>
  <c r="R30" i="76"/>
  <c r="S30" i="78"/>
  <c r="I682" i="80"/>
  <c r="I753" i="80"/>
  <c r="I682" i="81"/>
  <c r="I753" i="81"/>
  <c r="G73" i="67"/>
  <c r="G12" i="68" l="1"/>
  <c r="I754" i="80"/>
  <c r="I825" i="80"/>
  <c r="T30" i="78"/>
  <c r="G37" i="67"/>
  <c r="S30" i="76"/>
  <c r="I754" i="81"/>
  <c r="I825" i="81"/>
  <c r="S41" i="82"/>
  <c r="Q32" i="68"/>
  <c r="X32" i="68"/>
  <c r="W32" i="68"/>
  <c r="AE32" i="68"/>
  <c r="AC32" i="68"/>
  <c r="AD32" i="68"/>
  <c r="AA32" i="68"/>
  <c r="AB32" i="68"/>
  <c r="V32" i="68"/>
  <c r="Z32" i="68"/>
  <c r="Y32" i="68"/>
  <c r="G77" i="67"/>
  <c r="G89" i="67" s="1"/>
  <c r="G49" i="68"/>
  <c r="G29" i="68"/>
  <c r="G66" i="67"/>
  <c r="G44" i="68" l="1"/>
  <c r="I897" i="81"/>
  <c r="I826" i="81"/>
  <c r="R31" i="77"/>
  <c r="S31" i="77" s="1"/>
  <c r="R33" i="83"/>
  <c r="S33" i="83" s="1"/>
  <c r="S31" i="79"/>
  <c r="T31" i="79" s="1"/>
  <c r="I897" i="80"/>
  <c r="I826" i="80"/>
  <c r="G59" i="68"/>
  <c r="G75" i="68"/>
  <c r="Z40" i="82"/>
  <c r="G77" i="68" l="1"/>
  <c r="I898" i="81"/>
  <c r="G34" i="81"/>
  <c r="G35" i="81" s="1"/>
  <c r="I898" i="80"/>
  <c r="G34" i="80"/>
  <c r="G35" i="80" s="1"/>
  <c r="F73" i="67" l="1"/>
  <c r="F12" i="68"/>
  <c r="F37" i="67" l="1"/>
  <c r="F66" i="67"/>
  <c r="F49" i="68"/>
  <c r="F29" i="68"/>
  <c r="AC84" i="67" l="1"/>
  <c r="AA84" i="67"/>
  <c r="Z84" i="67"/>
  <c r="AE84" i="67"/>
  <c r="W84" i="67"/>
  <c r="V84" i="67"/>
  <c r="U84" i="67"/>
  <c r="X84" i="67"/>
  <c r="AD84" i="67"/>
  <c r="Y84" i="67"/>
  <c r="AB84" i="67"/>
  <c r="Q84" i="67"/>
  <c r="R113" i="82" s="1"/>
  <c r="S113" i="82" s="1"/>
  <c r="U96" i="67"/>
  <c r="AA96" i="67"/>
  <c r="Z96" i="67"/>
  <c r="V96" i="67"/>
  <c r="Q96" i="67"/>
  <c r="Y96" i="67"/>
  <c r="AD96" i="67"/>
  <c r="W96" i="67"/>
  <c r="AB96" i="67"/>
  <c r="AE96" i="67"/>
  <c r="X96" i="67"/>
  <c r="AC96" i="67"/>
  <c r="Q66" i="68"/>
  <c r="X66" i="68"/>
  <c r="AE66" i="68"/>
  <c r="AD66" i="68"/>
  <c r="U66" i="68"/>
  <c r="AC66" i="68"/>
  <c r="AB66" i="68"/>
  <c r="AA66" i="68"/>
  <c r="Z66" i="68"/>
  <c r="V66" i="68"/>
  <c r="Y66" i="68"/>
  <c r="W66" i="68"/>
  <c r="Q24" i="68"/>
  <c r="U24" i="68"/>
  <c r="X24" i="68"/>
  <c r="W24" i="68"/>
  <c r="AA24" i="68"/>
  <c r="Y24" i="68"/>
  <c r="V24" i="68"/>
  <c r="AB24" i="68"/>
  <c r="AC24" i="68"/>
  <c r="Z24" i="68"/>
  <c r="AD24" i="68"/>
  <c r="AE24" i="68"/>
  <c r="AC59" i="67"/>
  <c r="AA59" i="67"/>
  <c r="Q59" i="67"/>
  <c r="Y59" i="67"/>
  <c r="W59" i="67"/>
  <c r="AE59" i="67"/>
  <c r="U59" i="67"/>
  <c r="AB59" i="67"/>
  <c r="Z59" i="67"/>
  <c r="X59" i="67"/>
  <c r="V59" i="67"/>
  <c r="AD59" i="67"/>
  <c r="F77" i="67"/>
  <c r="F89" i="67" s="1"/>
  <c r="AA31" i="67"/>
  <c r="AA121" i="67" s="1"/>
  <c r="W31" i="67"/>
  <c r="W121" i="67" s="1"/>
  <c r="X31" i="67"/>
  <c r="X121" i="67" s="1"/>
  <c r="Q31" i="67"/>
  <c r="U31" i="67"/>
  <c r="U121" i="67" s="1"/>
  <c r="Z31" i="67"/>
  <c r="Z121" i="67" s="1"/>
  <c r="Y31" i="67"/>
  <c r="Y121" i="67" s="1"/>
  <c r="AE31" i="67"/>
  <c r="AE121" i="67" s="1"/>
  <c r="AB31" i="67"/>
  <c r="AB121" i="67" s="1"/>
  <c r="V31" i="67"/>
  <c r="V121" i="67" s="1"/>
  <c r="AC31" i="67"/>
  <c r="AC121" i="67" s="1"/>
  <c r="AD31" i="67"/>
  <c r="AD121" i="67" s="1"/>
  <c r="S63" i="78" l="1"/>
  <c r="T63" i="78" s="1"/>
  <c r="R89" i="82"/>
  <c r="S89" i="82" s="1"/>
  <c r="Z88" i="82" s="1"/>
  <c r="R63" i="76"/>
  <c r="S63" i="76" s="1"/>
  <c r="S24" i="79"/>
  <c r="T24" i="79" s="1"/>
  <c r="R24" i="77"/>
  <c r="S24" i="77" s="1"/>
  <c r="R25" i="83"/>
  <c r="S25" i="83" s="1"/>
  <c r="Z112" i="82"/>
  <c r="S5" i="82"/>
  <c r="R88" i="76"/>
  <c r="S88" i="76" s="1"/>
  <c r="S90" i="78"/>
  <c r="T90" i="78" s="1"/>
  <c r="R125" i="82"/>
  <c r="S125" i="82" s="1"/>
  <c r="Z124" i="82" s="1"/>
  <c r="R71" i="83"/>
  <c r="S71" i="83" s="1"/>
  <c r="S68" i="79"/>
  <c r="T68" i="79" s="1"/>
  <c r="R72" i="77"/>
  <c r="S72" i="77" s="1"/>
  <c r="F44" i="68"/>
  <c r="R34" i="76"/>
  <c r="S34" i="78"/>
  <c r="T34" i="78" s="1"/>
  <c r="R45" i="82"/>
  <c r="S45" i="82" s="1"/>
  <c r="Z44" i="82" s="1"/>
  <c r="T45" i="82"/>
  <c r="AE54" i="68"/>
  <c r="U54" i="68"/>
  <c r="X54" i="68"/>
  <c r="AD54" i="68"/>
  <c r="AB54" i="68"/>
  <c r="AA54" i="68"/>
  <c r="AC54" i="68"/>
  <c r="W54" i="68"/>
  <c r="Z54" i="68"/>
  <c r="Y54" i="68"/>
  <c r="V54" i="68"/>
  <c r="Q54" i="68"/>
  <c r="R55" i="77" l="1"/>
  <c r="R57" i="83"/>
  <c r="S51" i="79"/>
  <c r="S55" i="77" l="1"/>
  <c r="U28" i="68"/>
  <c r="U122" i="67" s="1"/>
  <c r="Y28" i="68"/>
  <c r="Y122" i="67" s="1"/>
  <c r="X28" i="68"/>
  <c r="X122" i="67" s="1"/>
  <c r="V28" i="68"/>
  <c r="V122" i="67" s="1"/>
  <c r="AC28" i="68"/>
  <c r="AC122" i="67" s="1"/>
  <c r="T28" i="68"/>
  <c r="T122" i="67" s="1"/>
  <c r="AD28" i="68"/>
  <c r="AD122" i="67" s="1"/>
  <c r="AB28" i="68"/>
  <c r="AB122" i="67" s="1"/>
  <c r="Q28" i="68"/>
  <c r="Z28" i="68"/>
  <c r="Z122" i="67" s="1"/>
  <c r="W28" i="68"/>
  <c r="W122" i="67" s="1"/>
  <c r="AE28" i="68"/>
  <c r="AE122" i="67" s="1"/>
  <c r="AA28" i="68"/>
  <c r="AA122" i="67" s="1"/>
  <c r="T51" i="79"/>
  <c r="S57" i="83"/>
  <c r="T29" i="67" l="1"/>
  <c r="R29" i="83"/>
  <c r="S29" i="83" s="1"/>
  <c r="R27" i="77"/>
  <c r="S27" i="77" s="1"/>
  <c r="S27" i="79"/>
  <c r="T27" i="79" s="1"/>
  <c r="Y33" i="68" l="1"/>
  <c r="AD33" i="68"/>
  <c r="Q33" i="68"/>
  <c r="V33" i="68"/>
  <c r="W33" i="68"/>
  <c r="U33" i="68"/>
  <c r="AB33" i="68"/>
  <c r="AC33" i="68"/>
  <c r="AE33" i="68"/>
  <c r="Z33" i="68"/>
  <c r="X33" i="68"/>
  <c r="AA33" i="68"/>
  <c r="T33" i="68"/>
  <c r="Q69" i="68"/>
  <c r="V69" i="68"/>
  <c r="U69" i="68"/>
  <c r="Y69" i="68"/>
  <c r="AC69" i="68"/>
  <c r="AE69" i="68"/>
  <c r="AD69" i="68"/>
  <c r="Z69" i="68"/>
  <c r="X69" i="68"/>
  <c r="AB69" i="68"/>
  <c r="W69" i="68"/>
  <c r="AA69" i="68"/>
  <c r="T69" i="68"/>
  <c r="T57" i="68"/>
  <c r="Q40" i="67"/>
  <c r="W40" i="67"/>
  <c r="Y40" i="67"/>
  <c r="T40" i="67"/>
  <c r="AC40" i="67"/>
  <c r="Z40" i="67"/>
  <c r="X40" i="67"/>
  <c r="U40" i="67"/>
  <c r="AB40" i="67"/>
  <c r="AE40" i="67"/>
  <c r="AD40" i="67"/>
  <c r="AA40" i="67"/>
  <c r="V40" i="67"/>
  <c r="Q39" i="67"/>
  <c r="AC39" i="67"/>
  <c r="V39" i="67"/>
  <c r="AA39" i="67"/>
  <c r="Y39" i="67"/>
  <c r="Z39" i="67"/>
  <c r="W39" i="67"/>
  <c r="AB39" i="67"/>
  <c r="T39" i="67"/>
  <c r="AD39" i="67"/>
  <c r="AE39" i="67"/>
  <c r="X39" i="67"/>
  <c r="U39" i="67"/>
  <c r="E37" i="67"/>
  <c r="AA43" i="67"/>
  <c r="W43" i="67"/>
  <c r="Z43" i="67"/>
  <c r="AC43" i="67"/>
  <c r="Q43" i="67"/>
  <c r="R56" i="82" s="1"/>
  <c r="S56" i="82" s="1"/>
  <c r="Z55" i="82" s="1"/>
  <c r="AB43" i="67"/>
  <c r="V43" i="67"/>
  <c r="Y43" i="67"/>
  <c r="T43" i="67"/>
  <c r="X43" i="67"/>
  <c r="AD43" i="67"/>
  <c r="AE43" i="67"/>
  <c r="U43" i="67"/>
  <c r="AC31" i="68"/>
  <c r="T31" i="68"/>
  <c r="W31" i="68"/>
  <c r="AE31" i="68"/>
  <c r="AD31" i="68"/>
  <c r="Q31" i="68"/>
  <c r="U31" i="68"/>
  <c r="AA31" i="68"/>
  <c r="V31" i="68"/>
  <c r="Z31" i="68"/>
  <c r="AB31" i="68"/>
  <c r="Y31" i="68"/>
  <c r="X31" i="68"/>
  <c r="W87" i="67"/>
  <c r="W118" i="67" s="1"/>
  <c r="AA87" i="67"/>
  <c r="AA118" i="67" s="1"/>
  <c r="AC87" i="67"/>
  <c r="AC118" i="67" s="1"/>
  <c r="V87" i="67"/>
  <c r="V118" i="67" s="1"/>
  <c r="AD87" i="67"/>
  <c r="AD118" i="67" s="1"/>
  <c r="Z87" i="67"/>
  <c r="Z118" i="67" s="1"/>
  <c r="AE87" i="67"/>
  <c r="AE118" i="67" s="1"/>
  <c r="T87" i="67"/>
  <c r="T118" i="67" s="1"/>
  <c r="X87" i="67"/>
  <c r="X118" i="67" s="1"/>
  <c r="U87" i="67"/>
  <c r="U118" i="67" s="1"/>
  <c r="AB87" i="67"/>
  <c r="AB118" i="67" s="1"/>
  <c r="Q87" i="67"/>
  <c r="Y87" i="67"/>
  <c r="Y118" i="67" s="1"/>
  <c r="Z41" i="67"/>
  <c r="AE41" i="67"/>
  <c r="X41" i="67"/>
  <c r="Q41" i="67"/>
  <c r="Y41" i="67"/>
  <c r="W41" i="67"/>
  <c r="V41" i="67"/>
  <c r="AA41" i="67"/>
  <c r="U41" i="67"/>
  <c r="AC41" i="67"/>
  <c r="AD41" i="67"/>
  <c r="T41" i="67"/>
  <c r="AB41" i="67"/>
  <c r="U46" i="68"/>
  <c r="Y46" i="68"/>
  <c r="Q46" i="68"/>
  <c r="AA46" i="68"/>
  <c r="V46" i="68"/>
  <c r="AB46" i="68"/>
  <c r="AC46" i="68"/>
  <c r="Z46" i="68"/>
  <c r="W46" i="68"/>
  <c r="T46" i="68"/>
  <c r="AE46" i="68"/>
  <c r="AD46" i="68"/>
  <c r="X46" i="68"/>
  <c r="AE40" i="68" l="1"/>
  <c r="AA40" i="68"/>
  <c r="AB40" i="68"/>
  <c r="AD40" i="68"/>
  <c r="Y40" i="68"/>
  <c r="V40" i="68"/>
  <c r="AC40" i="68"/>
  <c r="Q40" i="68"/>
  <c r="T40" i="68"/>
  <c r="U40" i="68"/>
  <c r="Z40" i="68"/>
  <c r="W40" i="68"/>
  <c r="X40" i="68"/>
  <c r="AE14" i="68"/>
  <c r="U14" i="68"/>
  <c r="Q14" i="68"/>
  <c r="AB14" i="68"/>
  <c r="E12" i="68"/>
  <c r="V14" i="68"/>
  <c r="AA14" i="68"/>
  <c r="Y14" i="68"/>
  <c r="Z14" i="68"/>
  <c r="X14" i="68"/>
  <c r="AD14" i="68"/>
  <c r="T14" i="68"/>
  <c r="AC14" i="68"/>
  <c r="W14" i="68"/>
  <c r="U37" i="67"/>
  <c r="Z37" i="67"/>
  <c r="Y37" i="67"/>
  <c r="AA37" i="67"/>
  <c r="AE37" i="67"/>
  <c r="V37" i="67"/>
  <c r="Q37" i="67"/>
  <c r="AB37" i="67"/>
  <c r="AD37" i="67"/>
  <c r="X37" i="67"/>
  <c r="T37" i="67"/>
  <c r="AC37" i="67"/>
  <c r="W37" i="67"/>
  <c r="AE16" i="68"/>
  <c r="AC16" i="68"/>
  <c r="Z16" i="68"/>
  <c r="W16" i="68"/>
  <c r="AD16" i="68"/>
  <c r="AA16" i="68"/>
  <c r="Q16" i="68"/>
  <c r="T16" i="68"/>
  <c r="U16" i="68"/>
  <c r="Y16" i="68"/>
  <c r="X16" i="68"/>
  <c r="AB16" i="68"/>
  <c r="V16" i="68"/>
  <c r="R79" i="76"/>
  <c r="S79" i="76" s="1"/>
  <c r="R116" i="82"/>
  <c r="S116" i="82" s="1"/>
  <c r="Z115" i="82" s="1"/>
  <c r="S81" i="78"/>
  <c r="T81" i="78" s="1"/>
  <c r="Y74" i="67"/>
  <c r="AE74" i="67"/>
  <c r="T74" i="67"/>
  <c r="E73" i="67"/>
  <c r="X74" i="67"/>
  <c r="AD74" i="67"/>
  <c r="AA74" i="67"/>
  <c r="AC74" i="67"/>
  <c r="U74" i="67"/>
  <c r="Z74" i="67"/>
  <c r="Q74" i="67"/>
  <c r="AB74" i="67"/>
  <c r="V74" i="67"/>
  <c r="W74" i="67"/>
  <c r="AD37" i="68"/>
  <c r="AB37" i="68"/>
  <c r="Y37" i="68"/>
  <c r="X37" i="68"/>
  <c r="AA37" i="68"/>
  <c r="W37" i="68"/>
  <c r="T37" i="68"/>
  <c r="Q37" i="68"/>
  <c r="U37" i="68"/>
  <c r="V37" i="68"/>
  <c r="Z37" i="68"/>
  <c r="AE37" i="68"/>
  <c r="AC37" i="68"/>
  <c r="S32" i="79"/>
  <c r="T32" i="79" s="1"/>
  <c r="R32" i="77"/>
  <c r="S32" i="77" s="1"/>
  <c r="R34" i="83"/>
  <c r="S34" i="83" s="1"/>
  <c r="R45" i="83"/>
  <c r="R47" i="77"/>
  <c r="S43" i="79"/>
  <c r="R75" i="77"/>
  <c r="S75" i="77" s="1"/>
  <c r="R75" i="83"/>
  <c r="S75" i="83" s="1"/>
  <c r="AD76" i="67"/>
  <c r="U76" i="67"/>
  <c r="Y76" i="67"/>
  <c r="V76" i="67"/>
  <c r="AC76" i="67"/>
  <c r="AB76" i="67"/>
  <c r="X76" i="67"/>
  <c r="W76" i="67"/>
  <c r="Z76" i="67"/>
  <c r="Q76" i="67"/>
  <c r="R105" i="82" s="1"/>
  <c r="S105" i="82" s="1"/>
  <c r="Z104" i="82" s="1"/>
  <c r="T76" i="67"/>
  <c r="AE76" i="67"/>
  <c r="AA76" i="67"/>
  <c r="AC63" i="68"/>
  <c r="AB63" i="68"/>
  <c r="Z63" i="68"/>
  <c r="X63" i="68"/>
  <c r="W63" i="68"/>
  <c r="AA63" i="68"/>
  <c r="Q63" i="68"/>
  <c r="T63" i="68"/>
  <c r="AD63" i="68"/>
  <c r="U63" i="68"/>
  <c r="AE63" i="68"/>
  <c r="Y63" i="68"/>
  <c r="V63" i="68"/>
  <c r="U36" i="68"/>
  <c r="Z36" i="68"/>
  <c r="Q36" i="68"/>
  <c r="R35" i="77" s="1"/>
  <c r="AB36" i="68"/>
  <c r="W36" i="68"/>
  <c r="T36" i="68"/>
  <c r="X36" i="68"/>
  <c r="V36" i="68"/>
  <c r="Y36" i="68"/>
  <c r="AC36" i="68"/>
  <c r="AA36" i="68"/>
  <c r="AD36" i="68"/>
  <c r="AE36" i="68"/>
  <c r="S30" i="79"/>
  <c r="R32" i="83"/>
  <c r="R30" i="77"/>
  <c r="S32" i="83" l="1"/>
  <c r="R39" i="77"/>
  <c r="S39" i="77" s="1"/>
  <c r="R39" i="83"/>
  <c r="S39" i="83" s="1"/>
  <c r="S37" i="79"/>
  <c r="T37" i="79" s="1"/>
  <c r="S30" i="77"/>
  <c r="R44" i="76"/>
  <c r="S44" i="76" s="1"/>
  <c r="S44" i="78"/>
  <c r="T44" i="78" s="1"/>
  <c r="W65" i="67"/>
  <c r="Q65" i="67"/>
  <c r="AA65" i="67"/>
  <c r="E66" i="67"/>
  <c r="T65" i="67"/>
  <c r="Y65" i="67"/>
  <c r="X65" i="67"/>
  <c r="V65" i="67"/>
  <c r="AE65" i="67"/>
  <c r="AC65" i="67"/>
  <c r="Z65" i="67"/>
  <c r="U65" i="67"/>
  <c r="AB65" i="67"/>
  <c r="AD65" i="67"/>
  <c r="AB12" i="68"/>
  <c r="AC12" i="68"/>
  <c r="Q12" i="68"/>
  <c r="R13" i="83" s="1"/>
  <c r="AE12" i="68"/>
  <c r="V12" i="68"/>
  <c r="AA12" i="68"/>
  <c r="Z12" i="68"/>
  <c r="W12" i="68"/>
  <c r="Y12" i="68"/>
  <c r="T12" i="68"/>
  <c r="X12" i="68"/>
  <c r="AD12" i="68"/>
  <c r="U12" i="68"/>
  <c r="R36" i="83"/>
  <c r="S36" i="83" s="1"/>
  <c r="S34" i="79"/>
  <c r="T34" i="79" s="1"/>
  <c r="R36" i="77"/>
  <c r="T43" i="79"/>
  <c r="S47" i="77"/>
  <c r="AE73" i="67"/>
  <c r="AA73" i="67"/>
  <c r="T73" i="67"/>
  <c r="Z73" i="67"/>
  <c r="Q73" i="67"/>
  <c r="V73" i="67"/>
  <c r="AB73" i="67"/>
  <c r="U73" i="67"/>
  <c r="AC73" i="67"/>
  <c r="AD73" i="67"/>
  <c r="W73" i="67"/>
  <c r="Y73" i="67"/>
  <c r="X73" i="67"/>
  <c r="R69" i="77"/>
  <c r="S69" i="77" s="1"/>
  <c r="R68" i="83"/>
  <c r="S68" i="83" s="1"/>
  <c r="S65" i="79"/>
  <c r="T65" i="79" s="1"/>
  <c r="S45" i="83"/>
  <c r="T30" i="79"/>
  <c r="AA86" i="67"/>
  <c r="AA117" i="67" s="1"/>
  <c r="AE86" i="67"/>
  <c r="AE117" i="67" s="1"/>
  <c r="U86" i="67"/>
  <c r="U117" i="67" s="1"/>
  <c r="AD86" i="67"/>
  <c r="AD117" i="67" s="1"/>
  <c r="AB86" i="67"/>
  <c r="AB117" i="67" s="1"/>
  <c r="Q86" i="67"/>
  <c r="Y86" i="67"/>
  <c r="Y117" i="67" s="1"/>
  <c r="W86" i="67"/>
  <c r="W117" i="67" s="1"/>
  <c r="T86" i="67"/>
  <c r="T117" i="67" s="1"/>
  <c r="V86" i="67"/>
  <c r="V117" i="67" s="1"/>
  <c r="X86" i="67"/>
  <c r="X117" i="67" s="1"/>
  <c r="Z86" i="67"/>
  <c r="Z117" i="67" s="1"/>
  <c r="AC86" i="67"/>
  <c r="AC117" i="67" s="1"/>
  <c r="S13" i="83" l="1"/>
  <c r="W66" i="67"/>
  <c r="AE66" i="67"/>
  <c r="U66" i="67"/>
  <c r="Y66" i="67"/>
  <c r="AB66" i="67"/>
  <c r="X66" i="67"/>
  <c r="T66" i="67"/>
  <c r="AC66" i="67"/>
  <c r="V66" i="67"/>
  <c r="AA66" i="67"/>
  <c r="Z66" i="67"/>
  <c r="AD66" i="67"/>
  <c r="R77" i="76"/>
  <c r="S79" i="78"/>
  <c r="R115" i="82"/>
  <c r="S115" i="82" s="1"/>
  <c r="Z114" i="82" s="1"/>
  <c r="R78" i="76"/>
  <c r="S78" i="76" s="1"/>
  <c r="S80" i="78"/>
  <c r="T80" i="78" s="1"/>
  <c r="R69" i="76"/>
  <c r="S69" i="78"/>
  <c r="R95" i="82"/>
  <c r="Q66" i="67"/>
  <c r="T96" i="82" s="1"/>
  <c r="T46" i="67" l="1"/>
  <c r="AA46" i="67"/>
  <c r="U46" i="67"/>
  <c r="AE46" i="67"/>
  <c r="Q46" i="67"/>
  <c r="R59" i="82" s="1"/>
  <c r="S59" i="82" s="1"/>
  <c r="Z58" i="82" s="1"/>
  <c r="Z46" i="67"/>
  <c r="AB46" i="67"/>
  <c r="X46" i="67"/>
  <c r="AC46" i="67"/>
  <c r="Y46" i="67"/>
  <c r="V46" i="67"/>
  <c r="W46" i="67"/>
  <c r="AD46" i="67"/>
  <c r="E44" i="67"/>
  <c r="T69" i="78"/>
  <c r="T70" i="78" s="1"/>
  <c r="S70" i="78"/>
  <c r="T79" i="78"/>
  <c r="T83" i="78" s="1"/>
  <c r="S83" i="78"/>
  <c r="W48" i="67"/>
  <c r="AA48" i="67"/>
  <c r="V48" i="67"/>
  <c r="AE48" i="67"/>
  <c r="AB48" i="67"/>
  <c r="AD48" i="67"/>
  <c r="Q48" i="67"/>
  <c r="R51" i="82" s="1"/>
  <c r="Z48" i="67"/>
  <c r="U48" i="67"/>
  <c r="Y48" i="67"/>
  <c r="X48" i="67"/>
  <c r="T48" i="67"/>
  <c r="AC48" i="67"/>
  <c r="AB81" i="67"/>
  <c r="AA81" i="67"/>
  <c r="Z81" i="67"/>
  <c r="Q81" i="67"/>
  <c r="R103" i="82" s="1"/>
  <c r="U81" i="67"/>
  <c r="V81" i="67"/>
  <c r="Y81" i="67"/>
  <c r="AD81" i="67"/>
  <c r="W81" i="67"/>
  <c r="T81" i="67"/>
  <c r="AE81" i="67"/>
  <c r="AC81" i="67"/>
  <c r="X81" i="67"/>
  <c r="S77" i="76"/>
  <c r="S81" i="76" s="1"/>
  <c r="R81" i="76"/>
  <c r="S69" i="76"/>
  <c r="S70" i="76" s="1"/>
  <c r="R70" i="76"/>
  <c r="U79" i="67"/>
  <c r="X79" i="67"/>
  <c r="Z79" i="67"/>
  <c r="AC79" i="67"/>
  <c r="AD79" i="67"/>
  <c r="V79" i="67"/>
  <c r="Q79" i="67"/>
  <c r="R108" i="82" s="1"/>
  <c r="S108" i="82" s="1"/>
  <c r="Z107" i="82" s="1"/>
  <c r="AE79" i="67"/>
  <c r="T79" i="67"/>
  <c r="AA79" i="67"/>
  <c r="W79" i="67"/>
  <c r="Y79" i="67"/>
  <c r="AB79" i="67"/>
  <c r="Z80" i="67"/>
  <c r="Q80" i="67"/>
  <c r="R109" i="82" s="1"/>
  <c r="S109" i="82" s="1"/>
  <c r="Z108" i="82" s="1"/>
  <c r="U80" i="67"/>
  <c r="AD80" i="67"/>
  <c r="V80" i="67"/>
  <c r="Y80" i="67"/>
  <c r="T80" i="67"/>
  <c r="W80" i="67"/>
  <c r="AC80" i="67"/>
  <c r="AE80" i="67"/>
  <c r="X80" i="67"/>
  <c r="AB80" i="67"/>
  <c r="AA80" i="67"/>
  <c r="S95" i="82"/>
  <c r="R96" i="82"/>
  <c r="AB78" i="67"/>
  <c r="W78" i="67"/>
  <c r="Z78" i="67"/>
  <c r="Y78" i="67"/>
  <c r="AA78" i="67"/>
  <c r="AD78" i="67"/>
  <c r="Q78" i="67"/>
  <c r="R107" i="82" s="1"/>
  <c r="S107" i="82" s="1"/>
  <c r="Z106" i="82" s="1"/>
  <c r="V78" i="67"/>
  <c r="X78" i="67"/>
  <c r="T78" i="67"/>
  <c r="AC78" i="67"/>
  <c r="AE78" i="67"/>
  <c r="E77" i="67"/>
  <c r="U78" i="67"/>
  <c r="V19" i="68"/>
  <c r="X19" i="68"/>
  <c r="AD19" i="68"/>
  <c r="Q19" i="68"/>
  <c r="R20" i="83" s="1"/>
  <c r="AC19" i="68"/>
  <c r="Y19" i="68"/>
  <c r="AA19" i="68"/>
  <c r="Z19" i="68"/>
  <c r="AE19" i="68"/>
  <c r="T19" i="68"/>
  <c r="W19" i="68"/>
  <c r="U19" i="68"/>
  <c r="AB19" i="68"/>
  <c r="E17" i="68"/>
  <c r="Q21" i="68"/>
  <c r="R22" i="83" s="1"/>
  <c r="S22" i="83" s="1"/>
  <c r="V21" i="68"/>
  <c r="AA21" i="68"/>
  <c r="AC21" i="68"/>
  <c r="Z21" i="68"/>
  <c r="AB21" i="68"/>
  <c r="W21" i="68"/>
  <c r="AE21" i="68"/>
  <c r="AD21" i="68"/>
  <c r="X21" i="68"/>
  <c r="T21" i="68"/>
  <c r="U21" i="68"/>
  <c r="Y21" i="68"/>
  <c r="AC17" i="68" l="1"/>
  <c r="Y17" i="68"/>
  <c r="Z17" i="68"/>
  <c r="W17" i="68"/>
  <c r="AD17" i="68"/>
  <c r="E29" i="68"/>
  <c r="AA17" i="68"/>
  <c r="T17" i="68"/>
  <c r="V17" i="68"/>
  <c r="AE17" i="68"/>
  <c r="AB17" i="68"/>
  <c r="U17" i="68"/>
  <c r="X17" i="68"/>
  <c r="Q17" i="68"/>
  <c r="S20" i="83"/>
  <c r="S30" i="83" s="1"/>
  <c r="R30" i="83"/>
  <c r="AC42" i="68"/>
  <c r="AA42" i="68"/>
  <c r="V42" i="68"/>
  <c r="Q42" i="68"/>
  <c r="W42" i="68"/>
  <c r="AE42" i="68"/>
  <c r="X42" i="68"/>
  <c r="Z42" i="68"/>
  <c r="U42" i="68"/>
  <c r="Y42" i="68"/>
  <c r="AD42" i="68"/>
  <c r="AB42" i="68"/>
  <c r="T42" i="68"/>
  <c r="W77" i="67"/>
  <c r="AE77" i="67"/>
  <c r="AD77" i="67"/>
  <c r="AB77" i="67"/>
  <c r="V77" i="67"/>
  <c r="Y77" i="67"/>
  <c r="U77" i="67"/>
  <c r="AA77" i="67"/>
  <c r="Q77" i="67"/>
  <c r="T77" i="67"/>
  <c r="AC77" i="67"/>
  <c r="Z77" i="67"/>
  <c r="X77" i="67"/>
  <c r="E89" i="67"/>
  <c r="AD38" i="68"/>
  <c r="AA38" i="68"/>
  <c r="Q38" i="68"/>
  <c r="AE38" i="68"/>
  <c r="U38" i="68"/>
  <c r="W38" i="68"/>
  <c r="AB38" i="68"/>
  <c r="AC38" i="68"/>
  <c r="Y38" i="68"/>
  <c r="X38" i="68"/>
  <c r="T38" i="68"/>
  <c r="Z38" i="68"/>
  <c r="V38" i="68"/>
  <c r="X47" i="68"/>
  <c r="V47" i="68"/>
  <c r="Y47" i="68"/>
  <c r="AB47" i="68"/>
  <c r="U47" i="68"/>
  <c r="AC47" i="68"/>
  <c r="Q47" i="68"/>
  <c r="Z47" i="68"/>
  <c r="W47" i="68"/>
  <c r="T47" i="68"/>
  <c r="AD47" i="68"/>
  <c r="AE47" i="68"/>
  <c r="AA47" i="68"/>
  <c r="E49" i="68"/>
  <c r="Z94" i="82"/>
  <c r="S96" i="82"/>
  <c r="Z95" i="82" s="1"/>
  <c r="R118" i="82"/>
  <c r="S103" i="82"/>
  <c r="Q48" i="68"/>
  <c r="Y48" i="68"/>
  <c r="AB48" i="68"/>
  <c r="X48" i="68"/>
  <c r="U48" i="68"/>
  <c r="V48" i="68"/>
  <c r="AA48" i="68"/>
  <c r="AC48" i="68"/>
  <c r="AE48" i="68"/>
  <c r="Z48" i="68"/>
  <c r="W48" i="68"/>
  <c r="AD48" i="68"/>
  <c r="T48" i="68"/>
  <c r="U44" i="67"/>
  <c r="W44" i="67"/>
  <c r="Q44" i="67"/>
  <c r="AB44" i="67"/>
  <c r="X44" i="67"/>
  <c r="AA44" i="67"/>
  <c r="V44" i="67"/>
  <c r="Y44" i="67"/>
  <c r="AE44" i="67"/>
  <c r="AC44" i="67"/>
  <c r="T44" i="67"/>
  <c r="Z44" i="67"/>
  <c r="AD44" i="67"/>
  <c r="I106" i="67"/>
  <c r="U43" i="68"/>
  <c r="V43" i="68"/>
  <c r="AB43" i="68"/>
  <c r="AA43" i="68"/>
  <c r="Y43" i="68"/>
  <c r="AE43" i="68"/>
  <c r="T43" i="68"/>
  <c r="Z43" i="68"/>
  <c r="X43" i="68"/>
  <c r="Q43" i="68"/>
  <c r="W43" i="68"/>
  <c r="AC43" i="68"/>
  <c r="AD43" i="68"/>
  <c r="AA34" i="68"/>
  <c r="T34" i="68"/>
  <c r="X34" i="68"/>
  <c r="AB34" i="68"/>
  <c r="W34" i="68"/>
  <c r="AE34" i="68"/>
  <c r="U34" i="68"/>
  <c r="Y34" i="68"/>
  <c r="V34" i="68"/>
  <c r="AC34" i="68"/>
  <c r="AD34" i="68"/>
  <c r="Z34" i="68"/>
  <c r="Q34" i="68"/>
  <c r="E44" i="68"/>
  <c r="S51" i="82"/>
  <c r="AC44" i="68" l="1"/>
  <c r="AC119" i="67" s="1"/>
  <c r="AB44" i="68"/>
  <c r="AB119" i="67" s="1"/>
  <c r="AE44" i="68"/>
  <c r="AE119" i="67" s="1"/>
  <c r="X44" i="68"/>
  <c r="X119" i="67" s="1"/>
  <c r="AD44" i="68"/>
  <c r="AD119" i="67" s="1"/>
  <c r="U44" i="68"/>
  <c r="U119" i="67" s="1"/>
  <c r="W44" i="68"/>
  <c r="W119" i="67" s="1"/>
  <c r="Z44" i="68"/>
  <c r="Z119" i="67" s="1"/>
  <c r="AA44" i="68"/>
  <c r="AA119" i="67" s="1"/>
  <c r="Q44" i="68"/>
  <c r="V44" i="68"/>
  <c r="V119" i="67" s="1"/>
  <c r="T44" i="68"/>
  <c r="T119" i="67" s="1"/>
  <c r="Y44" i="68"/>
  <c r="Y119" i="67" s="1"/>
  <c r="T49" i="68"/>
  <c r="T111" i="67" s="1"/>
  <c r="AC49" i="68"/>
  <c r="AC111" i="67" s="1"/>
  <c r="AB49" i="68"/>
  <c r="AB111" i="67" s="1"/>
  <c r="U49" i="68"/>
  <c r="U111" i="67" s="1"/>
  <c r="Y49" i="68"/>
  <c r="Y111" i="67" s="1"/>
  <c r="AE49" i="68"/>
  <c r="AE111" i="67" s="1"/>
  <c r="X49" i="68"/>
  <c r="X111" i="67" s="1"/>
  <c r="Q49" i="68"/>
  <c r="V49" i="68"/>
  <c r="V111" i="67" s="1"/>
  <c r="W49" i="68"/>
  <c r="W111" i="67" s="1"/>
  <c r="AD49" i="68"/>
  <c r="AD111" i="67" s="1"/>
  <c r="Z49" i="68"/>
  <c r="Z111" i="67" s="1"/>
  <c r="AA49" i="68"/>
  <c r="AA111" i="67" s="1"/>
  <c r="R37" i="77"/>
  <c r="S37" i="77" s="1"/>
  <c r="S35" i="79"/>
  <c r="T35" i="79" s="1"/>
  <c r="R37" i="83"/>
  <c r="S37" i="83" s="1"/>
  <c r="S39" i="79"/>
  <c r="T39" i="79" s="1"/>
  <c r="R41" i="83"/>
  <c r="S41" i="83" s="1"/>
  <c r="R43" i="77"/>
  <c r="S43" i="77" s="1"/>
  <c r="X89" i="67"/>
  <c r="AE89" i="67"/>
  <c r="V89" i="67"/>
  <c r="U89" i="67"/>
  <c r="W89" i="67"/>
  <c r="Q89" i="67"/>
  <c r="T118" i="82" s="1"/>
  <c r="T89" i="67"/>
  <c r="AA89" i="67"/>
  <c r="Z89" i="67"/>
  <c r="AC89" i="67"/>
  <c r="AD89" i="67"/>
  <c r="Y89" i="67"/>
  <c r="AB89" i="67"/>
  <c r="R44" i="77"/>
  <c r="S44" i="77" s="1"/>
  <c r="S40" i="79"/>
  <c r="T40" i="79" s="1"/>
  <c r="R42" i="83"/>
  <c r="S42" i="83" s="1"/>
  <c r="AE29" i="68"/>
  <c r="AE108" i="67" s="1"/>
  <c r="Q29" i="68"/>
  <c r="T30" i="83" s="1"/>
  <c r="AD29" i="68"/>
  <c r="AD108" i="67" s="1"/>
  <c r="AA29" i="68"/>
  <c r="AA108" i="67" s="1"/>
  <c r="Z29" i="68"/>
  <c r="Z108" i="67" s="1"/>
  <c r="T29" i="68"/>
  <c r="T108" i="67" s="1"/>
  <c r="Y29" i="68"/>
  <c r="Y108" i="67" s="1"/>
  <c r="U29" i="68"/>
  <c r="U108" i="67" s="1"/>
  <c r="V29" i="68"/>
  <c r="V108" i="67" s="1"/>
  <c r="AB29" i="68"/>
  <c r="AB108" i="67" s="1"/>
  <c r="W29" i="68"/>
  <c r="W108" i="67" s="1"/>
  <c r="X29" i="68"/>
  <c r="X108" i="67" s="1"/>
  <c r="AC29" i="68"/>
  <c r="AC108" i="67" s="1"/>
  <c r="Z50" i="82"/>
  <c r="Q39" i="68"/>
  <c r="T39" i="68"/>
  <c r="W39" i="68"/>
  <c r="AD39" i="68"/>
  <c r="U39" i="68"/>
  <c r="V39" i="68"/>
  <c r="Z39" i="68"/>
  <c r="AE39" i="68"/>
  <c r="AB39" i="68"/>
  <c r="Y39" i="68"/>
  <c r="X39" i="68"/>
  <c r="AA39" i="68"/>
  <c r="AC39" i="68"/>
  <c r="R49" i="77"/>
  <c r="S49" i="77" s="1"/>
  <c r="R47" i="83"/>
  <c r="S47" i="83" s="1"/>
  <c r="S45" i="79"/>
  <c r="T45" i="79" s="1"/>
  <c r="R48" i="77"/>
  <c r="S44" i="79"/>
  <c r="R46" i="83"/>
  <c r="S118" i="82"/>
  <c r="Z117" i="82" s="1"/>
  <c r="Z102" i="82"/>
  <c r="S33" i="79"/>
  <c r="R35" i="83"/>
  <c r="R33" i="77"/>
  <c r="S36" i="79" l="1"/>
  <c r="T36" i="79" s="1"/>
  <c r="R38" i="83"/>
  <c r="S38" i="83" s="1"/>
  <c r="R38" i="77"/>
  <c r="S38" i="77" s="1"/>
  <c r="T48" i="83"/>
  <c r="T43" i="83"/>
  <c r="S33" i="77"/>
  <c r="R45" i="77"/>
  <c r="S46" i="83"/>
  <c r="S48" i="83" s="1"/>
  <c r="R48" i="83"/>
  <c r="T44" i="79"/>
  <c r="T46" i="79" s="1"/>
  <c r="S46" i="79"/>
  <c r="S35" i="83"/>
  <c r="S43" i="83" s="1"/>
  <c r="T33" i="79"/>
  <c r="T41" i="79" s="1"/>
  <c r="S41" i="79"/>
  <c r="S48" i="77"/>
  <c r="R50" i="77"/>
  <c r="S50" i="77" s="1"/>
  <c r="R43" i="83" l="1"/>
  <c r="S45" i="77"/>
  <c r="H75" i="68" l="1"/>
  <c r="F30" i="67" l="1"/>
  <c r="X29" i="67"/>
  <c r="U29" i="67"/>
  <c r="V29" i="67"/>
  <c r="Y29" i="67"/>
  <c r="AC29" i="67"/>
  <c r="AE29" i="67"/>
  <c r="Q29" i="67"/>
  <c r="W29" i="67"/>
  <c r="Z29" i="67"/>
  <c r="AB29" i="67"/>
  <c r="AD29" i="67"/>
  <c r="AA29" i="67"/>
  <c r="R32" i="76" l="1"/>
  <c r="S32" i="76" s="1"/>
  <c r="R43" i="82"/>
  <c r="S43" i="82" s="1"/>
  <c r="Z42" i="82" s="1"/>
  <c r="S32" i="78"/>
  <c r="T32" i="78" s="1"/>
  <c r="T55" i="68" l="1"/>
  <c r="U57" i="68" l="1"/>
  <c r="AC57" i="68"/>
  <c r="AB57" i="68"/>
  <c r="Q57" i="68"/>
  <c r="Y57" i="68"/>
  <c r="V57" i="68"/>
  <c r="X57" i="68"/>
  <c r="AD57" i="68"/>
  <c r="AA57" i="68"/>
  <c r="AE57" i="68"/>
  <c r="Z57" i="68"/>
  <c r="W57" i="68"/>
  <c r="S54" i="79" l="1"/>
  <c r="T54" i="79" s="1"/>
  <c r="R58" i="77"/>
  <c r="S58" i="77" s="1"/>
  <c r="R60" i="83"/>
  <c r="S60" i="83" s="1"/>
  <c r="Q28" i="67" l="1"/>
  <c r="AE28" i="67"/>
  <c r="E30" i="67"/>
  <c r="T28" i="67"/>
  <c r="W28" i="67"/>
  <c r="X5" i="67" s="1"/>
  <c r="U28" i="67"/>
  <c r="AB28" i="67"/>
  <c r="X28" i="67"/>
  <c r="Y28" i="67"/>
  <c r="AA28" i="67"/>
  <c r="V28" i="67"/>
  <c r="Z28" i="67"/>
  <c r="AC28" i="67"/>
  <c r="AD28" i="67"/>
  <c r="G106" i="67"/>
  <c r="H106" i="67"/>
  <c r="T74" i="68"/>
  <c r="AB74" i="68"/>
  <c r="V74" i="68"/>
  <c r="X74" i="68"/>
  <c r="Y74" i="68"/>
  <c r="W74" i="68"/>
  <c r="T19" i="67"/>
  <c r="T109" i="67" s="1"/>
  <c r="E22" i="67"/>
  <c r="F75" i="68"/>
  <c r="Z74" i="68" l="1"/>
  <c r="AD74" i="68"/>
  <c r="Q74" i="68"/>
  <c r="U74" i="68"/>
  <c r="T22" i="67"/>
  <c r="U55" i="68"/>
  <c r="AE55" i="68"/>
  <c r="X55" i="68"/>
  <c r="Q55" i="68"/>
  <c r="V55" i="68"/>
  <c r="W55" i="68"/>
  <c r="Z55" i="68"/>
  <c r="Y55" i="68"/>
  <c r="AC55" i="68"/>
  <c r="AB55" i="68"/>
  <c r="AD55" i="68"/>
  <c r="AA55" i="68"/>
  <c r="AA74" i="68"/>
  <c r="U19" i="67"/>
  <c r="U109" i="67" s="1"/>
  <c r="F22" i="67"/>
  <c r="F32" i="67" s="1"/>
  <c r="R86" i="77"/>
  <c r="S86" i="77" s="1"/>
  <c r="R78" i="83"/>
  <c r="S78" i="83" s="1"/>
  <c r="S79" i="79"/>
  <c r="T79" i="79" s="1"/>
  <c r="W30" i="67"/>
  <c r="T30" i="67"/>
  <c r="X30" i="67"/>
  <c r="Q30" i="67"/>
  <c r="Y30" i="67"/>
  <c r="AC30" i="67"/>
  <c r="AD30" i="67"/>
  <c r="Z30" i="67"/>
  <c r="E32" i="67"/>
  <c r="AB30" i="67"/>
  <c r="U30" i="67"/>
  <c r="AA30" i="67"/>
  <c r="V30" i="67"/>
  <c r="AE30" i="67"/>
  <c r="X64" i="68"/>
  <c r="Z64" i="68"/>
  <c r="T64" i="68"/>
  <c r="AE64" i="68"/>
  <c r="V64" i="68"/>
  <c r="W64" i="68"/>
  <c r="U64" i="68"/>
  <c r="AC64" i="68"/>
  <c r="AA64" i="68"/>
  <c r="Y64" i="68"/>
  <c r="AD64" i="68"/>
  <c r="Q64" i="68"/>
  <c r="AB64" i="68"/>
  <c r="AE74" i="68"/>
  <c r="T58" i="68"/>
  <c r="E59" i="68"/>
  <c r="AC56" i="68"/>
  <c r="AE56" i="68"/>
  <c r="Q56" i="68"/>
  <c r="AA56" i="68"/>
  <c r="AB56" i="68"/>
  <c r="Z56" i="68"/>
  <c r="AD56" i="68"/>
  <c r="W56" i="68"/>
  <c r="Y56" i="68"/>
  <c r="X56" i="68"/>
  <c r="D83" i="68"/>
  <c r="D109" i="67" s="1"/>
  <c r="D112" i="67" s="1"/>
  <c r="D113" i="67" s="1"/>
  <c r="D85" i="68"/>
  <c r="D86" i="68" s="1"/>
  <c r="D88" i="68" s="1"/>
  <c r="D101" i="68"/>
  <c r="D150" i="67" s="1"/>
  <c r="D152" i="67" s="1"/>
  <c r="D154" i="67" s="1"/>
  <c r="H59" i="68"/>
  <c r="U61" i="68"/>
  <c r="E75" i="68"/>
  <c r="AB61" i="68"/>
  <c r="Q61" i="68"/>
  <c r="W61" i="68"/>
  <c r="Y61" i="68"/>
  <c r="AC61" i="68"/>
  <c r="X61" i="68"/>
  <c r="V61" i="68"/>
  <c r="Z61" i="68"/>
  <c r="AE61" i="68"/>
  <c r="AA61" i="68"/>
  <c r="AD61" i="68"/>
  <c r="T61" i="68"/>
  <c r="AC74" i="68"/>
  <c r="S31" i="78"/>
  <c r="R31" i="76"/>
  <c r="R42" i="82"/>
  <c r="Q106" i="67"/>
  <c r="Q58" i="68"/>
  <c r="Q19" i="67"/>
  <c r="V58" i="68" l="1"/>
  <c r="AB58" i="68"/>
  <c r="AA58" i="68"/>
  <c r="AE58" i="68"/>
  <c r="AB19" i="67"/>
  <c r="AB109" i="67" s="1"/>
  <c r="AD58" i="68"/>
  <c r="Y58" i="68"/>
  <c r="AC58" i="68"/>
  <c r="S22" i="78"/>
  <c r="R22" i="76"/>
  <c r="R33" i="82"/>
  <c r="T59" i="68"/>
  <c r="S31" i="76"/>
  <c r="S33" i="76" s="1"/>
  <c r="R33" i="76"/>
  <c r="S42" i="82"/>
  <c r="R44" i="82"/>
  <c r="T44" i="82"/>
  <c r="G93" i="81"/>
  <c r="G93" i="80"/>
  <c r="U32" i="67"/>
  <c r="T32" i="67"/>
  <c r="S52" i="79"/>
  <c r="R58" i="83"/>
  <c r="R56" i="77"/>
  <c r="R66" i="77"/>
  <c r="R65" i="83"/>
  <c r="Z58" i="68"/>
  <c r="G22" i="67"/>
  <c r="AC22" i="67" s="1"/>
  <c r="Y19" i="67"/>
  <c r="Y109" i="67" s="1"/>
  <c r="W19" i="67"/>
  <c r="W109" i="67" s="1"/>
  <c r="AD19" i="67"/>
  <c r="AD109" i="67" s="1"/>
  <c r="AA19" i="67"/>
  <c r="AA109" i="67" s="1"/>
  <c r="V19" i="67"/>
  <c r="V109" i="67" s="1"/>
  <c r="AC19" i="67"/>
  <c r="AC109" i="67" s="1"/>
  <c r="W75" i="68"/>
  <c r="W123" i="67" s="1"/>
  <c r="V75" i="68"/>
  <c r="V123" i="67" s="1"/>
  <c r="E77" i="68"/>
  <c r="T75" i="68"/>
  <c r="T123" i="67" s="1"/>
  <c r="Y75" i="68"/>
  <c r="Y123" i="67" s="1"/>
  <c r="AA75" i="68"/>
  <c r="AA123" i="67" s="1"/>
  <c r="U75" i="68"/>
  <c r="U123" i="67" s="1"/>
  <c r="AD75" i="68"/>
  <c r="AD123" i="67" s="1"/>
  <c r="AB75" i="68"/>
  <c r="AB123" i="67" s="1"/>
  <c r="X75" i="68"/>
  <c r="X123" i="67" s="1"/>
  <c r="AE75" i="68"/>
  <c r="AE123" i="67" s="1"/>
  <c r="Q75" i="68"/>
  <c r="AC75" i="68"/>
  <c r="AC123" i="67" s="1"/>
  <c r="Z75" i="68"/>
  <c r="Z123" i="67" s="1"/>
  <c r="U58" i="68"/>
  <c r="F59" i="68"/>
  <c r="AA59" i="68" s="1"/>
  <c r="U22" i="67"/>
  <c r="Z19" i="67"/>
  <c r="Z109" i="67" s="1"/>
  <c r="R61" i="83"/>
  <c r="S61" i="83" s="1"/>
  <c r="R59" i="77"/>
  <c r="S59" i="77" s="1"/>
  <c r="S55" i="79"/>
  <c r="T55" i="79" s="1"/>
  <c r="S53" i="79"/>
  <c r="T53" i="79" s="1"/>
  <c r="R57" i="77"/>
  <c r="S57" i="77" s="1"/>
  <c r="R59" i="83"/>
  <c r="S59" i="83" s="1"/>
  <c r="X58" i="68"/>
  <c r="T31" i="78"/>
  <c r="T33" i="78" s="1"/>
  <c r="S33" i="78"/>
  <c r="R69" i="83"/>
  <c r="S69" i="83" s="1"/>
  <c r="R70" i="77"/>
  <c r="S70" i="77" s="1"/>
  <c r="S66" i="79"/>
  <c r="T66" i="79" s="1"/>
  <c r="T80" i="79" s="1"/>
  <c r="H77" i="68"/>
  <c r="W58" i="68"/>
  <c r="X19" i="67"/>
  <c r="X109" i="67" s="1"/>
  <c r="AE19" i="67"/>
  <c r="AE109" i="67" s="1"/>
  <c r="V22" i="67" l="1"/>
  <c r="X22" i="67"/>
  <c r="AB59" i="68"/>
  <c r="T52" i="79"/>
  <c r="T56" i="79" s="1"/>
  <c r="T81" i="79" s="1"/>
  <c r="T83" i="79" s="1"/>
  <c r="S56" i="79"/>
  <c r="X59" i="68"/>
  <c r="Z41" i="82"/>
  <c r="S44" i="82"/>
  <c r="Z43" i="82" s="1"/>
  <c r="G96" i="80"/>
  <c r="I96" i="80" s="1"/>
  <c r="I167" i="80" s="1"/>
  <c r="I239" i="80" s="1"/>
  <c r="I311" i="80" s="1"/>
  <c r="I383" i="80" s="1"/>
  <c r="I455" i="80" s="1"/>
  <c r="I527" i="80" s="1"/>
  <c r="I599" i="80" s="1"/>
  <c r="I671" i="80" s="1"/>
  <c r="I743" i="80" s="1"/>
  <c r="I815" i="80" s="1"/>
  <c r="I887" i="80" s="1"/>
  <c r="G24" i="80" s="1"/>
  <c r="G96" i="81"/>
  <c r="I96" i="81" s="1"/>
  <c r="I167" i="81" s="1"/>
  <c r="I239" i="81" s="1"/>
  <c r="I311" i="81" s="1"/>
  <c r="I383" i="81" s="1"/>
  <c r="I455" i="81" s="1"/>
  <c r="I527" i="81" s="1"/>
  <c r="I599" i="81" s="1"/>
  <c r="I671" i="81" s="1"/>
  <c r="I743" i="81" s="1"/>
  <c r="I815" i="81" s="1"/>
  <c r="I887" i="81" s="1"/>
  <c r="G24" i="81" s="1"/>
  <c r="T77" i="68"/>
  <c r="G32" i="67"/>
  <c r="AA22" i="67"/>
  <c r="AE22" i="67"/>
  <c r="AD22" i="67"/>
  <c r="Z22" i="67"/>
  <c r="W22" i="67"/>
  <c r="AB22" i="67"/>
  <c r="I93" i="80"/>
  <c r="I93" i="81"/>
  <c r="AD59" i="68"/>
  <c r="S58" i="83"/>
  <c r="S62" i="83" s="1"/>
  <c r="R62" i="83"/>
  <c r="AE59" i="68"/>
  <c r="Q22" i="67"/>
  <c r="T36" i="82" s="1"/>
  <c r="Y22" i="67"/>
  <c r="AC59" i="68"/>
  <c r="W59" i="68"/>
  <c r="S33" i="82"/>
  <c r="R36" i="82"/>
  <c r="U59" i="68"/>
  <c r="V59" i="68"/>
  <c r="R82" i="83"/>
  <c r="S65" i="83"/>
  <c r="S82" i="83" s="1"/>
  <c r="S22" i="76"/>
  <c r="S25" i="76" s="1"/>
  <c r="S35" i="76" s="1"/>
  <c r="S37" i="76" s="1"/>
  <c r="R25" i="76"/>
  <c r="R35" i="76" s="1"/>
  <c r="S56" i="77"/>
  <c r="R60" i="77"/>
  <c r="Q59" i="68"/>
  <c r="F77" i="68"/>
  <c r="AE77" i="68" s="1"/>
  <c r="Y59" i="68"/>
  <c r="S66" i="77"/>
  <c r="R87" i="77"/>
  <c r="S87" i="77" s="1"/>
  <c r="Z59" i="68"/>
  <c r="T22" i="78"/>
  <c r="T25" i="78" s="1"/>
  <c r="S25" i="78"/>
  <c r="S35" i="78" s="1"/>
  <c r="R83" i="83" l="1"/>
  <c r="S83" i="83"/>
  <c r="AB77" i="68"/>
  <c r="U77" i="68"/>
  <c r="V77" i="68"/>
  <c r="AD77" i="68"/>
  <c r="AC77" i="68"/>
  <c r="X77" i="68"/>
  <c r="I164" i="80"/>
  <c r="AA77" i="68"/>
  <c r="T35" i="78"/>
  <c r="I164" i="81"/>
  <c r="Z32" i="82"/>
  <c r="S36" i="82"/>
  <c r="Z35" i="82" s="1"/>
  <c r="Y77" i="68"/>
  <c r="Z77" i="68"/>
  <c r="S60" i="77"/>
  <c r="R88" i="77"/>
  <c r="W77" i="68"/>
  <c r="Q32" i="67"/>
  <c r="R46" i="82" s="1"/>
  <c r="X32" i="67"/>
  <c r="AB32" i="67"/>
  <c r="AA32" i="67"/>
  <c r="Y32" i="67"/>
  <c r="V32" i="67"/>
  <c r="AC32" i="67"/>
  <c r="AE32" i="67"/>
  <c r="W32" i="67"/>
  <c r="Z32" i="67"/>
  <c r="AD32" i="67"/>
  <c r="Q77" i="68"/>
  <c r="U56" i="79"/>
  <c r="S81" i="79"/>
  <c r="I236" i="81" l="1"/>
  <c r="U81" i="79"/>
  <c r="S83" i="79"/>
  <c r="U83" i="79" s="1"/>
  <c r="S88" i="77"/>
  <c r="R90" i="77"/>
  <c r="S90" i="77" s="1"/>
  <c r="I236" i="80"/>
  <c r="S46" i="82"/>
  <c r="Z45" i="82" l="1"/>
  <c r="I308" i="80"/>
  <c r="I308" i="81"/>
  <c r="I380" i="80" l="1"/>
  <c r="I380" i="81"/>
  <c r="I452" i="81" l="1"/>
  <c r="I452" i="80"/>
  <c r="I524" i="80" l="1"/>
  <c r="I524" i="81"/>
  <c r="I596" i="81" l="1"/>
  <c r="I596" i="80"/>
  <c r="I668" i="80" l="1"/>
  <c r="I668" i="81"/>
  <c r="I740" i="81" l="1"/>
  <c r="I740" i="80"/>
  <c r="I812" i="80" l="1"/>
  <c r="I812" i="81"/>
  <c r="I884" i="81" l="1"/>
  <c r="I884" i="80"/>
  <c r="G21" i="80" l="1"/>
  <c r="G21" i="81"/>
  <c r="C14" i="69" l="1"/>
  <c r="O12" i="69"/>
  <c r="O14" i="69" l="1"/>
  <c r="G97" i="67" l="1"/>
  <c r="G98" i="67" s="1"/>
  <c r="T55" i="67" l="1"/>
  <c r="U55" i="67"/>
  <c r="V55" i="67"/>
  <c r="T57" i="67" l="1"/>
  <c r="U57" i="67"/>
  <c r="V57" i="67"/>
  <c r="G53" i="67"/>
  <c r="G60" i="67" s="1"/>
  <c r="G67" i="67" s="1"/>
  <c r="V54" i="67"/>
  <c r="U54" i="67"/>
  <c r="T54" i="67"/>
  <c r="G102" i="67" l="1"/>
  <c r="AB101" i="67" l="1"/>
  <c r="AB124" i="67" s="1"/>
  <c r="AE101" i="67"/>
  <c r="AE124" i="67" s="1"/>
  <c r="Q101" i="67"/>
  <c r="U101" i="67"/>
  <c r="U124" i="67" s="1"/>
  <c r="X101" i="67"/>
  <c r="X124" i="67" s="1"/>
  <c r="AC101" i="67"/>
  <c r="AC124" i="67" s="1"/>
  <c r="AA101" i="67"/>
  <c r="AA124" i="67" s="1"/>
  <c r="Z101" i="67"/>
  <c r="Z124" i="67" s="1"/>
  <c r="AD101" i="67"/>
  <c r="AD124" i="67" s="1"/>
  <c r="T101" i="67"/>
  <c r="T124" i="67" s="1"/>
  <c r="Y101" i="67"/>
  <c r="Y124" i="67" s="1"/>
  <c r="V101" i="67"/>
  <c r="V124" i="67" s="1"/>
  <c r="W101" i="67"/>
  <c r="W124" i="67" s="1"/>
  <c r="F97" i="67" l="1"/>
  <c r="F98" i="67" s="1"/>
  <c r="R130" i="82"/>
  <c r="AE95" i="67"/>
  <c r="X95" i="67"/>
  <c r="AC95" i="67"/>
  <c r="Q95" i="67"/>
  <c r="AA95" i="67"/>
  <c r="W95" i="67"/>
  <c r="U95" i="67"/>
  <c r="AD95" i="67"/>
  <c r="Z95" i="67"/>
  <c r="AB95" i="67"/>
  <c r="T95" i="67"/>
  <c r="V95" i="67"/>
  <c r="Y95" i="67"/>
  <c r="S89" i="78" l="1"/>
  <c r="T89" i="78" s="1"/>
  <c r="R87" i="76"/>
  <c r="S87" i="76" s="1"/>
  <c r="R124" i="82"/>
  <c r="S124" i="82" s="1"/>
  <c r="Z123" i="82" s="1"/>
  <c r="AD92" i="67"/>
  <c r="Z92" i="67"/>
  <c r="E97" i="67"/>
  <c r="Y92" i="67"/>
  <c r="W92" i="67"/>
  <c r="AC92" i="67"/>
  <c r="AA92" i="67"/>
  <c r="T92" i="67"/>
  <c r="Q92" i="67"/>
  <c r="U92" i="67"/>
  <c r="V92" i="67"/>
  <c r="AB92" i="67"/>
  <c r="AE92" i="67"/>
  <c r="X92" i="67"/>
  <c r="S130" i="82"/>
  <c r="AC97" i="67" l="1"/>
  <c r="AC112" i="67" s="1"/>
  <c r="T97" i="67"/>
  <c r="T112" i="67" s="1"/>
  <c r="U97" i="67"/>
  <c r="U112" i="67" s="1"/>
  <c r="Q97" i="67"/>
  <c r="W97" i="67"/>
  <c r="W112" i="67" s="1"/>
  <c r="AB97" i="67"/>
  <c r="AB112" i="67" s="1"/>
  <c r="Z97" i="67"/>
  <c r="Z112" i="67" s="1"/>
  <c r="AD97" i="67"/>
  <c r="AD112" i="67" s="1"/>
  <c r="X97" i="67"/>
  <c r="X112" i="67" s="1"/>
  <c r="Y97" i="67"/>
  <c r="Y112" i="67" s="1"/>
  <c r="V97" i="67"/>
  <c r="V112" i="67" s="1"/>
  <c r="AE97" i="67"/>
  <c r="AE112" i="67" s="1"/>
  <c r="AA97" i="67"/>
  <c r="AA112" i="67" s="1"/>
  <c r="E98" i="67"/>
  <c r="Z129" i="82"/>
  <c r="S86" i="78"/>
  <c r="R121" i="82"/>
  <c r="R84" i="76"/>
  <c r="T126" i="82" l="1"/>
  <c r="U98" i="67"/>
  <c r="AC98" i="67"/>
  <c r="W98" i="67"/>
  <c r="AB98" i="67"/>
  <c r="T98" i="67"/>
  <c r="G95" i="81"/>
  <c r="I95" i="81" s="1"/>
  <c r="I166" i="81" s="1"/>
  <c r="I238" i="81" s="1"/>
  <c r="I310" i="81" s="1"/>
  <c r="I382" i="81" s="1"/>
  <c r="I454" i="81" s="1"/>
  <c r="I526" i="81" s="1"/>
  <c r="I598" i="81" s="1"/>
  <c r="I670" i="81" s="1"/>
  <c r="I742" i="81" s="1"/>
  <c r="I814" i="81" s="1"/>
  <c r="I886" i="81" s="1"/>
  <c r="G23" i="81" s="1"/>
  <c r="X98" i="67"/>
  <c r="Y98" i="67"/>
  <c r="Z98" i="67"/>
  <c r="AD98" i="67"/>
  <c r="G95" i="80"/>
  <c r="I95" i="80" s="1"/>
  <c r="I166" i="80" s="1"/>
  <c r="I238" i="80" s="1"/>
  <c r="I310" i="80" s="1"/>
  <c r="I382" i="80" s="1"/>
  <c r="I454" i="80" s="1"/>
  <c r="I526" i="80" s="1"/>
  <c r="I598" i="80" s="1"/>
  <c r="I670" i="80" s="1"/>
  <c r="I742" i="80" s="1"/>
  <c r="I814" i="80" s="1"/>
  <c r="I886" i="80" s="1"/>
  <c r="G23" i="80" s="1"/>
  <c r="Q98" i="67"/>
  <c r="AA98" i="67"/>
  <c r="AE98" i="67"/>
  <c r="V98" i="67"/>
  <c r="S121" i="82"/>
  <c r="R126" i="82"/>
  <c r="R127" i="82" s="1"/>
  <c r="R89" i="76"/>
  <c r="R90" i="76" s="1"/>
  <c r="S84" i="76"/>
  <c r="S89" i="76" s="1"/>
  <c r="T86" i="78"/>
  <c r="T91" i="78" s="1"/>
  <c r="T92" i="78" s="1"/>
  <c r="S91" i="78"/>
  <c r="S92" i="78" s="1"/>
  <c r="F53" i="67"/>
  <c r="F60" i="67" s="1"/>
  <c r="F67" i="67" s="1"/>
  <c r="S126" i="82" l="1"/>
  <c r="Z120" i="82"/>
  <c r="S90" i="76"/>
  <c r="F102" i="67"/>
  <c r="Z125" i="82" l="1"/>
  <c r="S127" i="82"/>
  <c r="Z126" i="82" l="1"/>
  <c r="T56" i="67" l="1"/>
  <c r="V56" i="67"/>
  <c r="U56" i="67"/>
  <c r="E53" i="67"/>
  <c r="V53" i="67" l="1"/>
  <c r="V110" i="67" s="1"/>
  <c r="T53" i="67"/>
  <c r="T110" i="67" s="1"/>
  <c r="U53" i="67"/>
  <c r="U110" i="67" s="1"/>
  <c r="E60" i="67"/>
  <c r="U60" i="67" l="1"/>
  <c r="T60" i="67"/>
  <c r="V60" i="67"/>
  <c r="E67" i="67"/>
  <c r="G94" i="81" l="1"/>
  <c r="U67" i="67"/>
  <c r="G94" i="80"/>
  <c r="T67" i="67"/>
  <c r="V67" i="67"/>
  <c r="E102" i="67"/>
  <c r="I94" i="80" l="1"/>
  <c r="G101" i="80"/>
  <c r="V102" i="67"/>
  <c r="U102" i="67"/>
  <c r="T102" i="67"/>
  <c r="I94" i="81"/>
  <c r="G101" i="81"/>
  <c r="I165" i="81" l="1"/>
  <c r="I101" i="81"/>
  <c r="I165" i="80"/>
  <c r="I101" i="80"/>
  <c r="I237" i="80" l="1"/>
  <c r="I172" i="80"/>
  <c r="I237" i="81"/>
  <c r="I172" i="81"/>
  <c r="I309" i="81" l="1"/>
  <c r="I244" i="81"/>
  <c r="I309" i="80"/>
  <c r="I244" i="80"/>
  <c r="AD57" i="67"/>
  <c r="Q57" i="67"/>
  <c r="R86" i="82" s="1"/>
  <c r="S86" i="82" s="1"/>
  <c r="Z85" i="82" s="1"/>
  <c r="AC57" i="67"/>
  <c r="AE57" i="67"/>
  <c r="Z57" i="67"/>
  <c r="X57" i="67"/>
  <c r="AA57" i="67"/>
  <c r="Y57" i="67"/>
  <c r="AB57" i="67"/>
  <c r="W57" i="67"/>
  <c r="H53" i="67"/>
  <c r="AA54" i="67"/>
  <c r="AC54" i="67"/>
  <c r="Z54" i="67"/>
  <c r="AB54" i="67"/>
  <c r="Q54" i="67"/>
  <c r="W54" i="67"/>
  <c r="Y54" i="67"/>
  <c r="AE54" i="67"/>
  <c r="X54" i="67"/>
  <c r="AD54" i="67"/>
  <c r="AC56" i="67"/>
  <c r="AB56" i="67"/>
  <c r="X56" i="67"/>
  <c r="W56" i="67"/>
  <c r="AA56" i="67"/>
  <c r="Q56" i="67"/>
  <c r="AE56" i="67"/>
  <c r="AD56" i="67"/>
  <c r="Y56" i="67"/>
  <c r="Z56" i="67"/>
  <c r="Z55" i="67"/>
  <c r="AA55" i="67"/>
  <c r="AC55" i="67"/>
  <c r="AE55" i="67"/>
  <c r="W55" i="67"/>
  <c r="Y55" i="67"/>
  <c r="X55" i="67"/>
  <c r="AD55" i="67"/>
  <c r="AB55" i="67"/>
  <c r="Q55" i="67"/>
  <c r="S50" i="78" l="1"/>
  <c r="R71" i="82"/>
  <c r="R50" i="76"/>
  <c r="S55" i="78"/>
  <c r="T55" i="78" s="1"/>
  <c r="R55" i="76"/>
  <c r="S55" i="76" s="1"/>
  <c r="R76" i="82"/>
  <c r="S76" i="82" s="1"/>
  <c r="Z75" i="82" s="1"/>
  <c r="R81" i="82"/>
  <c r="S81" i="82" s="1"/>
  <c r="Z80" i="82" s="1"/>
  <c r="S60" i="78"/>
  <c r="T60" i="78" s="1"/>
  <c r="R60" i="76"/>
  <c r="S60" i="76" s="1"/>
  <c r="H60" i="67"/>
  <c r="AC53" i="67"/>
  <c r="AC110" i="67" s="1"/>
  <c r="X53" i="67"/>
  <c r="X110" i="67" s="1"/>
  <c r="W53" i="67"/>
  <c r="W110" i="67" s="1"/>
  <c r="AA53" i="67"/>
  <c r="AA110" i="67" s="1"/>
  <c r="Y53" i="67"/>
  <c r="Y110" i="67" s="1"/>
  <c r="AB53" i="67"/>
  <c r="AB110" i="67" s="1"/>
  <c r="Q53" i="67"/>
  <c r="AD53" i="67"/>
  <c r="AD110" i="67" s="1"/>
  <c r="AE53" i="67"/>
  <c r="AE110" i="67" s="1"/>
  <c r="Z53" i="67"/>
  <c r="Z110" i="67" s="1"/>
  <c r="I381" i="80"/>
  <c r="I316" i="80"/>
  <c r="I381" i="81"/>
  <c r="I316" i="81"/>
  <c r="H67" i="67" l="1"/>
  <c r="AB60" i="67"/>
  <c r="Q60" i="67"/>
  <c r="T90" i="82" s="1"/>
  <c r="W60" i="67"/>
  <c r="Z60" i="67"/>
  <c r="AD60" i="67"/>
  <c r="AE60" i="67"/>
  <c r="AC60" i="67"/>
  <c r="X60" i="67"/>
  <c r="AA60" i="67"/>
  <c r="Y60" i="67"/>
  <c r="I453" i="80"/>
  <c r="I388" i="80"/>
  <c r="S50" i="76"/>
  <c r="S61" i="76" s="1"/>
  <c r="S64" i="76" s="1"/>
  <c r="R61" i="76"/>
  <c r="R64" i="76" s="1"/>
  <c r="R71" i="76" s="1"/>
  <c r="S71" i="82"/>
  <c r="R90" i="82"/>
  <c r="T91" i="82" s="1"/>
  <c r="I453" i="81"/>
  <c r="I388" i="81"/>
  <c r="T50" i="78"/>
  <c r="T61" i="78" s="1"/>
  <c r="T64" i="78" s="1"/>
  <c r="T71" i="78" s="1"/>
  <c r="T95" i="78" s="1"/>
  <c r="S61" i="78"/>
  <c r="S64" i="78" s="1"/>
  <c r="S71" i="78" s="1"/>
  <c r="I525" i="81" l="1"/>
  <c r="I460" i="81"/>
  <c r="Z70" i="82"/>
  <c r="S90" i="82"/>
  <c r="Z89" i="82" s="1"/>
  <c r="S71" i="76"/>
  <c r="R93" i="76"/>
  <c r="S95" i="78"/>
  <c r="I525" i="80"/>
  <c r="I460" i="80"/>
  <c r="H102" i="67"/>
  <c r="Z67" i="67"/>
  <c r="AB67" i="67"/>
  <c r="Y67" i="67"/>
  <c r="W67" i="67"/>
  <c r="Q67" i="67"/>
  <c r="R97" i="82" s="1"/>
  <c r="X67" i="67"/>
  <c r="AE67" i="67"/>
  <c r="AA67" i="67"/>
  <c r="AD67" i="67"/>
  <c r="AC67" i="67"/>
  <c r="S93" i="76" l="1"/>
  <c r="I597" i="80"/>
  <c r="I532" i="80"/>
  <c r="AB102" i="67"/>
  <c r="Z102" i="67"/>
  <c r="AC102" i="67"/>
  <c r="AA102" i="67"/>
  <c r="W102" i="67"/>
  <c r="Y102" i="67"/>
  <c r="AE102" i="67"/>
  <c r="Q102" i="67"/>
  <c r="AD102" i="67"/>
  <c r="X102" i="67"/>
  <c r="S97" i="82"/>
  <c r="R131" i="82"/>
  <c r="I597" i="81"/>
  <c r="I532" i="81"/>
  <c r="I669" i="81" l="1"/>
  <c r="I604" i="81"/>
  <c r="I669" i="80"/>
  <c r="I604" i="80"/>
  <c r="Z96" i="82"/>
  <c r="S131" i="82"/>
  <c r="Z130" i="82" s="1"/>
  <c r="I741" i="80" l="1"/>
  <c r="I676" i="80"/>
  <c r="I741" i="81"/>
  <c r="I676" i="81"/>
  <c r="I813" i="81" l="1"/>
  <c r="I748" i="81"/>
  <c r="I813" i="80"/>
  <c r="I748" i="80"/>
  <c r="I885" i="80" l="1"/>
  <c r="I820" i="80"/>
  <c r="I885" i="81"/>
  <c r="I820" i="81"/>
  <c r="G22" i="81" l="1"/>
  <c r="G29" i="81" s="1"/>
  <c r="I892" i="81"/>
  <c r="G22" i="80"/>
  <c r="G29" i="80" s="1"/>
  <c r="I892" i="80"/>
  <c r="T79" i="68" l="1"/>
  <c r="T115" i="67" s="1"/>
  <c r="G86" i="80" l="1"/>
  <c r="G86" i="81"/>
  <c r="G90" i="81" l="1"/>
  <c r="G103" i="81" s="1"/>
  <c r="G116" i="81" s="1"/>
  <c r="G120" i="81" s="1"/>
  <c r="G189" i="81" s="1"/>
  <c r="G191" i="81" s="1"/>
  <c r="G261" i="81" s="1"/>
  <c r="G263" i="81" s="1"/>
  <c r="G333" i="81" s="1"/>
  <c r="G335" i="81" s="1"/>
  <c r="G405" i="81" s="1"/>
  <c r="G407" i="81" s="1"/>
  <c r="G477" i="81" s="1"/>
  <c r="G479" i="81" s="1"/>
  <c r="G549" i="81" s="1"/>
  <c r="G551" i="81" s="1"/>
  <c r="G621" i="81" s="1"/>
  <c r="G623" i="81" s="1"/>
  <c r="G693" i="81" s="1"/>
  <c r="G695" i="81" s="1"/>
  <c r="G765" i="81" s="1"/>
  <c r="G767" i="81" s="1"/>
  <c r="G837" i="81" s="1"/>
  <c r="G839" i="81" s="1"/>
  <c r="G909" i="81" s="1"/>
  <c r="G911" i="81" s="1"/>
  <c r="I86" i="81"/>
  <c r="I86" i="80"/>
  <c r="G90" i="80"/>
  <c r="G103" i="80" s="1"/>
  <c r="G116" i="80" s="1"/>
  <c r="G120" i="80" s="1"/>
  <c r="G189" i="80" s="1"/>
  <c r="G191" i="80" s="1"/>
  <c r="G261" i="80" s="1"/>
  <c r="G263" i="80" s="1"/>
  <c r="G333" i="80" s="1"/>
  <c r="G335" i="80" s="1"/>
  <c r="G405" i="80" s="1"/>
  <c r="G407" i="80" s="1"/>
  <c r="G477" i="80" s="1"/>
  <c r="G479" i="80" s="1"/>
  <c r="G549" i="80" s="1"/>
  <c r="G551" i="80" s="1"/>
  <c r="G621" i="80" s="1"/>
  <c r="G623" i="80" s="1"/>
  <c r="G693" i="80" s="1"/>
  <c r="G695" i="80" s="1"/>
  <c r="G765" i="80" s="1"/>
  <c r="G767" i="80" s="1"/>
  <c r="G837" i="80" s="1"/>
  <c r="G839" i="80" s="1"/>
  <c r="G909" i="80" s="1"/>
  <c r="G911" i="80" s="1"/>
  <c r="T78" i="68" l="1"/>
  <c r="E80" i="68"/>
  <c r="T99" i="67"/>
  <c r="E103" i="67"/>
  <c r="I157" i="80"/>
  <c r="I90" i="80"/>
  <c r="I103" i="80" s="1"/>
  <c r="I116" i="80" s="1"/>
  <c r="I120" i="80" s="1"/>
  <c r="G122" i="81"/>
  <c r="L122" i="81" s="1"/>
  <c r="G122" i="80"/>
  <c r="L122" i="80" s="1"/>
  <c r="T33" i="67"/>
  <c r="T68" i="67"/>
  <c r="I90" i="81"/>
  <c r="I103" i="81" s="1"/>
  <c r="I116" i="81" s="1"/>
  <c r="I120" i="81" s="1"/>
  <c r="I157" i="81"/>
  <c r="T34" i="67" l="1"/>
  <c r="T100" i="67"/>
  <c r="T103" i="67"/>
  <c r="E104" i="67"/>
  <c r="I229" i="80"/>
  <c r="I161" i="80"/>
  <c r="I174" i="80" s="1"/>
  <c r="I187" i="80" s="1"/>
  <c r="I191" i="80" s="1"/>
  <c r="T69" i="67"/>
  <c r="T114" i="67"/>
  <c r="T125" i="67" s="1"/>
  <c r="T80" i="68"/>
  <c r="I229" i="81"/>
  <c r="I161" i="81"/>
  <c r="I174" i="81" s="1"/>
  <c r="I187" i="81" s="1"/>
  <c r="I191" i="81" s="1"/>
  <c r="I301" i="81" l="1"/>
  <c r="I233" i="81"/>
  <c r="I246" i="81" s="1"/>
  <c r="I259" i="81" s="1"/>
  <c r="I263" i="81" s="1"/>
  <c r="I301" i="80"/>
  <c r="I233" i="80"/>
  <c r="I246" i="80" s="1"/>
  <c r="I259" i="80" s="1"/>
  <c r="I263" i="80" s="1"/>
  <c r="T104" i="67"/>
  <c r="U33" i="67" l="1"/>
  <c r="I305" i="80"/>
  <c r="I318" i="80" s="1"/>
  <c r="I331" i="80" s="1"/>
  <c r="I335" i="80" s="1"/>
  <c r="I373" i="80"/>
  <c r="U79" i="68"/>
  <c r="U115" i="67" s="1"/>
  <c r="V79" i="68"/>
  <c r="V115" i="67" s="1"/>
  <c r="I305" i="81"/>
  <c r="I318" i="81" s="1"/>
  <c r="I331" i="81" s="1"/>
  <c r="I335" i="81" s="1"/>
  <c r="I373" i="81"/>
  <c r="I377" i="80" l="1"/>
  <c r="I390" i="80" s="1"/>
  <c r="I403" i="80" s="1"/>
  <c r="I407" i="80" s="1"/>
  <c r="I445" i="80"/>
  <c r="I445" i="81"/>
  <c r="I377" i="81"/>
  <c r="I390" i="81" s="1"/>
  <c r="I403" i="81" s="1"/>
  <c r="I407" i="81" s="1"/>
  <c r="U34" i="67"/>
  <c r="I449" i="81" l="1"/>
  <c r="I462" i="81" s="1"/>
  <c r="I475" i="81" s="1"/>
  <c r="I479" i="81" s="1"/>
  <c r="I517" i="81"/>
  <c r="I449" i="80"/>
  <c r="I462" i="80" s="1"/>
  <c r="I475" i="80" s="1"/>
  <c r="I479" i="80" s="1"/>
  <c r="I517" i="80"/>
  <c r="I521" i="80" l="1"/>
  <c r="I534" i="80" s="1"/>
  <c r="I547" i="80" s="1"/>
  <c r="I551" i="80" s="1"/>
  <c r="I589" i="80"/>
  <c r="I589" i="81"/>
  <c r="I521" i="81"/>
  <c r="I534" i="81" s="1"/>
  <c r="I547" i="81" s="1"/>
  <c r="I551" i="81" s="1"/>
  <c r="I661" i="81" l="1"/>
  <c r="I593" i="81"/>
  <c r="I606" i="81" s="1"/>
  <c r="I619" i="81" s="1"/>
  <c r="I623" i="81" s="1"/>
  <c r="I593" i="80"/>
  <c r="I606" i="80" s="1"/>
  <c r="I619" i="80" s="1"/>
  <c r="I623" i="80" s="1"/>
  <c r="I661" i="80"/>
  <c r="I665" i="80" l="1"/>
  <c r="I678" i="80" s="1"/>
  <c r="I691" i="80" s="1"/>
  <c r="I695" i="80" s="1"/>
  <c r="I733" i="80"/>
  <c r="I733" i="81"/>
  <c r="I665" i="81"/>
  <c r="I678" i="81" s="1"/>
  <c r="I691" i="81" s="1"/>
  <c r="I695" i="81" s="1"/>
  <c r="I737" i="80" l="1"/>
  <c r="I750" i="80" s="1"/>
  <c r="I763" i="80" s="1"/>
  <c r="I767" i="80" s="1"/>
  <c r="I805" i="80"/>
  <c r="I805" i="81"/>
  <c r="I737" i="81"/>
  <c r="I750" i="81" s="1"/>
  <c r="I763" i="81" s="1"/>
  <c r="I767" i="81" s="1"/>
  <c r="I809" i="81" l="1"/>
  <c r="I822" i="81" s="1"/>
  <c r="I835" i="81" s="1"/>
  <c r="I839" i="81" s="1"/>
  <c r="I877" i="81"/>
  <c r="I877" i="80"/>
  <c r="I809" i="80"/>
  <c r="I822" i="80" s="1"/>
  <c r="I835" i="80" s="1"/>
  <c r="I839" i="80" s="1"/>
  <c r="I881" i="80" l="1"/>
  <c r="I894" i="80" s="1"/>
  <c r="I907" i="80" s="1"/>
  <c r="I911" i="80" s="1"/>
  <c r="G14" i="80"/>
  <c r="G18" i="80" s="1"/>
  <c r="G31" i="80" s="1"/>
  <c r="G44" i="80" s="1"/>
  <c r="G48" i="80" s="1"/>
  <c r="G14" i="81"/>
  <c r="G18" i="81" s="1"/>
  <c r="G31" i="81" s="1"/>
  <c r="G44" i="81" s="1"/>
  <c r="G48" i="81" s="1"/>
  <c r="I881" i="81"/>
  <c r="I894" i="81" s="1"/>
  <c r="I907" i="81" s="1"/>
  <c r="I911" i="81" s="1"/>
  <c r="G50" i="80" l="1"/>
  <c r="G50" i="81"/>
  <c r="AA79" i="68" l="1"/>
  <c r="AA115" i="67" s="1"/>
  <c r="Q79" i="68"/>
  <c r="X79" i="68"/>
  <c r="X115" i="67" s="1"/>
  <c r="AE79" i="68"/>
  <c r="AE115" i="67" s="1"/>
  <c r="AC79" i="68"/>
  <c r="AC115" i="67" s="1"/>
  <c r="AD79" i="68"/>
  <c r="AD115" i="67" s="1"/>
  <c r="Y79" i="68"/>
  <c r="Y115" i="67" s="1"/>
  <c r="W79" i="68"/>
  <c r="W115" i="67" s="1"/>
  <c r="Z79" i="68"/>
  <c r="Z115" i="67" s="1"/>
  <c r="AB79" i="68"/>
  <c r="AB115" i="67" s="1"/>
  <c r="H100" i="67" l="1"/>
  <c r="H69" i="67"/>
  <c r="G69" i="67" l="1"/>
  <c r="F69" i="67" l="1"/>
  <c r="V68" i="67"/>
  <c r="AD68" i="67"/>
  <c r="Y68" i="67"/>
  <c r="X68" i="67"/>
  <c r="AA68" i="67"/>
  <c r="Q68" i="67"/>
  <c r="AB68" i="67"/>
  <c r="U68" i="67"/>
  <c r="Z68" i="67"/>
  <c r="AC68" i="67"/>
  <c r="AE68" i="67"/>
  <c r="W68" i="67"/>
  <c r="R72" i="76" l="1"/>
  <c r="S72" i="78"/>
  <c r="R98" i="82"/>
  <c r="Z69" i="67"/>
  <c r="AC69" i="67"/>
  <c r="AE69" i="67"/>
  <c r="X69" i="67"/>
  <c r="AA69" i="67"/>
  <c r="Y69" i="67"/>
  <c r="W69" i="67"/>
  <c r="AB69" i="67"/>
  <c r="U69" i="67"/>
  <c r="Q69" i="67"/>
  <c r="T99" i="82" s="1"/>
  <c r="V69" i="67"/>
  <c r="AD69" i="67"/>
  <c r="T72" i="78" l="1"/>
  <c r="T73" i="78" s="1"/>
  <c r="S73" i="78"/>
  <c r="S98" i="82"/>
  <c r="R99" i="82"/>
  <c r="S72" i="76"/>
  <c r="S73" i="76" s="1"/>
  <c r="R73" i="76"/>
  <c r="Z97" i="82" l="1"/>
  <c r="S99" i="82"/>
  <c r="Z98" i="82" s="1"/>
  <c r="G100" i="67"/>
  <c r="F103" i="67"/>
  <c r="F100" i="67"/>
  <c r="V99" i="67"/>
  <c r="X99" i="67"/>
  <c r="Z99" i="67"/>
  <c r="U99" i="67"/>
  <c r="Y99" i="67"/>
  <c r="Q99" i="67"/>
  <c r="AB99" i="67"/>
  <c r="AC99" i="67"/>
  <c r="AD99" i="67"/>
  <c r="AA99" i="67"/>
  <c r="W99" i="67"/>
  <c r="AE99" i="67"/>
  <c r="F104" i="67" l="1"/>
  <c r="U103" i="67"/>
  <c r="AA100" i="67"/>
  <c r="AB100" i="67"/>
  <c r="U100" i="67"/>
  <c r="X100" i="67"/>
  <c r="AC100" i="67"/>
  <c r="W100" i="67"/>
  <c r="V100" i="67"/>
  <c r="Y100" i="67"/>
  <c r="AE100" i="67"/>
  <c r="Z100" i="67"/>
  <c r="AD100" i="67"/>
  <c r="R128" i="82"/>
  <c r="R91" i="76"/>
  <c r="S93" i="78"/>
  <c r="Q100" i="67"/>
  <c r="T129" i="82" s="1"/>
  <c r="D104" i="68"/>
  <c r="H80" i="68"/>
  <c r="S91" i="76" l="1"/>
  <c r="R92" i="76"/>
  <c r="S92" i="76" s="1"/>
  <c r="G80" i="68"/>
  <c r="T93" i="78"/>
  <c r="S94" i="78"/>
  <c r="S128" i="82"/>
  <c r="R129" i="82"/>
  <c r="U104" i="67"/>
  <c r="T94" i="78" l="1"/>
  <c r="F80" i="68"/>
  <c r="X78" i="68"/>
  <c r="AC78" i="68"/>
  <c r="AD78" i="68"/>
  <c r="AE78" i="68"/>
  <c r="AA78" i="68"/>
  <c r="AB78" i="68"/>
  <c r="U78" i="68"/>
  <c r="U114" i="67" s="1"/>
  <c r="U125" i="67" s="1"/>
  <c r="Q78" i="68"/>
  <c r="V78" i="68"/>
  <c r="Y78" i="68"/>
  <c r="W78" i="68"/>
  <c r="Z78" i="68"/>
  <c r="Z127" i="82"/>
  <c r="S129" i="82"/>
  <c r="Z128" i="82" s="1"/>
  <c r="Q33" i="67" l="1"/>
  <c r="AE33" i="67"/>
  <c r="AE114" i="67" s="1"/>
  <c r="AE125" i="67" s="1"/>
  <c r="X33" i="67"/>
  <c r="X114" i="67" s="1"/>
  <c r="X125" i="67" s="1"/>
  <c r="AD33" i="67"/>
  <c r="AD114" i="67" s="1"/>
  <c r="AD125" i="67" s="1"/>
  <c r="Y33" i="67"/>
  <c r="Y114" i="67" s="1"/>
  <c r="AB33" i="67"/>
  <c r="AB114" i="67" s="1"/>
  <c r="AB125" i="67" s="1"/>
  <c r="AC33" i="67"/>
  <c r="AC114" i="67" s="1"/>
  <c r="AC125" i="67" s="1"/>
  <c r="AA33" i="67"/>
  <c r="AA114" i="67" s="1"/>
  <c r="AA125" i="67" s="1"/>
  <c r="V33" i="67"/>
  <c r="V114" i="67" s="1"/>
  <c r="V125" i="67" s="1"/>
  <c r="W33" i="67"/>
  <c r="W114" i="67" s="1"/>
  <c r="W125" i="67" s="1"/>
  <c r="Z33" i="67"/>
  <c r="Z114" i="67" s="1"/>
  <c r="Z125" i="67" s="1"/>
  <c r="G103" i="67"/>
  <c r="D164" i="67"/>
  <c r="H103" i="67"/>
  <c r="H104" i="67" s="1"/>
  <c r="D116" i="67"/>
  <c r="D105" i="68" s="1"/>
  <c r="D107" i="68" s="1"/>
  <c r="AB80" i="68"/>
  <c r="AE80" i="68"/>
  <c r="V80" i="68"/>
  <c r="Y80" i="68"/>
  <c r="W80" i="68"/>
  <c r="AC80" i="68"/>
  <c r="AA80" i="68"/>
  <c r="Z80" i="68"/>
  <c r="U80" i="68"/>
  <c r="AD80" i="68"/>
  <c r="X80" i="68"/>
  <c r="R84" i="83"/>
  <c r="R89" i="77"/>
  <c r="S89" i="77" s="1"/>
  <c r="S82" i="79"/>
  <c r="T82" i="79" s="1"/>
  <c r="Q80" i="68"/>
  <c r="R86" i="83" l="1"/>
  <c r="S84" i="79"/>
  <c r="R47" i="82"/>
  <c r="R36" i="76"/>
  <c r="S36" i="78"/>
  <c r="G104" i="67"/>
  <c r="AC103" i="67"/>
  <c r="Y103" i="67"/>
  <c r="AB103" i="67"/>
  <c r="V103" i="67"/>
  <c r="X103" i="67"/>
  <c r="AD103" i="67"/>
  <c r="Z103" i="67"/>
  <c r="W103" i="67"/>
  <c r="Q103" i="67"/>
  <c r="Q104" i="67" s="1"/>
  <c r="Q82" i="68" s="1"/>
  <c r="AE103" i="67"/>
  <c r="AA103" i="67"/>
  <c r="W34" i="67"/>
  <c r="V34" i="67"/>
  <c r="Z34" i="67"/>
  <c r="AA34" i="67"/>
  <c r="Q34" i="67"/>
  <c r="T48" i="82" s="1"/>
  <c r="AC34" i="67"/>
  <c r="X34" i="67"/>
  <c r="AE34" i="67"/>
  <c r="AD34" i="67"/>
  <c r="AB34" i="67"/>
  <c r="Y34" i="67"/>
  <c r="Y125" i="67"/>
  <c r="S84" i="83"/>
  <c r="S85" i="83" s="1"/>
  <c r="R85" i="83"/>
  <c r="S86" i="83" s="1"/>
  <c r="S88" i="83" l="1"/>
  <c r="R94" i="76"/>
  <c r="R37" i="76"/>
  <c r="R134" i="82"/>
  <c r="S134" i="82" s="1"/>
  <c r="Z133" i="82" s="1"/>
  <c r="S98" i="78"/>
  <c r="T36" i="78"/>
  <c r="S37" i="78"/>
  <c r="S96" i="78"/>
  <c r="S97" i="78" s="1"/>
  <c r="S47" i="82"/>
  <c r="R48" i="82"/>
  <c r="R132" i="82"/>
  <c r="R133" i="82" s="1"/>
  <c r="AB104" i="67"/>
  <c r="AD104" i="67"/>
  <c r="Z104" i="67"/>
  <c r="W104" i="67"/>
  <c r="AA104" i="67"/>
  <c r="V104" i="67"/>
  <c r="AE104" i="67"/>
  <c r="X104" i="67"/>
  <c r="Y104" i="67"/>
  <c r="AC104" i="67"/>
  <c r="Z46" i="82" l="1"/>
  <c r="S48" i="82"/>
  <c r="Z47" i="82" s="1"/>
  <c r="S132" i="82"/>
  <c r="T37" i="78"/>
  <c r="T96" i="78"/>
  <c r="T97" i="78" s="1"/>
  <c r="Q83" i="68"/>
  <c r="S135" i="82"/>
  <c r="Z134" i="82" s="1"/>
  <c r="S94" i="76"/>
  <c r="R95" i="76"/>
  <c r="S95" i="76" s="1"/>
  <c r="S133" i="82" l="1"/>
  <c r="Z131" i="82"/>
  <c r="T133" i="82" l="1"/>
  <c r="Z132" i="8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58" authorId="0" shapeId="0" xr:uid="{DB0688D5-E66D-4182-8270-3D139F2AF608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BBM Dirut
STNK KH8088 (Hanau)
Pemeliharaan Kendaraan
STNK 4 unit Motor</t>
        </r>
      </text>
    </comment>
    <comment ref="F58" authorId="0" shapeId="0" xr:uid="{9922AA05-71D0-45D9-B0FE-CB699C5145D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6 jt BAN Tangki
</t>
        </r>
      </text>
    </comment>
    <comment ref="G58" authorId="0" shapeId="0" xr:uid="{8BEBD102-36B4-4885-A2B0-7FCDFCEEB01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BBM
Pemeliharaan
STNK KH1407 &amp; Pick Up 
Ktr
STNK Motor 7 Unit</t>
        </r>
      </text>
    </comment>
    <comment ref="K58" authorId="0" shapeId="0" xr:uid="{36B5870A-D6AF-4A4D-B7D2-03B2A8F257C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+STNK 1 unit motor</t>
        </r>
      </text>
    </comment>
    <comment ref="N58" authorId="0" shapeId="0" xr:uid="{5D147A59-4EE8-4849-8640-E3427B7F205B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8"/>
            <color indexed="81"/>
            <rFont val="Tahoma"/>
            <family val="2"/>
          </rPr>
          <t xml:space="preserve">
STNK Motor 12 unit</t>
        </r>
      </text>
    </comment>
    <comment ref="E81" authorId="0" shapeId="0" xr:uid="{EF08C0B4-1F49-41C0-A5A5-5785F3B2A709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4 Kegiatan - Rp 4,200,000</t>
        </r>
      </text>
    </comment>
    <comment ref="F81" authorId="0" shapeId="0" xr:uid="{11D67D6C-E345-4C39-840B-2CAC124EE7C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1 Kegiatan Rp 4,200,000</t>
        </r>
      </text>
    </comment>
    <comment ref="G81" authorId="0" shapeId="0" xr:uid="{11F07670-A3C7-4435-A8CA-CA5F852DBFC7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2 Kegiatan</t>
        </r>
      </text>
    </comment>
    <comment ref="I81" authorId="0" shapeId="0" xr:uid="{91FBEFA9-0710-468D-B262-7CE06D65CEA9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3 Kegiatan Rp 4,200,000</t>
        </r>
      </text>
    </comment>
    <comment ref="J81" authorId="0" shapeId="0" xr:uid="{EF82CF96-CB7E-46FF-8128-04F192CD800C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1 Kegiatan Rp 4,200,000</t>
        </r>
      </text>
    </comment>
    <comment ref="K81" authorId="0" shapeId="0" xr:uid="{8BD57999-788B-4C34-B596-F411F137442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3 Kegiatan Rp 4,200,000</t>
        </r>
      </text>
    </comment>
    <comment ref="L81" authorId="0" shapeId="0" xr:uid="{FB4AC42F-5065-464B-8A05-83E766748829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1 Kegiatan Rp 4,200,000</t>
        </r>
      </text>
    </comment>
    <comment ref="M81" authorId="0" shapeId="0" xr:uid="{E59EEC33-EE85-4A97-970E-ADBE50D21BE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1 Kegiatan Rp 4,200,000</t>
        </r>
      </text>
    </comment>
    <comment ref="N81" authorId="0" shapeId="0" xr:uid="{8F2982A7-F37B-4856-83EC-3E80EECA21E7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1 Kegiatan Rp 4,200,000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M27" authorId="0" shapeId="0" xr:uid="{19B8F2B9-2938-4CD6-972A-8B2F157288F5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Pengecatan Bangunan &amp; Pipa Intake T.Paring</t>
        </r>
      </text>
    </comment>
    <comment ref="E31" authorId="0" shapeId="0" xr:uid="{407CD4CE-104F-44FD-81E8-C33CE5E3E087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Penggulungan Pompa Intake</t>
        </r>
      </text>
    </comment>
    <comment ref="E47" authorId="0" shapeId="0" xr:uid="{9173BB95-C79D-4339-9B34-D918803B8EF1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Tawas Harga Lama 8000
proyeksi kenaikan 1500</t>
        </r>
      </text>
    </comment>
    <comment ref="E48" authorId="0" shapeId="0" xr:uid="{DBDEEE14-671C-4500-AB68-19BBA12C3DFD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2" authorId="0" shapeId="0" xr:uid="{6DE9703F-B5A9-4215-8620-C65ACB1244AD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Harga Lama Soda Ash 17.800 Rencana kenaikan 1.200</t>
        </r>
      </text>
    </comment>
    <comment ref="E57" authorId="0" shapeId="0" xr:uid="{5FA2F9AD-82BD-488E-B9AA-98D8D22F0911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Kaporit Harga Lama 59,500 Rencana Kenaikan 1,500</t>
        </r>
      </text>
    </comment>
    <comment ref="E62" authorId="0" shapeId="0" xr:uid="{94535F71-E704-415F-B973-57745164FCFB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+Tanah Kaolin bulan 1 dan bulan 7</t>
        </r>
      </text>
    </comment>
    <comment ref="E63" authorId="0" shapeId="0" xr:uid="{E420CA3C-ADC5-4F6E-9B04-F14656E94BFA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700 rb utk ongos angkut Bahan Kimia dari gudang ke bagian Produksi + Pemeliharaan lain tak terduga
</t>
        </r>
      </text>
    </comment>
    <comment ref="F63" authorId="0" shapeId="0" xr:uid="{11C0B445-DF09-4D59-995C-9FAE192F74F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Bulan 3,7,12 Uji Kualitas Air
Bulan 2,5,8,11 Pengiriman Bahan Kimia ke IKK PH</t>
        </r>
      </text>
    </comment>
    <comment ref="J67" authorId="0" shapeId="0" xr:uid="{19D5C011-99C8-49D0-91A8-97BEBB003B8A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Pengecatan IPA Pusat</t>
        </r>
      </text>
    </comment>
    <comment ref="K67" authorId="0" shapeId="0" xr:uid="{16610E4D-7934-434B-B134-7025547F2976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Pengecatan IPA PH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  <author>User</author>
  </authors>
  <commentList>
    <comment ref="F19" authorId="0" shapeId="0" xr:uid="{BA392363-CADD-49EB-9436-B74762612B4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7"/>
            <color indexed="81"/>
            <rFont val="Tahoma"/>
            <family val="2"/>
          </rPr>
          <t>HONOR PENGADAAN + LAP KEU</t>
        </r>
      </text>
    </comment>
    <comment ref="H19" authorId="0" shapeId="0" xr:uid="{2BB759BA-5315-4CDF-9642-DF154CDA0B57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EVKIN</t>
        </r>
      </text>
    </comment>
    <comment ref="P19" authorId="0" shapeId="0" xr:uid="{C29716D7-60F0-4B36-97E3-3D13D3536161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7"/>
            <color indexed="81"/>
            <rFont val="Tahoma"/>
            <family val="2"/>
          </rPr>
          <t>HONOR RKAP</t>
        </r>
      </text>
    </comment>
    <comment ref="E32" authorId="0" shapeId="0" xr:uid="{D5721FCC-A7EC-4D88-AE52-6AB96048D14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tinta printer
</t>
        </r>
      </text>
    </comment>
    <comment ref="E34" authorId="0" shapeId="0" xr:uid="{8ADBAB3D-A562-4C3A-862B-5B568CE6874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Rapat dewas per triwulan</t>
        </r>
      </text>
    </comment>
    <comment ref="G34" authorId="0" shapeId="0" xr:uid="{2ABCB58B-7BBC-4A08-A92D-C1C4289DFF24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Penyiapan Dana Prolegda Perbup karena Perbuahan PERDA</t>
        </r>
      </text>
    </comment>
    <comment ref="E52" authorId="0" shapeId="0" xr:uid="{F3945C20-B15B-45E4-964E-FB5ACD6474D8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BBM Dirut
STNK KH8088 (Hanau)
Pemeliharaan Kendaraan
STNK 4 unit Motor</t>
        </r>
      </text>
    </comment>
    <comment ref="G52" authorId="0" shapeId="0" xr:uid="{C5FD94AE-4B47-4A86-B4F5-B5E6704B28D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BBM
Pemeliharaan
STNK KH1407 &amp; Pick Up 
Ktr
STNK Motor 7 Unit</t>
        </r>
      </text>
    </comment>
    <comment ref="K52" authorId="0" shapeId="0" xr:uid="{C0965FD2-CD7B-4FF4-B6D0-2773EAC9F651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+STNK 1 unit motor</t>
        </r>
      </text>
    </comment>
    <comment ref="N52" authorId="0" shapeId="0" xr:uid="{0C39F2B9-D7D1-40FC-A9EB-6FE087326547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8"/>
            <color indexed="81"/>
            <rFont val="Tahoma"/>
            <family val="2"/>
          </rPr>
          <t xml:space="preserve">
STNK Motor 12 unit</t>
        </r>
      </text>
    </comment>
    <comment ref="J53" authorId="0" shapeId="0" xr:uid="{93D53EA7-4F2B-42BE-AA0C-9A53AED8A174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Pengecatan Kantor-Pusat &amp; IKK P. Hulu</t>
        </r>
      </text>
    </comment>
    <comment ref="N53" authorId="1" shapeId="0" xr:uid="{6EAEABBC-EEB9-4028-8DEC-A11FAE0D70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Rehap Dapur</t>
        </r>
      </text>
    </comment>
    <comment ref="E79" authorId="0" shapeId="0" xr:uid="{85CAAEDC-EFCB-456D-AD3C-A4AA9026782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Dana Pengecekan Urine Pegawai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<sst xmlns="http://schemas.openxmlformats.org/spreadsheetml/2006/main" count="2865" uniqueCount="795">
  <si>
    <t>Pendapatan Penjualan Air</t>
  </si>
  <si>
    <t>Pendapatan Non Air</t>
  </si>
  <si>
    <t>Jumlah Pendapatan Usaha</t>
  </si>
  <si>
    <t>Pendapatan Lain-lain</t>
  </si>
  <si>
    <t>JUMLAH</t>
  </si>
  <si>
    <t>PDAM KABUPATEN SERUYAN</t>
  </si>
  <si>
    <t>AKTIVA</t>
  </si>
  <si>
    <t>TOTAL AKTIVA</t>
  </si>
  <si>
    <t>KEWAJIBAN</t>
  </si>
  <si>
    <t>MODAL</t>
  </si>
  <si>
    <t>URAIAN</t>
  </si>
  <si>
    <t>PEMERINTAH KABUPATEN SERUYAN</t>
  </si>
  <si>
    <t>BULAN INI</t>
  </si>
  <si>
    <t>JUMLAH S/D BULAN INI</t>
  </si>
  <si>
    <t>Rp.</t>
  </si>
  <si>
    <t>LAPORAN PERPUTARAN UANG</t>
  </si>
  <si>
    <t>JUMLAH PENERIMAAN</t>
  </si>
  <si>
    <t>JUMLAH PENGELUARAN</t>
  </si>
  <si>
    <t>TAHUN 2011</t>
  </si>
  <si>
    <t>BIAYA USAHA</t>
  </si>
  <si>
    <t>Beban Pegawai</t>
  </si>
  <si>
    <t>Beban Kantor</t>
  </si>
  <si>
    <t>Beban BBM</t>
  </si>
  <si>
    <t>Beban Listrik</t>
  </si>
  <si>
    <t>Beban Operasi Pengolahan Air</t>
  </si>
  <si>
    <t>Beban Promosi</t>
  </si>
  <si>
    <t>Beban Operasional Lainnya</t>
  </si>
  <si>
    <t>Piutang Non Air</t>
  </si>
  <si>
    <t>Beban Bank</t>
  </si>
  <si>
    <t>PERUSAHAAN DAERAH AIR MINUM (PDAM)</t>
  </si>
  <si>
    <t>KABUPATEN SERUYAN</t>
  </si>
  <si>
    <t>AKTIVA LANCAR</t>
  </si>
  <si>
    <t>KAS DAN BANK</t>
  </si>
  <si>
    <t>Kas</t>
  </si>
  <si>
    <t>Bank</t>
  </si>
  <si>
    <t>INVESTASI JANGKA PENDEK</t>
  </si>
  <si>
    <t>Deposito</t>
  </si>
  <si>
    <t>Surat Berharga</t>
  </si>
  <si>
    <t>PIUTANG USAHA</t>
  </si>
  <si>
    <t>Piutang Rek Air</t>
  </si>
  <si>
    <t>Piutang Rekening Non Air</t>
  </si>
  <si>
    <t>PENYISIHAN PIUTANG USAHA</t>
  </si>
  <si>
    <t>PIUTANG NON USAHA</t>
  </si>
  <si>
    <t>Pinjaman Pegawai</t>
  </si>
  <si>
    <t>PERSEDIAAN</t>
  </si>
  <si>
    <t>Persediaan Bahan Kimia</t>
  </si>
  <si>
    <t>Persediaan BBM</t>
  </si>
  <si>
    <t>Persediaan Instalasi SR</t>
  </si>
  <si>
    <t>PEMBAYARAN DIMUKA</t>
  </si>
  <si>
    <t>Biaya di bayar dimuka</t>
  </si>
  <si>
    <t>INVESTASI JANGKA PANJANG</t>
  </si>
  <si>
    <t>Deposito Berjangka Lebih dari 1 tahun</t>
  </si>
  <si>
    <t>Penyertaan</t>
  </si>
  <si>
    <t>Penanaman dalam aktiva tak berwujud</t>
  </si>
  <si>
    <t>Investasi Jangka Panjang Lainnya</t>
  </si>
  <si>
    <t>AKTIVA TETAP</t>
  </si>
  <si>
    <t>AKTIVA TETAP PRODUKTIF</t>
  </si>
  <si>
    <t>Tanah dan Penyempurnaan Tanah</t>
  </si>
  <si>
    <t>Instalasi Sumber Iar</t>
  </si>
  <si>
    <t>Instalasi Pompa</t>
  </si>
  <si>
    <t>Instalasi Pengolahan Air</t>
  </si>
  <si>
    <t>Instalasi Tranmisi &amp; distribusi</t>
  </si>
  <si>
    <t>Bangunan/Gedung</t>
  </si>
  <si>
    <t>Peralatan &amp; Perlengkapan</t>
  </si>
  <si>
    <t>Kendaraan/Alat Pengangkutan</t>
  </si>
  <si>
    <t>Inventaris Perabot Kantor</t>
  </si>
  <si>
    <t>AKUMULASI PENYUSUTAN</t>
  </si>
  <si>
    <t>Akumulasi Penyusutan Inst. Sumber Air</t>
  </si>
  <si>
    <t>Akumulasi Penyusutan Inst. Pompa</t>
  </si>
  <si>
    <t>Akumulasi Penyusutan Ins. Pengolahan Air</t>
  </si>
  <si>
    <t>Akumulasi Penyusutan Inst. Trandist</t>
  </si>
  <si>
    <t>Akumulasi Penyusutan Bangunan/Gedung</t>
  </si>
  <si>
    <t>Akum. Peny. Peralatan &amp; Perlengkapan</t>
  </si>
  <si>
    <t>Akum. Peny. Kendaraan/Alat Pengangkutan</t>
  </si>
  <si>
    <t>Akumulasi Penyusutan Inv. / Perabot Kantor</t>
  </si>
  <si>
    <t>AKTIVA TETAP LEASING</t>
  </si>
  <si>
    <t>AKTIVA LAIN-LAIN</t>
  </si>
  <si>
    <t>AKTIVA LAIN-LAIN BERWUJUD</t>
  </si>
  <si>
    <t>Aktiva Tetap Dalam Penyelesaian</t>
  </si>
  <si>
    <t>Bahan Instalasi</t>
  </si>
  <si>
    <t>Uang Jaminan</t>
  </si>
  <si>
    <t>Pengeluaran Sementara</t>
  </si>
  <si>
    <t>Aktiva Tetap Yg Tidak Berfungsi</t>
  </si>
  <si>
    <t>Dana Pemby. Utang Jangka Panjang</t>
  </si>
  <si>
    <t>Sambungan Baru Yang akan diterima</t>
  </si>
  <si>
    <t>Pemby. Dimuka pembagian laba kpd Pemda</t>
  </si>
  <si>
    <t>AKTIVA TAK BERWUJUD</t>
  </si>
  <si>
    <t>Aktiva Tetap dalam penyelesaian</t>
  </si>
  <si>
    <t>Aktiva Tetap yang Tidak Berfungsi</t>
  </si>
  <si>
    <t>Dana Pemby. Hutang Jangka Panjang</t>
  </si>
  <si>
    <t>Sambungan baru yg akan diterima</t>
  </si>
  <si>
    <t>BEBAN DITANGGUHKAN</t>
  </si>
  <si>
    <t>AKUM. AMORTISASI BEBAN DITANGGUHKAN</t>
  </si>
  <si>
    <t>TRADE MARK</t>
  </si>
  <si>
    <t>AKUM. AMORTISASI TRADE MARK</t>
  </si>
  <si>
    <t>GOODWILL</t>
  </si>
  <si>
    <t>AKUM. AMORTISASI GOODWILL</t>
  </si>
  <si>
    <t>KEWAJIBAN &amp; MODAL</t>
  </si>
  <si>
    <t>KEWAJIBAN JANGKA PENDEK</t>
  </si>
  <si>
    <t>UTANG USAHA</t>
  </si>
  <si>
    <t>UTANG NON USAHA</t>
  </si>
  <si>
    <t>BIAYA YG MASIH HARUS DIBAYAR</t>
  </si>
  <si>
    <t>PENDAPATAN DITERIMA DIMUKA</t>
  </si>
  <si>
    <t>PINJAMAN JANGKA PENDEK</t>
  </si>
  <si>
    <t>Pinjaman/Kredit Bank Jangka Pendek</t>
  </si>
  <si>
    <t>Pinjaman Jangka Pendek Lainnya</t>
  </si>
  <si>
    <t>UTANG PAJAK</t>
  </si>
  <si>
    <t>KEWAJIBAN JANGKA PANJANG JATUH TEMPO</t>
  </si>
  <si>
    <t>UTANG BUNGA</t>
  </si>
  <si>
    <t>UTANG IURAN PENSIUN</t>
  </si>
  <si>
    <t>KEWAJIBAN JANGKA PENDEK LAINNYA</t>
  </si>
  <si>
    <t>KEWAJIBAN JANGKA PANJANG</t>
  </si>
  <si>
    <t>PINJAMAN DALAM NEGERI</t>
  </si>
  <si>
    <t>Pinjaman Pemerintah Pusat</t>
  </si>
  <si>
    <t>Bunga Pinjaman yg belum jatuh tempo</t>
  </si>
  <si>
    <t>Pinjaman dengan Pembiayaan Pendahuluan</t>
  </si>
  <si>
    <t>PINJAMAN LUAR NEGERI</t>
  </si>
  <si>
    <t>BUNGA MASA TENGGANG</t>
  </si>
  <si>
    <t>Bunga Masa Tenggang-Pinjaman Dalam Negeri</t>
  </si>
  <si>
    <t>Bunga Masa Tenggang-Pinjaman Luar Negeri</t>
  </si>
  <si>
    <t>UTANG LEASING</t>
  </si>
  <si>
    <t>KEWAJIBAN LAIN-LAIN</t>
  </si>
  <si>
    <t>PENDAPATAN YANG DITANGGUHKAN</t>
  </si>
  <si>
    <t>SAMBUNGAN BARU YANG AKAN DITAGIIH</t>
  </si>
  <si>
    <t>TOTAL KEWAJIBAN</t>
  </si>
  <si>
    <t>MODAL DAN CADANGAN</t>
  </si>
  <si>
    <t>KEKAYAAN PEMDA YG DIPISAHKAN</t>
  </si>
  <si>
    <t>Kekayaan Asal Anggaran Belanja Daerah</t>
  </si>
  <si>
    <t>Kekayaan Asal Dana Pembangunan Daerah</t>
  </si>
  <si>
    <t>PENYERTAAN PEMERINTAH PUSAT</t>
  </si>
  <si>
    <t>Penyertaan Yg Telah Ditetapkan Statusnya</t>
  </si>
  <si>
    <t>Penyertaan Yg Belum Ditetapkan Statusnya</t>
  </si>
  <si>
    <t>PENYERTAAN PEMERINTAH DAERAH</t>
  </si>
  <si>
    <t>Kekayaan Pemda Yg Dipisahkan</t>
  </si>
  <si>
    <t>MODAL HIBAH</t>
  </si>
  <si>
    <t>SELISIH PENILAIAN KEMBALI AKTIVA TETAP</t>
  </si>
  <si>
    <t>CADANGAN</t>
  </si>
  <si>
    <t>CADANGAN UMUM</t>
  </si>
  <si>
    <t>CADANGAN TUJUAN</t>
  </si>
  <si>
    <t>LABA DITAHAN/(AKUMULASI KERUGIAN)</t>
  </si>
  <si>
    <t>LABA(RUGI) RERIODE BERJALAN</t>
  </si>
  <si>
    <t>TOTAL MODAL DAN CADANGAN</t>
  </si>
  <si>
    <t>TOTAL KEWAJIBAN DAN MODAL</t>
  </si>
  <si>
    <t>PERUSAHAAN DAERAH AIR MINUM (PDAM) KABUPATEN SERUYAN</t>
  </si>
  <si>
    <t>LAPORAN LABA RUGI KOMPARATIF</t>
  </si>
  <si>
    <t>PENDAPATAN</t>
  </si>
  <si>
    <t>Penjualan Rekening Air</t>
  </si>
  <si>
    <t>Pendapatan Sambungan Baru</t>
  </si>
  <si>
    <t>Pendapatan Denda</t>
  </si>
  <si>
    <t>Pendapatan Administrasi</t>
  </si>
  <si>
    <t>Pendapatan Penyambungan Kembali</t>
  </si>
  <si>
    <t>Pendapatan Balik Nama</t>
  </si>
  <si>
    <t>Pendapatan Jasa Giro</t>
  </si>
  <si>
    <t xml:space="preserve">Gaji dan Tunjangan </t>
  </si>
  <si>
    <t>Beban Pegawai Linnya</t>
  </si>
  <si>
    <t>Beban Listrik Kantor</t>
  </si>
  <si>
    <t>Beban Listrik Ins Pengolahan Air</t>
  </si>
  <si>
    <t>Tawas</t>
  </si>
  <si>
    <t>Kaporit</t>
  </si>
  <si>
    <t>Soda Ash</t>
  </si>
  <si>
    <t>Beban Pemakaian Bahan Pembantu</t>
  </si>
  <si>
    <t>Oli</t>
  </si>
  <si>
    <t>Perlengkapan Komputer</t>
  </si>
  <si>
    <t>Beban ATK &amp; Barang Cetakan</t>
  </si>
  <si>
    <t>Beban Pemeliharaan</t>
  </si>
  <si>
    <t>Biaya Pemeliharaan Sumber Air</t>
  </si>
  <si>
    <t>Biaya Pemeliharaan Pengolahan</t>
  </si>
  <si>
    <t>Biaya Pemeliharaan Tran &amp; Dist</t>
  </si>
  <si>
    <t>Biaya Pemeliharaan Hublang</t>
  </si>
  <si>
    <t>Beban Penyisihan/Penyusutan</t>
  </si>
  <si>
    <t>Beban Penyusutan Sumber Air</t>
  </si>
  <si>
    <t>Beban Penyusutan Pompa</t>
  </si>
  <si>
    <t>Beban Penyusutan Ins. Pengolahan Air</t>
  </si>
  <si>
    <t>Beban Penyusutan Tanmisi &amp; Distribusi</t>
  </si>
  <si>
    <t>Beban Penyusutan Non Pabrik Air</t>
  </si>
  <si>
    <t>Beban Penyisihan Piutang Usaha</t>
  </si>
  <si>
    <t>Jumlah Beban Usaha</t>
  </si>
  <si>
    <t>Laba/Rugi Usaha Sebelum Kerugian Luar Biasa</t>
  </si>
  <si>
    <t>Kerugian / Keuntungan Luar Biasa</t>
  </si>
  <si>
    <t>Laba/Rugi Sebelum Pajak Penghasilan</t>
  </si>
  <si>
    <t>Pajak Penghasilan</t>
  </si>
  <si>
    <t>LABA/RUGI BERSIH</t>
  </si>
  <si>
    <t>Pendapatan Mobil Tangki</t>
  </si>
  <si>
    <t>Pendapatan Subsidi</t>
  </si>
  <si>
    <t>Pendapatan Lainnya</t>
  </si>
  <si>
    <t>TAHUN 2012</t>
  </si>
  <si>
    <t>NERACA KOMPORATIF TAHUN 2012</t>
  </si>
  <si>
    <t>91.00.00</t>
  </si>
  <si>
    <t>92.00.00</t>
  </si>
  <si>
    <t>93.00.00</t>
  </si>
  <si>
    <t>Beban Sumber Air</t>
  </si>
  <si>
    <t>Beban Pengolahan Air</t>
  </si>
  <si>
    <t>91.09.00</t>
  </si>
  <si>
    <t>92.09.00</t>
  </si>
  <si>
    <t>93.09.00</t>
  </si>
  <si>
    <t>96.00.00</t>
  </si>
  <si>
    <t>96.07.00</t>
  </si>
  <si>
    <t>96.09.00</t>
  </si>
  <si>
    <t>98.00.00</t>
  </si>
  <si>
    <t>NO</t>
  </si>
  <si>
    <t>BULAN</t>
  </si>
  <si>
    <t>MAPPING BEBAN                                   SAK - ETAP</t>
  </si>
  <si>
    <t>PERK.</t>
  </si>
  <si>
    <t>BIAYA SUMBER AIR</t>
  </si>
  <si>
    <t>91.01.00</t>
  </si>
  <si>
    <t>BIAYA OPERASIONAL SUMBER AIR</t>
  </si>
  <si>
    <t>91.01.10</t>
  </si>
  <si>
    <t>Biaya Pegawai</t>
  </si>
  <si>
    <t>B. PEGAWAI</t>
  </si>
  <si>
    <t>91.01.20</t>
  </si>
  <si>
    <t>Pemakaian Bahan bakar (SOLAR)</t>
  </si>
  <si>
    <t>B. PEMAKAIAN BAHAN BAKAR</t>
  </si>
  <si>
    <t>91.01.30</t>
  </si>
  <si>
    <t>Biaya Listrik PLN</t>
  </si>
  <si>
    <t>B. LISTRIK</t>
  </si>
  <si>
    <t>91.01.40</t>
  </si>
  <si>
    <t>Pemakaian Bahan Pembantu (oli)</t>
  </si>
  <si>
    <t>B. PEMAKAIAN BAHAN PEMBANTU</t>
  </si>
  <si>
    <t>91.01.90</t>
  </si>
  <si>
    <t>Rupa-Rupa Biaya Operasi</t>
  </si>
  <si>
    <t>B. OPERASI LAINNYA</t>
  </si>
  <si>
    <t>B. Operasi  Sumber Air</t>
  </si>
  <si>
    <t>91.02.00</t>
  </si>
  <si>
    <t>BIAYA PEMELIHARAAN SUMBER AIR</t>
  </si>
  <si>
    <t>91.02.10</t>
  </si>
  <si>
    <t>Pemeliharaan bangunan dan penyempurnaan tanah</t>
  </si>
  <si>
    <t>B. PEMELIHARAAN</t>
  </si>
  <si>
    <t>91.02.40</t>
  </si>
  <si>
    <t>Pemeliharaan Mata air dan Saluran</t>
  </si>
  <si>
    <t>91.02.60</t>
  </si>
  <si>
    <t>Pemeliharaan Pipa Induk</t>
  </si>
  <si>
    <t>91.02.70</t>
  </si>
  <si>
    <t>Pemeliharaan Alat Pembangkit Tenaga</t>
  </si>
  <si>
    <t>91.02.80</t>
  </si>
  <si>
    <t>Pemeliharaan Alat Perpompaan</t>
  </si>
  <si>
    <t>91.02.90</t>
  </si>
  <si>
    <t>Pemeliharaan Instalasi Sumber Air Lainnya</t>
  </si>
  <si>
    <t>Jumlah Biaya Pemeliharaan Sumber Air</t>
  </si>
  <si>
    <t>91.03.00</t>
  </si>
  <si>
    <t>BIAYA AIR BAKU (PAJAK AIR PERMUKAAN)</t>
  </si>
  <si>
    <t>JUMLAH SEBELUM PENYUSUTAN</t>
  </si>
  <si>
    <t>BIAYA PENYUSUTAN SUMBER AIR</t>
  </si>
  <si>
    <t>B. PENYUSUTAN</t>
  </si>
  <si>
    <t>JUMLAH BIAYA SUMBER AIR</t>
  </si>
  <si>
    <t>BIAYA PENGOLAHAN AIR</t>
  </si>
  <si>
    <t>92.01.10</t>
  </si>
  <si>
    <t>Lembur</t>
  </si>
  <si>
    <t>92.01.20</t>
  </si>
  <si>
    <t>Pemakaian Bahan Kimia</t>
  </si>
  <si>
    <t>B. PEMAKAIAN BAHAN KIMIA</t>
  </si>
  <si>
    <t>Jumlah Bahan Kimia</t>
  </si>
  <si>
    <t>Jumlah Biaya Operasi Pengolahan Air</t>
  </si>
  <si>
    <t>92.02.00</t>
  </si>
  <si>
    <t>BIAYA PEMELIHARAAN PENGOLAHAN</t>
  </si>
  <si>
    <t>92.02.10</t>
  </si>
  <si>
    <t>Pemeliharaan Bangunan dan penyemp. Tanah</t>
  </si>
  <si>
    <t>92.02.20</t>
  </si>
  <si>
    <t>Pemeliharaan Instalasi Pengolahan Air</t>
  </si>
  <si>
    <t>92.02.30</t>
  </si>
  <si>
    <t>Pemeliharaan Instalasi Pompa</t>
  </si>
  <si>
    <t>92.02.90</t>
  </si>
  <si>
    <t>Pemeliharaan Instalasi Pengolahan Lainnya</t>
  </si>
  <si>
    <t>Jumlah Biaya Pemeliharaan</t>
  </si>
  <si>
    <t>BIAYA PENYUSUTAN PENGOLAHAN</t>
  </si>
  <si>
    <t>JUMLAH BIAYA PENGOLAHAN AIR</t>
  </si>
  <si>
    <t>BIAYA TRANSMISI DAN DISTRIBUSI</t>
  </si>
  <si>
    <t>93.01.00</t>
  </si>
  <si>
    <t>BIAYA OPERASI TRANSMISI DAN DISTRIBUSI</t>
  </si>
  <si>
    <t>93.01.10</t>
  </si>
  <si>
    <t>93.01.20</t>
  </si>
  <si>
    <t>Biaya Pemakaian Bahan/Perlengkapan</t>
  </si>
  <si>
    <t>93.01.90</t>
  </si>
  <si>
    <t>Jumlah Biaya Operasi Trand &amp; Dist</t>
  </si>
  <si>
    <t>93.02.00</t>
  </si>
  <si>
    <t>BIAYA PEMELIHARAAN TRAN &amp; DIST</t>
  </si>
  <si>
    <t>93.02.20</t>
  </si>
  <si>
    <t>Pemeliharaan Reservoir dan tangki</t>
  </si>
  <si>
    <t>93.02.30</t>
  </si>
  <si>
    <t xml:space="preserve">Pemeliharaan Pipa Transmisi &amp; Distribusi </t>
  </si>
  <si>
    <t>93.02.40</t>
  </si>
  <si>
    <t>Pemeliharaan Pipa Dinas</t>
  </si>
  <si>
    <t>93.02.50</t>
  </si>
  <si>
    <t>93.02.60</t>
  </si>
  <si>
    <t>Pemeliharaan Water Meter</t>
  </si>
  <si>
    <t>93.02.90</t>
  </si>
  <si>
    <t>Pemeliharaan Trandist Lainnya</t>
  </si>
  <si>
    <t>BIAYA PENYUSUTAN TRANS &amp; DIST</t>
  </si>
  <si>
    <t>JUMLAH BIAYA TRAND &amp; DIST</t>
  </si>
  <si>
    <t>BIAYA LANGSUNG SEBELUM PENYUSUTAN</t>
  </si>
  <si>
    <t xml:space="preserve">TOTAL BIAYA PENYUSUTAN </t>
  </si>
  <si>
    <t>JUMLAH BIAYA OPERASI</t>
  </si>
  <si>
    <t>P-11</t>
  </si>
  <si>
    <t>MAPPING BEBAN</t>
  </si>
  <si>
    <t>SAK - ETAP</t>
  </si>
  <si>
    <t>96.01.00</t>
  </si>
  <si>
    <t>BIAYA PEGAWAI</t>
  </si>
  <si>
    <t>96.01.10</t>
  </si>
  <si>
    <t>Gaji dan Tunjangan Pegawai</t>
  </si>
  <si>
    <t>96.01.20</t>
  </si>
  <si>
    <t>Gaji ke 13 (Tunjangan Hari Raya)</t>
  </si>
  <si>
    <t>96.01.30</t>
  </si>
  <si>
    <t>Iuran Pensiun</t>
  </si>
  <si>
    <t>Gaji ke 14 (Uang Cuti)</t>
  </si>
  <si>
    <t>96.01.70</t>
  </si>
  <si>
    <t>Bantuan dan Sumbangan Uang Duka</t>
  </si>
  <si>
    <t>96.01.80</t>
  </si>
  <si>
    <t>Pendidikan dan latihan</t>
  </si>
  <si>
    <t>96.01.90</t>
  </si>
  <si>
    <t>Rupa-Rupa Biaya Pegawai</t>
  </si>
  <si>
    <t>Pjak Pegawai</t>
  </si>
  <si>
    <t>Jumlah Biaya Pegawai</t>
  </si>
  <si>
    <t>96.02.00</t>
  </si>
  <si>
    <t>BIAYA KANTOR</t>
  </si>
  <si>
    <t>96.02.10</t>
  </si>
  <si>
    <t>Biaya Alat Tulis Kantor dan Fotocopy</t>
  </si>
  <si>
    <t>96.02.20</t>
  </si>
  <si>
    <t>Barang-barang Cetakkan</t>
  </si>
  <si>
    <t>96.02.30</t>
  </si>
  <si>
    <t>96.02.40</t>
  </si>
  <si>
    <t>Biaya Telepon, Telek dan Telegram</t>
  </si>
  <si>
    <t>B. KANTOR</t>
  </si>
  <si>
    <t>96.02.50</t>
  </si>
  <si>
    <t>Biaya Rapat dan Tamu</t>
  </si>
  <si>
    <t>96.02.60</t>
  </si>
  <si>
    <t>Benda Pos dan materai</t>
  </si>
  <si>
    <t>96.02.70</t>
  </si>
  <si>
    <t>Biaya Listrik/Penerangan</t>
  </si>
  <si>
    <t>96.02.80</t>
  </si>
  <si>
    <t>Biaya cleaning Service</t>
  </si>
  <si>
    <t>96.02.90</t>
  </si>
  <si>
    <t>Rupa-rupa Biaya Kantor</t>
  </si>
  <si>
    <t>Perpanjangan STNK</t>
  </si>
  <si>
    <t>Paket Internet (Wifi)</t>
  </si>
  <si>
    <t>Rupa-rupa biaya kantor lainnya</t>
  </si>
  <si>
    <t>Jumlah Biaya Kantor</t>
  </si>
  <si>
    <t>96.03.00</t>
  </si>
  <si>
    <t>BIAYA HUBUNGAN PELANGGAN</t>
  </si>
  <si>
    <t>B. HUBUNGAN LANGGANAN</t>
  </si>
  <si>
    <t>96.03.70</t>
  </si>
  <si>
    <t>Biaya Promosi</t>
  </si>
  <si>
    <t>96.03.90</t>
  </si>
  <si>
    <t>Rupa-rupa Biaya Langganan</t>
  </si>
  <si>
    <t>Jumlah Biaya Hubungan Langganan</t>
  </si>
  <si>
    <t>96.04.00</t>
  </si>
  <si>
    <t>BIAYA PENELITIAN DAN PENGEMBANGAN</t>
  </si>
  <si>
    <t>B. PENELITIAN DAN PENGEMBANGAN</t>
  </si>
  <si>
    <t>Jumlah Biaya penelitian dan Pengembangan</t>
  </si>
  <si>
    <t>96.06.00</t>
  </si>
  <si>
    <t>BIAYA PEMELIHARAAN</t>
  </si>
  <si>
    <t>96.06.10</t>
  </si>
  <si>
    <t>Pemeliharaan Inventaris Kantor</t>
  </si>
  <si>
    <t>96.06.20</t>
  </si>
  <si>
    <t>Pemeliharaan Kendaraan</t>
  </si>
  <si>
    <t>96.06.30</t>
  </si>
  <si>
    <t>Pemeliharaan Bangunan</t>
  </si>
  <si>
    <t>96.06.50</t>
  </si>
  <si>
    <t>Pemeliharaan Taman dan Lapangan</t>
  </si>
  <si>
    <t>BIAYA PENYIS. DAN PENGHAPUSAN PIUTANG</t>
  </si>
  <si>
    <t>96.07.10</t>
  </si>
  <si>
    <t>Biaya Penyisihan Piutang</t>
  </si>
  <si>
    <t>96.07.20</t>
  </si>
  <si>
    <t>Biaya Penghapusan Piutang</t>
  </si>
  <si>
    <t>Jumlah Biaya Penyish &amp; Penghapusan Piutang</t>
  </si>
  <si>
    <t>96.08.00</t>
  </si>
  <si>
    <t>RUPA-RUPA BIAYA UMUM</t>
  </si>
  <si>
    <t>96.08.10</t>
  </si>
  <si>
    <t>Biaya Iuran/Berlangganan</t>
  </si>
  <si>
    <t>Biaya Iuran Keanggotaan</t>
  </si>
  <si>
    <t>Biaya Langganan Media Cetak</t>
  </si>
  <si>
    <t>96.08.20</t>
  </si>
  <si>
    <t>Biaya Badan Pengawas</t>
  </si>
  <si>
    <t>96.08.30</t>
  </si>
  <si>
    <t>Biaya Perjalanan Dinas</t>
  </si>
  <si>
    <t>96.08.40</t>
  </si>
  <si>
    <t xml:space="preserve">Biaya Jasa Profesional </t>
  </si>
  <si>
    <t>Biaya Audit</t>
  </si>
  <si>
    <t>Biaya Jasa Manajemen</t>
  </si>
  <si>
    <t>96.08.50</t>
  </si>
  <si>
    <t>Biaya Sewa</t>
  </si>
  <si>
    <t>96.08.60</t>
  </si>
  <si>
    <t>Biaya Asuransi / Keamanan</t>
  </si>
  <si>
    <t xml:space="preserve">Biaya Asuransi </t>
  </si>
  <si>
    <t>Biaya Keamanan</t>
  </si>
  <si>
    <t>96.08.70</t>
  </si>
  <si>
    <t>Biaya Pajak Pemda/Perijinan</t>
  </si>
  <si>
    <t>Pajak Bumi dan Bangunan</t>
  </si>
  <si>
    <t>96.08.90</t>
  </si>
  <si>
    <t>Rupa-rupa Biaya Umum Lainnya</t>
  </si>
  <si>
    <t>Dana Representatif Direktur</t>
  </si>
  <si>
    <t>Honor Panitia Pengadaan Barang dan Jasa</t>
  </si>
  <si>
    <t>Honor Tim Pelaksana kegiatan</t>
  </si>
  <si>
    <t>Penghargaan Masa Kerja Pegawai</t>
  </si>
  <si>
    <t>Pesangon Direktur</t>
  </si>
  <si>
    <t xml:space="preserve">Uang Makan dan Minum </t>
  </si>
  <si>
    <t>Biaya Umum Lainnya</t>
  </si>
  <si>
    <t>Jumlah Rupa-rupa biaya umum lainnya</t>
  </si>
  <si>
    <t>Jumlah Biaya Umum dan Adm sebelum penyust</t>
  </si>
  <si>
    <t>BIAYA PENYST. DAN AMORTISASI NON PABRIK AIR</t>
  </si>
  <si>
    <t>B. PENYUSUTAN &amp; AMORTISASI</t>
  </si>
  <si>
    <t>JUMLAH BIAYA UMUM &amp; ADM</t>
  </si>
  <si>
    <t>RINCIAN BIAYA UMUM DAN ADMINISTRASI</t>
  </si>
  <si>
    <t>RINCIAN BIAYA LANGSUNG USAHA</t>
  </si>
  <si>
    <t>P-12</t>
  </si>
  <si>
    <t>RENCANA BIAYA DILUAR USAHA / LAIN-LAIN</t>
  </si>
  <si>
    <t>SAK ETAP</t>
  </si>
  <si>
    <t>B. BANK</t>
  </si>
  <si>
    <t>BEBAN NON OPERASIONAL</t>
  </si>
  <si>
    <t>92.01.90</t>
  </si>
  <si>
    <t>Rupa-rupa Beban Pengolahan Air</t>
  </si>
  <si>
    <t>Beban Pemakaian Bahan Kimia</t>
  </si>
  <si>
    <t>Dibuat Oleh,</t>
  </si>
  <si>
    <t>TRI MURTIANI, S.E</t>
  </si>
  <si>
    <t>96.01.60</t>
  </si>
  <si>
    <t>Diketahui / Disetujui Oleh,</t>
  </si>
  <si>
    <t>93.01.30</t>
  </si>
  <si>
    <t>Beban Bahan Bakar</t>
  </si>
  <si>
    <t>96.06.40</t>
  </si>
  <si>
    <t>Pemeliharaan Instalasi</t>
  </si>
  <si>
    <t>92.01.30</t>
  </si>
  <si>
    <t>Pemakaian Bahan Pembantu</t>
  </si>
  <si>
    <t>P-10</t>
  </si>
  <si>
    <t>RENCANA BIAYA OPERASI</t>
  </si>
  <si>
    <t>Intake Sei. Mitak</t>
  </si>
  <si>
    <t>Intake Tanjung Paring</t>
  </si>
  <si>
    <t xml:space="preserve">Pemakaian Bahan Pembantu </t>
  </si>
  <si>
    <t>Rupa-Rupa Beban Pengolahan Air</t>
  </si>
  <si>
    <t>RENCANA BIAYA UMUM DAN ADMINISTRASI</t>
  </si>
  <si>
    <t>Direktur</t>
  </si>
  <si>
    <t>Jumlah Gaji dan Honor Pegawai</t>
  </si>
  <si>
    <t>96.01.50</t>
  </si>
  <si>
    <t>Pembinaan Karyawan &amp; Pakaian Dinas</t>
  </si>
  <si>
    <t>96.03.30</t>
  </si>
  <si>
    <t>Biaya Penagihan Rekening Air</t>
  </si>
  <si>
    <t>Pembuatan Corporate Plan</t>
  </si>
  <si>
    <t>REALISASI</t>
  </si>
  <si>
    <t>Jumlah Bahan Bakar</t>
  </si>
  <si>
    <t>Induk PDAM</t>
  </si>
  <si>
    <t>IKK Kartika Bhakti</t>
  </si>
  <si>
    <t>IKK Pembuang Hulu</t>
  </si>
  <si>
    <t>Jumlah Biaya Listrik PLN</t>
  </si>
  <si>
    <t>Jumlah Tawas</t>
  </si>
  <si>
    <t>Jumlah Soda Ash</t>
  </si>
  <si>
    <t>Jumlah Kaporit</t>
  </si>
  <si>
    <t>Pegawai Induk PDAM</t>
  </si>
  <si>
    <t>Pegawai IKK Kartika Bhakti</t>
  </si>
  <si>
    <t>Pegawai IKK Pembuang Hulu</t>
  </si>
  <si>
    <t>Bahan Bakar Kendaraan Dinas</t>
  </si>
  <si>
    <t>SISA ANGGARAN</t>
  </si>
  <si>
    <t>BEBAN PEGAWAI</t>
  </si>
  <si>
    <t>BEBAN KANTOR</t>
  </si>
  <si>
    <t>BEBAN HUBUNGAN LANGGANAN</t>
  </si>
  <si>
    <t>B. PENELITIAN &amp; PENGEMBANGAN</t>
  </si>
  <si>
    <t>BEBAN PEMELIHARAAN</t>
  </si>
  <si>
    <t>B. PENYISIHAN PIUTANG</t>
  </si>
  <si>
    <t>TAHUN ANGGARAN 2022</t>
  </si>
  <si>
    <t>B. AIR BAKU</t>
  </si>
  <si>
    <t>B. AMORTISASI ASET TIDAK BERWUJUD</t>
  </si>
  <si>
    <t>B. PENYUSUTAN NON PABRIK AIR</t>
  </si>
  <si>
    <t>Pakaian Dinas</t>
  </si>
  <si>
    <t>Biaya Rapat</t>
  </si>
  <si>
    <t>Pawai &amp; EXPO Seruyan</t>
  </si>
  <si>
    <t>B. Pegawai</t>
  </si>
  <si>
    <t>PERUMDAM TIRTA SERUYAN</t>
  </si>
  <si>
    <t>RADIUN, SE</t>
  </si>
  <si>
    <t>TAHUN ANGGARAN 2023</t>
  </si>
  <si>
    <t>B. BAHAN BAKU</t>
  </si>
  <si>
    <t>Insentife/Kesejahteraan Karyawan</t>
  </si>
  <si>
    <t>Uang Makan/Minum Pegawai</t>
  </si>
  <si>
    <t>Honor Tim Pengadaan dan Tim Kegiatan</t>
  </si>
  <si>
    <t>Pesangon dan Jasa Pengabdian</t>
  </si>
  <si>
    <t>Gaji Ke 13 (Tunjangan Hari Raya)</t>
  </si>
  <si>
    <t>Gaji ke 14 (Tunjangan Cuti)</t>
  </si>
  <si>
    <t>Pajak Pegawai</t>
  </si>
  <si>
    <t>Pembuatan UKL UPL</t>
  </si>
  <si>
    <t>B. PENYISIHAN &amp; PENGHAPUSAN PIUTANG</t>
  </si>
  <si>
    <t>B. SEWA</t>
  </si>
  <si>
    <t>Assesement dan Pelantikan Direktur</t>
  </si>
  <si>
    <t>97.00.00</t>
  </si>
  <si>
    <t>Beban Imbalan Pasca Kerja</t>
  </si>
  <si>
    <t>Magnoflog</t>
  </si>
  <si>
    <t>Pjs. Direktur</t>
  </si>
  <si>
    <t>Kabag. Adm. &amp; Keuangan</t>
  </si>
  <si>
    <t>TAHUN ANGGARAN 2025</t>
  </si>
  <si>
    <t>2025</t>
  </si>
  <si>
    <t>Beban Kesejahteraan Karyawan Sumber Air</t>
  </si>
  <si>
    <t>Beban Pakaian Dinas &amp; Olahraga</t>
  </si>
  <si>
    <t>Beban Pendidikan &amp; Latihan</t>
  </si>
  <si>
    <t>Beban Pembinaan Pegawai Sumber</t>
  </si>
  <si>
    <t>91.01.50</t>
  </si>
  <si>
    <t>91.02.20</t>
  </si>
  <si>
    <t>91.02.30</t>
  </si>
  <si>
    <t>BEBAN SUMBER AIR</t>
  </si>
  <si>
    <t>BEBAN OPERASIONAL SUMBER AIR</t>
  </si>
  <si>
    <t>Rupa-Rupa Beban Operasi</t>
  </si>
  <si>
    <t>Beban Listrik PLN</t>
  </si>
  <si>
    <t>BEBAN PEMELIHARAAN SUMBER AIR</t>
  </si>
  <si>
    <t>91.03.10</t>
  </si>
  <si>
    <t>91.03.40</t>
  </si>
  <si>
    <t>91.03.60</t>
  </si>
  <si>
    <t>91.03.70</t>
  </si>
  <si>
    <t>91.03.80</t>
  </si>
  <si>
    <t>91.03.90</t>
  </si>
  <si>
    <t>Jumlah Beban Pemeliharaan Sumber Air</t>
  </si>
  <si>
    <t>BEBAN AIR BAKU (PAJAK AIR PERMUKAAN)</t>
  </si>
  <si>
    <t>BEBAN PENYUSUTAN SUMBER AIR</t>
  </si>
  <si>
    <t>JUMLAH BEBAN SUMBER AIR</t>
  </si>
  <si>
    <t>BEBAN PENGOLAHAN AIR</t>
  </si>
  <si>
    <t>Gaji &amp; honor Pengolahan Air</t>
  </si>
  <si>
    <t>PUSAT - INDUK</t>
  </si>
  <si>
    <t>IKK KARTIKA BHAKTI</t>
  </si>
  <si>
    <t>IKK PEMBUANG HULU</t>
  </si>
  <si>
    <t>Insentif / THR / Bonus</t>
  </si>
  <si>
    <t>Beban Kesejahteraan Karyawan Pengolahan Air</t>
  </si>
  <si>
    <t>Iuran Dana Pensiun</t>
  </si>
  <si>
    <t>Beban BPJS Kesehatan</t>
  </si>
  <si>
    <t>Beban BPJS Ketenagakerjaan</t>
  </si>
  <si>
    <t>Uang Makan &amp; Minum</t>
  </si>
  <si>
    <t>Uang Pisah / Purna Tugas</t>
  </si>
  <si>
    <t>92.01.40</t>
  </si>
  <si>
    <t>92.01.50</t>
  </si>
  <si>
    <t>Beban Pembinaan Pegawai Pengolahan</t>
  </si>
  <si>
    <t>92.02.50</t>
  </si>
  <si>
    <t>Jumlah Beban Operasi Pengolahan Air</t>
  </si>
  <si>
    <t>92.03.00</t>
  </si>
  <si>
    <t>BEBAN PEMELIHARAAN PENGOLAHAN</t>
  </si>
  <si>
    <t>92.03.10</t>
  </si>
  <si>
    <t>92.03.20</t>
  </si>
  <si>
    <t>92.03.30</t>
  </si>
  <si>
    <t>92.03.90</t>
  </si>
  <si>
    <t>Jumlah Beban Pemeliharaan</t>
  </si>
  <si>
    <t>92.05.00</t>
  </si>
  <si>
    <t>91.05.00</t>
  </si>
  <si>
    <t>BEBAN PENYUSUTAN PENGOLAHAN</t>
  </si>
  <si>
    <t>JUMLAH BEBAN PENGOLAHAN AIR</t>
  </si>
  <si>
    <t>BEBAN TRANSMISI DAN DISTRIBUSI</t>
  </si>
  <si>
    <t>BEBAN OPERASI TRANSMISI DAN DISTRIBUSI</t>
  </si>
  <si>
    <t>93.01.40</t>
  </si>
  <si>
    <t>93.01.50</t>
  </si>
  <si>
    <t>Gaji &amp; honor Trandist</t>
  </si>
  <si>
    <t>Beban Pembinaan Pegawai Trandist</t>
  </si>
  <si>
    <t>93.01.60</t>
  </si>
  <si>
    <t>93.01.70</t>
  </si>
  <si>
    <t>Beban Pemakaian Bahan/Perlengkapan</t>
  </si>
  <si>
    <t>Jumlah Beban Operasi Trand &amp; Dist</t>
  </si>
  <si>
    <t>BEBAN PEMELIHARAAN TRAN &amp; DIST</t>
  </si>
  <si>
    <t>93.03.00</t>
  </si>
  <si>
    <t>BEBAN PENYUSUTAN TRANS &amp; DIST</t>
  </si>
  <si>
    <t xml:space="preserve">TOTAL BEBAN PENYUSUTAN </t>
  </si>
  <si>
    <t>JUMLAH BEBAN OPERASI</t>
  </si>
  <si>
    <t>BEBAN UMUM &amp; ADMINISTRASI</t>
  </si>
  <si>
    <t>97.01.10</t>
  </si>
  <si>
    <t>Beban Pegawai Umum &amp; Adm</t>
  </si>
  <si>
    <t xml:space="preserve">Pegawai Adm &amp;Umum </t>
  </si>
  <si>
    <t xml:space="preserve">Lembur </t>
  </si>
  <si>
    <t>Insentife/THR/Dana Kesejahteraan/Bonus</t>
  </si>
  <si>
    <t>Beban Kesejahteraan Karyawan Adm Umum</t>
  </si>
  <si>
    <t>97.01.20</t>
  </si>
  <si>
    <t>97.01.30</t>
  </si>
  <si>
    <t>Beban Pembinaan Pegawai Umum</t>
  </si>
  <si>
    <t>Beban Bantuan &amp; sumbangan</t>
  </si>
  <si>
    <t>Rupa-Rupa Beban Pegawai</t>
  </si>
  <si>
    <t>97.01.40</t>
  </si>
  <si>
    <t>97.01.50</t>
  </si>
  <si>
    <t>97.01.60</t>
  </si>
  <si>
    <t>97.01.90</t>
  </si>
  <si>
    <t>97.02.00</t>
  </si>
  <si>
    <t>Jumlah Beban Pegawai</t>
  </si>
  <si>
    <t>Beban Alat Tulis Kantor dan Fotocopy</t>
  </si>
  <si>
    <t>Beban Telepon, Telek dan Telegram</t>
  </si>
  <si>
    <t>Beban Rapat dan Tamu</t>
  </si>
  <si>
    <t>Beban Listrik/Penerangan</t>
  </si>
  <si>
    <t>Beban cleaning Service</t>
  </si>
  <si>
    <t>Rupa-rupa Beban Kantor</t>
  </si>
  <si>
    <t>Rupa-rupa beban kantor lainnya</t>
  </si>
  <si>
    <t>97.02.10</t>
  </si>
  <si>
    <t>97.02.20</t>
  </si>
  <si>
    <t>97.02.30</t>
  </si>
  <si>
    <t>97.02.40</t>
  </si>
  <si>
    <t>97.02.50</t>
  </si>
  <si>
    <t>97.02.60</t>
  </si>
  <si>
    <t>97.02.70</t>
  </si>
  <si>
    <t>97.02.80</t>
  </si>
  <si>
    <t>97.02.90</t>
  </si>
  <si>
    <t>Jumlah Beban Kantor</t>
  </si>
  <si>
    <t>BEBAN HUBUNGAN PELANGGAN</t>
  </si>
  <si>
    <t>Beban Penagihan Rekening</t>
  </si>
  <si>
    <t>Rupa-rupa Beban Langganan</t>
  </si>
  <si>
    <t>97.03.00</t>
  </si>
  <si>
    <t>97.03.30</t>
  </si>
  <si>
    <t>97.03.70</t>
  </si>
  <si>
    <t>97.03.80</t>
  </si>
  <si>
    <t>Jumlah Beban Hubungan Langganan</t>
  </si>
  <si>
    <t>BEBAN PENELITIAN DAN PENGEMBANGAN</t>
  </si>
  <si>
    <t>97.04.00</t>
  </si>
  <si>
    <t>97.06.00</t>
  </si>
  <si>
    <t>Jumlah Beban penelitian dan Pengembangan</t>
  </si>
  <si>
    <t>97.06.10</t>
  </si>
  <si>
    <t>97.06.20</t>
  </si>
  <si>
    <t>97.06.30</t>
  </si>
  <si>
    <t>97.06.40</t>
  </si>
  <si>
    <t>97.06.50</t>
  </si>
  <si>
    <t>97.07.00</t>
  </si>
  <si>
    <t>97.07.10</t>
  </si>
  <si>
    <t>Beban Iuran/Berlangganan</t>
  </si>
  <si>
    <t>97.07.20</t>
  </si>
  <si>
    <t>Beban Badan Pengawas</t>
  </si>
  <si>
    <t>97.07.30</t>
  </si>
  <si>
    <t>97.07.40</t>
  </si>
  <si>
    <t>97.07.50</t>
  </si>
  <si>
    <t>Beban Perjalanan Dinas</t>
  </si>
  <si>
    <t xml:space="preserve">Beban Jasa Profesional </t>
  </si>
  <si>
    <t>Beban Audit</t>
  </si>
  <si>
    <t>Beban Jasa Manajemen</t>
  </si>
  <si>
    <t>Beban Sewa</t>
  </si>
  <si>
    <t>Beban Asuransi / Keamanan</t>
  </si>
  <si>
    <t>Beban Pajak Pemda/Perijinan</t>
  </si>
  <si>
    <t>Rupa-rupa Beban Umum Lainnya</t>
  </si>
  <si>
    <t>Beban Umum Lainnya</t>
  </si>
  <si>
    <t>97.07.60</t>
  </si>
  <si>
    <t>97.07.70</t>
  </si>
  <si>
    <t>97.07.80</t>
  </si>
  <si>
    <t>97.07.90</t>
  </si>
  <si>
    <t>97.08.00</t>
  </si>
  <si>
    <t>97.09.00</t>
  </si>
  <si>
    <t>Jumlah Rupa-rupa beban umum lainnya</t>
  </si>
  <si>
    <t>Jumlah Beban Umum dan Adm sebelum penyust</t>
  </si>
  <si>
    <t>BEBAN PENYST. NON PABRIK AIR</t>
  </si>
  <si>
    <t>BEBAN AMORTISASI ASET TIDAK BERWUJUD</t>
  </si>
  <si>
    <t>JUMLAH BEBAN UMUM &amp; ADM</t>
  </si>
  <si>
    <t>Beban Penyisihan / Penghapusan Piutang</t>
  </si>
  <si>
    <t>BEBAN HARGA POKOK SAMBUNGAN BARU</t>
  </si>
  <si>
    <t>BEBAN UMUM DAN ADMINISTRASI</t>
  </si>
  <si>
    <t>Beban Lain-lain</t>
  </si>
  <si>
    <t>3.</t>
  </si>
  <si>
    <t>LAPORAN ARUS KAS</t>
  </si>
  <si>
    <t>UNTUK TAHUN YANG BERAKHIR 31 JANUARI 2025 DAN TAHUN 2024</t>
  </si>
  <si>
    <t>A. ARUS KAS OPERASI</t>
  </si>
  <si>
    <t>I. PENERIMAAN</t>
  </si>
  <si>
    <t>Penerimaan dari Pendapatan Air</t>
  </si>
  <si>
    <t>Penerimaan dari Pendapatan Non Air</t>
  </si>
  <si>
    <t>Penerimaan dari Pendapatan Lain-lain</t>
  </si>
  <si>
    <t>Penambahan Liabilitas Lancar</t>
  </si>
  <si>
    <t>II. PENGELUARAN</t>
  </si>
  <si>
    <t>Beban Transmisi &amp; Distribusi</t>
  </si>
  <si>
    <t>Beban Umum &amp; Administrasi</t>
  </si>
  <si>
    <t>Penerimaan dari Aset Lancar Lain-lain</t>
  </si>
  <si>
    <t>Pembayaran Aset Lancar Lain - lain</t>
  </si>
  <si>
    <t>Pembayaran Liabilitas Lancar Lain - lain</t>
  </si>
  <si>
    <t>ARUS KAS BERSIH DARI AKTIVITAS OPERASI</t>
  </si>
  <si>
    <t>ARUS KAS OPERASI</t>
  </si>
  <si>
    <t>B.</t>
  </si>
  <si>
    <t>ARUS KAS DARI AKTIVITAS INVESTASI</t>
  </si>
  <si>
    <t xml:space="preserve">Penambahan Aset Tetap </t>
  </si>
  <si>
    <t>ARUS KAS BERSIH DIGUNAKAN AKTIVITAS INVESTASI</t>
  </si>
  <si>
    <t>C.</t>
  </si>
  <si>
    <t>ARUS KAS DARI AKTIVITAS PENDANAAN</t>
  </si>
  <si>
    <t>Penambahan PMP</t>
  </si>
  <si>
    <t>Pembayaran Deviden kepada KPM</t>
  </si>
  <si>
    <t>Pembayaran Jasa Produksi dan Tantiem</t>
  </si>
  <si>
    <t>Penambahan Cadangan Dana/Koreksi Tahu Lalu</t>
  </si>
  <si>
    <t>ARUS KAS BERSIH UNTUK AKTIVITAS PENDANAAN</t>
  </si>
  <si>
    <t>D.</t>
  </si>
  <si>
    <t>KENAIKAN/BERKURANG BERSIH KAS DAN SETARA KAS</t>
  </si>
  <si>
    <t>E.</t>
  </si>
  <si>
    <t>SALDO KAS SETARA KAS AWAL TAHUN</t>
  </si>
  <si>
    <t>F.</t>
  </si>
  <si>
    <t>UNTUK TAHUN YANG BERAKHIR 28 FEBRUARI 2025 DAN TAHUN 2024</t>
  </si>
  <si>
    <t>UNTUK TAHUN YANG BERAKHIR 31 MARET 2025 DAN TAHUN 2024</t>
  </si>
  <si>
    <t>UNTUK TAHUN YANG BERAKHIR 30 APRIL 2025 DAN TAHUN 2024</t>
  </si>
  <si>
    <t>UNTUK TAHUN YANG BERAKHIR 31 MEI 2025 DAN TAHUN 2024</t>
  </si>
  <si>
    <t>UNTUK TAHUN YANG BERAKHIR 30 JUNI 2025 DAN TAHUN 2024</t>
  </si>
  <si>
    <t>UNTUK TAHUN YANG BERAKHIR 31 JULI 2025 DAN TAHUN 2024</t>
  </si>
  <si>
    <t>UNTUK TAHUN YANG BERAKHIR 31 AGUSTUS 2025 DAN TAHUN 2024</t>
  </si>
  <si>
    <t>UNTUK TAHUN YANG BERAKHIR 30 SEPTEMBER 2025 DAN TAHUN 2024</t>
  </si>
  <si>
    <t>UNTUK TAHUN YANG BERAKHIR 31 OKTOBER 2025 DAN TAHUN 2024</t>
  </si>
  <si>
    <t>UNTUK TAHUN YANG BERAKHIR 30 NOVEMBER 2025 DAN TAHUN 2024</t>
  </si>
  <si>
    <t>UNTUK TAHUN YANG BERAKHIR 31 DESEMBER 2025 DAN TAHUN 2024</t>
  </si>
  <si>
    <t xml:space="preserve">TAHUN </t>
  </si>
  <si>
    <t>UNTUK TAHUN YANG BERAKHIR 31 JANUARI 2025</t>
  </si>
  <si>
    <t>Total pengeluaran kas dlm 1 tahun dikurang (1+2+3+5+6+pengeluaran aset)</t>
  </si>
  <si>
    <t>Reklas pembelian bahan karena sdh dipakai assesories &amp; bahan kimia</t>
  </si>
  <si>
    <t>Pemeliharaan trandist</t>
  </si>
  <si>
    <t>DM</t>
  </si>
  <si>
    <t>Bahan kimia</t>
  </si>
  <si>
    <t>Pemasangan SR &amp;Jaringan</t>
  </si>
  <si>
    <t>(pengeluaran kas 1 th)</t>
  </si>
  <si>
    <t>pembayaran utang sesuai neraca 2023</t>
  </si>
  <si>
    <t xml:space="preserve">(-) hutang pap desember </t>
  </si>
  <si>
    <t>Beban ADM -B.Imbalan kerja-B.penysihan</t>
  </si>
  <si>
    <t>PERUSAHAAN UMUM DAERAH AIR MINUM (PERUMDAM)</t>
  </si>
  <si>
    <t>LAMPIRAN 9</t>
  </si>
  <si>
    <t>TIRTA SERUYAN</t>
  </si>
  <si>
    <t>Gaji dan Honor Sumber Air</t>
  </si>
  <si>
    <t xml:space="preserve">Insentif / THR dan Bonus </t>
  </si>
  <si>
    <t>Beban Kesejahteraan Karyawan Sumber  Air</t>
  </si>
  <si>
    <t>Beban Iuran Dana Pensiun Sumber Air</t>
  </si>
  <si>
    <t>Beban BPJS Kesehatan Sumber Air</t>
  </si>
  <si>
    <t>Beban BPJS Ketenagkerjaan Sumber Air</t>
  </si>
  <si>
    <t>Uang Makan dan minum Sumber Air</t>
  </si>
  <si>
    <t>Uang Pisah/Purna Tugas</t>
  </si>
  <si>
    <t>Beban Pendidikan &amp; latihan Sumber air</t>
  </si>
  <si>
    <t>Beban Pembinaan Pegawai Sumber Air</t>
  </si>
  <si>
    <t>asumsi harga dexlite 15,000</t>
  </si>
  <si>
    <t>Rupa-Rupa Biaya Operasi Sumber Air</t>
  </si>
  <si>
    <t>Beban Operasi  Sumber Air</t>
  </si>
  <si>
    <t>Perbaikan intake</t>
  </si>
  <si>
    <t>91.04.00</t>
  </si>
  <si>
    <t>Beban Pegawai Pengolahan Air</t>
  </si>
  <si>
    <t>Gaji &amp; Honor Pengolahan Air</t>
  </si>
  <si>
    <t>Lembur Pegawai Pengolahan Air</t>
  </si>
  <si>
    <t>Beban Iuran Dana Pensiun Pengolahan Air</t>
  </si>
  <si>
    <t>Beban BPJS Kesehatan Pengolahan Air</t>
  </si>
  <si>
    <t>Beban BPJS Ketenagkerjaan Pengolahan Air</t>
  </si>
  <si>
    <t>Uang Makan dan minum Pengolahan Air</t>
  </si>
  <si>
    <t>Beban Pendidikan &amp; latihan Pengolahan Air</t>
  </si>
  <si>
    <t>dibulatkan hitungan 1 pegawai 1 Luar Prov 1 luar daerah</t>
  </si>
  <si>
    <t>Beban Pembinaan Pegawai Pengoahan Air</t>
  </si>
  <si>
    <t>diturunkan jd 15 jt menyesuaikan keuangan</t>
  </si>
  <si>
    <t>Harga Lama</t>
  </si>
  <si>
    <t>Data Dari Produksi</t>
  </si>
  <si>
    <t>harga 7700dan 3500 kg</t>
  </si>
  <si>
    <t>harga 7700dan 900 kg</t>
  </si>
  <si>
    <t>harga 7700dan 1100 kg</t>
  </si>
  <si>
    <t>harga 17450 dan 350 kg</t>
  </si>
  <si>
    <t>harga 17450 dan 320 kg</t>
  </si>
  <si>
    <t>harga 40700 dan 45 kg</t>
  </si>
  <si>
    <t>harga 40700 dan 20 kg</t>
  </si>
  <si>
    <t>harga 126100 dan 75 kg</t>
  </si>
  <si>
    <t>harga 126100 dan 40 kg</t>
  </si>
  <si>
    <t>harga 126100 dan 5 kg</t>
  </si>
  <si>
    <t>Jumlah MAGNOFLOG</t>
  </si>
  <si>
    <t>Total dulu</t>
  </si>
  <si>
    <t xml:space="preserve">Beban Pemakaian Bahan Pembantu </t>
  </si>
  <si>
    <t>BEBAN PEMELIHARAAN PENGOLAHAN AIR</t>
  </si>
  <si>
    <t>Jumlah Beban Pemeliharaan Pengolahan Air</t>
  </si>
  <si>
    <t>BEBAN PENYUSUTAN PENGOLAHAN AIR</t>
  </si>
  <si>
    <t>BEBAN OPERASIONAL TRANDIST</t>
  </si>
  <si>
    <t>Gaji dan Honor Trandist</t>
  </si>
  <si>
    <t>Lembur Pegawai Trandist</t>
  </si>
  <si>
    <t>Beban Kesejahteraan Karyawan Trandist</t>
  </si>
  <si>
    <t>Beban Iuran Dana Pensiun Trandist</t>
  </si>
  <si>
    <t>Beban BPJS Kesehatan Trandist</t>
  </si>
  <si>
    <t>Beban BPJS Ketenagkerjaan Trandist</t>
  </si>
  <si>
    <t>Uang Makan dan minum Trandist</t>
  </si>
  <si>
    <t>Beban Pendidikan &amp; latihan Trandist</t>
  </si>
  <si>
    <t>Jumlah Biaya Pemeliharaan Trandist</t>
  </si>
  <si>
    <t>JUMLAH BEBAN TRAND &amp; DIST</t>
  </si>
  <si>
    <t>BEBAN HPP SAMBUNGAN BARU</t>
  </si>
  <si>
    <t>BEBAN OPERASIONAL SEBELUM PENYUSUTAN</t>
  </si>
  <si>
    <t>JUMLAH BEBAN OPERASIONAL</t>
  </si>
  <si>
    <t>LAMPIRAN 10</t>
  </si>
  <si>
    <t>Beban Pegawai Umum &amp; Administrasi</t>
  </si>
  <si>
    <t>Pegawai Induk PERUMDAM</t>
  </si>
  <si>
    <t>Lembur pegawai Adm &amp; Umum</t>
  </si>
  <si>
    <t xml:space="preserve">Insentif / THR , dana kesejahteraan pegawai dan Bonus / Uang Cuti </t>
  </si>
  <si>
    <t>Beban Kesejahteraan Karyawan Umum &amp; Adm</t>
  </si>
  <si>
    <t>Beban Iuran Dana Pensiun Umum &amp; Adm</t>
  </si>
  <si>
    <t>Beban BPJS Kesehatan Umum &amp; Adm</t>
  </si>
  <si>
    <t>Beban BPJS Ketenagkerjaan Umum &amp; Adm</t>
  </si>
  <si>
    <t>Beban Pendidikan &amp; latihan Umum &amp; Adm</t>
  </si>
  <si>
    <t>Beban Pembinaan Pegawai Umum &amp; Adm</t>
  </si>
  <si>
    <t>Beban Bantuan &amp; Sumbangan</t>
  </si>
  <si>
    <t>Beban Penagihan Rekening Air</t>
  </si>
  <si>
    <t>RUPA-RUPA BEBAN UMUM</t>
  </si>
  <si>
    <t>Beban Iuran Keanggotaan</t>
  </si>
  <si>
    <t>Beban Langganan Media Cetak</t>
  </si>
  <si>
    <t>Beban Penghapusan Piutang</t>
  </si>
  <si>
    <t>Beban Keamanan</t>
  </si>
  <si>
    <t>Beban Depresiasi &amp; Amortisasi Umum</t>
  </si>
  <si>
    <t>SISA</t>
  </si>
  <si>
    <t>98.01.00</t>
  </si>
  <si>
    <t>TAHUN ANGGARAN 2026</t>
  </si>
  <si>
    <t xml:space="preserve"> </t>
  </si>
  <si>
    <t xml:space="preserve">Pembuatan Dokumen Renbis </t>
  </si>
  <si>
    <t xml:space="preserve">Pembuatan Website </t>
  </si>
  <si>
    <t>Penyusunan POS</t>
  </si>
  <si>
    <t>Penyusunan Kebijakan Akuntansi &amp; Aset</t>
  </si>
  <si>
    <t>Penyusunan RPAM</t>
  </si>
  <si>
    <t>B. Listrik</t>
  </si>
  <si>
    <t>B. Hubungan Langganan</t>
  </si>
  <si>
    <t>B. Pemeliharan</t>
  </si>
  <si>
    <t>B. Imbalan Kerja</t>
  </si>
  <si>
    <t>B. Penyusutan Aset Tetap</t>
  </si>
  <si>
    <t>B. Kantor</t>
  </si>
  <si>
    <t>B. Air Baku</t>
  </si>
  <si>
    <t>B. PPh 21</t>
  </si>
  <si>
    <t>B. Operasional Lainnya</t>
  </si>
  <si>
    <t>B. Pmkin Bahan Kimia</t>
  </si>
  <si>
    <t>B. Am. Aset Tdk Berwujud</t>
  </si>
  <si>
    <t>B. Peny. Kerugian Piutang</t>
  </si>
  <si>
    <t>B. Pmkn. Bahan pembantu</t>
  </si>
  <si>
    <t>B. Pmkn. Bahan Bakar</t>
  </si>
  <si>
    <t>B. H. P. Sambungan Baru</t>
  </si>
  <si>
    <t>B. Penelitian &amp; Pengan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</si>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</sst>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Arial"/>
      <family val="2"/>
    </font>
    <font>
      <b/>
      <sz val="9"/>
      <color indexed="18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8"/>
      <color theme="1"/>
      <name val="Book Antiqua"/>
      <family val="1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Arial"/>
      <family val="2"/>
    </font>
    <font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Book Antiqua"/>
      <family val="1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2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6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  <font>
      <sz val="6"/>
      <color theme="1" tint="4.9989318521683403E-2"/>
      <name val="Arial"/>
      <family val="2"/>
    </font>
    <font>
      <sz val="7"/>
      <color indexed="81"/>
      <name val="Tahoma"/>
      <family val="2"/>
    </font>
    <font>
      <sz val="7"/>
      <name val="Calibri"/>
      <family val="2"/>
      <scheme val="minor"/>
    </font>
    <font>
      <sz val="7"/>
      <color rgb="FFFF000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7"/>
      <name val="Calibri"/>
      <family val="2"/>
      <scheme val="minor"/>
    </font>
    <font>
      <sz val="6"/>
      <name val="Calibri"/>
      <family val="2"/>
      <scheme val="minor"/>
    </font>
    <font>
      <sz val="11"/>
      <color rgb="FFFF0000"/>
      <name val="Arial"/>
      <family val="2"/>
    </font>
    <font>
      <sz val="12"/>
      <color rgb="FFFF0000"/>
      <name val="Arial"/>
      <family val="2"/>
    </font>
    <font>
      <sz val="7"/>
      <color rgb="FFFF0000"/>
      <name val="Arial"/>
      <family val="2"/>
    </font>
    <font>
      <b/>
      <sz val="7"/>
      <color rgb="FFFF0000"/>
      <name val="Arial"/>
      <family val="2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99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auto="1"/>
      </bottom>
      <diagonal/>
    </border>
    <border>
      <left/>
      <right style="thin">
        <color indexed="64"/>
      </right>
      <top style="dashed">
        <color indexed="64"/>
      </top>
      <bottom style="thin">
        <color auto="1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" fillId="0" borderId="0">
      <alignment horizontal="left" vertical="top"/>
    </xf>
    <xf numFmtId="0" fontId="5" fillId="0" borderId="0">
      <alignment horizontal="left" vertical="top"/>
    </xf>
    <xf numFmtId="0" fontId="5" fillId="0" borderId="0">
      <alignment horizontal="right" vertical="top"/>
    </xf>
    <xf numFmtId="0" fontId="6" fillId="0" borderId="0">
      <alignment horizontal="center" vertical="top"/>
    </xf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580">
    <xf numFmtId="0" fontId="0" fillId="0" borderId="0" xfId="0"/>
    <xf numFmtId="0" fontId="7" fillId="0" borderId="0" xfId="0" applyFont="1" applyAlignment="1">
      <alignment horizontal="center"/>
    </xf>
    <xf numFmtId="0" fontId="9" fillId="0" borderId="0" xfId="0" applyFont="1"/>
    <xf numFmtId="0" fontId="0" fillId="0" borderId="31" xfId="0" applyBorder="1"/>
    <xf numFmtId="43" fontId="0" fillId="0" borderId="0" xfId="0" applyNumberFormat="1"/>
    <xf numFmtId="0" fontId="12" fillId="0" borderId="0" xfId="0" applyFont="1"/>
    <xf numFmtId="43" fontId="12" fillId="0" borderId="0" xfId="2" applyFont="1" applyBorder="1"/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/>
    </xf>
    <xf numFmtId="0" fontId="15" fillId="0" borderId="28" xfId="0" applyFont="1" applyBorder="1"/>
    <xf numFmtId="0" fontId="12" fillId="0" borderId="38" xfId="0" applyFont="1" applyBorder="1"/>
    <xf numFmtId="0" fontId="12" fillId="0" borderId="39" xfId="0" applyFont="1" applyBorder="1"/>
    <xf numFmtId="43" fontId="12" fillId="0" borderId="26" xfId="2" applyFont="1" applyBorder="1"/>
    <xf numFmtId="43" fontId="15" fillId="0" borderId="26" xfId="2" applyFont="1" applyBorder="1"/>
    <xf numFmtId="0" fontId="12" fillId="0" borderId="28" xfId="0" applyFont="1" applyBorder="1"/>
    <xf numFmtId="0" fontId="15" fillId="0" borderId="38" xfId="0" applyFont="1" applyBorder="1"/>
    <xf numFmtId="0" fontId="15" fillId="0" borderId="39" xfId="0" applyFont="1" applyBorder="1"/>
    <xf numFmtId="0" fontId="12" fillId="0" borderId="26" xfId="0" applyFont="1" applyBorder="1"/>
    <xf numFmtId="43" fontId="12" fillId="0" borderId="26" xfId="2" applyFont="1" applyFill="1" applyBorder="1"/>
    <xf numFmtId="0" fontId="12" fillId="0" borderId="32" xfId="0" applyFont="1" applyBorder="1"/>
    <xf numFmtId="0" fontId="12" fillId="0" borderId="40" xfId="0" applyFont="1" applyBorder="1"/>
    <xf numFmtId="0" fontId="12" fillId="0" borderId="41" xfId="0" applyFont="1" applyBorder="1"/>
    <xf numFmtId="43" fontId="12" fillId="0" borderId="27" xfId="2" applyFont="1" applyBorder="1"/>
    <xf numFmtId="43" fontId="15" fillId="0" borderId="9" xfId="2" applyFont="1" applyBorder="1" applyAlignment="1">
      <alignment vertical="center"/>
    </xf>
    <xf numFmtId="43" fontId="12" fillId="0" borderId="0" xfId="2" applyFont="1"/>
    <xf numFmtId="43" fontId="15" fillId="0" borderId="26" xfId="2" applyFont="1" applyBorder="1" applyAlignment="1">
      <alignment vertical="center"/>
    </xf>
    <xf numFmtId="0" fontId="16" fillId="0" borderId="0" xfId="0" applyFont="1"/>
    <xf numFmtId="0" fontId="16" fillId="0" borderId="0" xfId="0" applyFont="1" applyAlignment="1">
      <alignment horizontal="centerContinuous"/>
    </xf>
    <xf numFmtId="0" fontId="8" fillId="0" borderId="0" xfId="0" applyFont="1"/>
    <xf numFmtId="0" fontId="16" fillId="0" borderId="6" xfId="0" applyFont="1" applyBorder="1"/>
    <xf numFmtId="0" fontId="8" fillId="0" borderId="42" xfId="0" applyFont="1" applyBorder="1"/>
    <xf numFmtId="0" fontId="8" fillId="0" borderId="43" xfId="0" applyFont="1" applyBorder="1"/>
    <xf numFmtId="43" fontId="8" fillId="0" borderId="2" xfId="2" applyFont="1" applyBorder="1"/>
    <xf numFmtId="43" fontId="8" fillId="0" borderId="2" xfId="2" applyFont="1" applyFill="1" applyBorder="1"/>
    <xf numFmtId="0" fontId="8" fillId="0" borderId="7" xfId="0" applyFont="1" applyBorder="1"/>
    <xf numFmtId="0" fontId="8" fillId="0" borderId="44" xfId="0" applyFont="1" applyBorder="1"/>
    <xf numFmtId="0" fontId="8" fillId="0" borderId="45" xfId="0" applyFont="1" applyBorder="1"/>
    <xf numFmtId="43" fontId="8" fillId="0" borderId="1" xfId="2" applyFont="1" applyBorder="1"/>
    <xf numFmtId="43" fontId="8" fillId="0" borderId="1" xfId="2" applyFont="1" applyFill="1" applyBorder="1"/>
    <xf numFmtId="0" fontId="8" fillId="0" borderId="1" xfId="0" applyFont="1" applyBorder="1"/>
    <xf numFmtId="0" fontId="16" fillId="0" borderId="45" xfId="0" applyFont="1" applyBorder="1" applyAlignment="1">
      <alignment horizontal="right"/>
    </xf>
    <xf numFmtId="43" fontId="16" fillId="0" borderId="1" xfId="2" applyFont="1" applyBorder="1" applyAlignment="1">
      <alignment horizontal="right"/>
    </xf>
    <xf numFmtId="43" fontId="16" fillId="0" borderId="1" xfId="2" applyFont="1" applyFill="1" applyBorder="1"/>
    <xf numFmtId="43" fontId="16" fillId="0" borderId="1" xfId="2" applyFont="1" applyBorder="1"/>
    <xf numFmtId="0" fontId="16" fillId="0" borderId="7" xfId="0" applyFont="1" applyBorder="1"/>
    <xf numFmtId="0" fontId="8" fillId="0" borderId="45" xfId="1" applyFont="1" applyBorder="1" applyAlignment="1">
      <alignment vertical="center"/>
    </xf>
    <xf numFmtId="0" fontId="8" fillId="0" borderId="45" xfId="1" applyFont="1" applyBorder="1" applyAlignment="1">
      <alignment horizontal="left" vertical="center"/>
    </xf>
    <xf numFmtId="43" fontId="16" fillId="0" borderId="1" xfId="0" applyNumberFormat="1" applyFont="1" applyBorder="1"/>
    <xf numFmtId="43" fontId="8" fillId="0" borderId="1" xfId="0" applyNumberFormat="1" applyFont="1" applyBorder="1"/>
    <xf numFmtId="0" fontId="8" fillId="0" borderId="4" xfId="0" applyFont="1" applyBorder="1"/>
    <xf numFmtId="43" fontId="8" fillId="0" borderId="4" xfId="2" applyFont="1" applyBorder="1"/>
    <xf numFmtId="43" fontId="8" fillId="0" borderId="4" xfId="2" applyFont="1" applyFill="1" applyBorder="1"/>
    <xf numFmtId="0" fontId="16" fillId="0" borderId="9" xfId="0" applyFont="1" applyBorder="1"/>
    <xf numFmtId="43" fontId="16" fillId="0" borderId="9" xfId="0" applyNumberFormat="1" applyFont="1" applyBorder="1" applyAlignment="1">
      <alignment vertical="center"/>
    </xf>
    <xf numFmtId="41" fontId="9" fillId="0" borderId="0" xfId="3" applyFont="1"/>
    <xf numFmtId="0" fontId="9" fillId="0" borderId="12" xfId="0" applyFont="1" applyBorder="1"/>
    <xf numFmtId="0" fontId="14" fillId="0" borderId="0" xfId="0" applyFont="1"/>
    <xf numFmtId="0" fontId="17" fillId="0" borderId="0" xfId="0" applyFont="1"/>
    <xf numFmtId="0" fontId="7" fillId="0" borderId="15" xfId="0" applyFont="1" applyBorder="1"/>
    <xf numFmtId="0" fontId="17" fillId="0" borderId="21" xfId="0" applyFont="1" applyBorder="1"/>
    <xf numFmtId="0" fontId="7" fillId="0" borderId="0" xfId="0" applyFont="1"/>
    <xf numFmtId="0" fontId="17" fillId="0" borderId="13" xfId="0" applyFont="1" applyBorder="1"/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/>
    </xf>
    <xf numFmtId="0" fontId="17" fillId="0" borderId="17" xfId="0" applyFont="1" applyBorder="1"/>
    <xf numFmtId="0" fontId="17" fillId="0" borderId="18" xfId="0" applyFont="1" applyBorder="1"/>
    <xf numFmtId="0" fontId="7" fillId="0" borderId="0" xfId="0" applyFont="1" applyAlignment="1">
      <alignment vertical="center"/>
    </xf>
    <xf numFmtId="43" fontId="14" fillId="0" borderId="0" xfId="0" applyNumberFormat="1" applyFont="1"/>
    <xf numFmtId="164" fontId="14" fillId="0" borderId="0" xfId="0" applyNumberFormat="1" applyFont="1"/>
    <xf numFmtId="43" fontId="18" fillId="0" borderId="0" xfId="2" applyFont="1" applyBorder="1"/>
    <xf numFmtId="0" fontId="7" fillId="0" borderId="0" xfId="0" applyFont="1" applyAlignment="1">
      <alignment horizontal="left"/>
    </xf>
    <xf numFmtId="0" fontId="9" fillId="0" borderId="12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9" fillId="0" borderId="9" xfId="0" applyFont="1" applyBorder="1"/>
    <xf numFmtId="41" fontId="9" fillId="0" borderId="12" xfId="3" applyFont="1" applyBorder="1"/>
    <xf numFmtId="41" fontId="9" fillId="0" borderId="9" xfId="3" applyFont="1" applyBorder="1" applyAlignment="1">
      <alignment vertical="center"/>
    </xf>
    <xf numFmtId="0" fontId="19" fillId="0" borderId="0" xfId="0" applyFont="1" applyAlignment="1">
      <alignment vertical="center"/>
    </xf>
    <xf numFmtId="43" fontId="7" fillId="0" borderId="0" xfId="0" applyNumberFormat="1" applyFont="1"/>
    <xf numFmtId="0" fontId="18" fillId="2" borderId="20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0" borderId="0" xfId="0" applyFont="1" applyAlignment="1">
      <alignment horizontal="left"/>
    </xf>
    <xf numFmtId="43" fontId="7" fillId="0" borderId="0" xfId="2" applyFont="1" applyBorder="1"/>
    <xf numFmtId="43" fontId="18" fillId="0" borderId="14" xfId="2" applyFont="1" applyBorder="1"/>
    <xf numFmtId="0" fontId="7" fillId="0" borderId="0" xfId="0" quotePrefix="1" applyFont="1"/>
    <xf numFmtId="0" fontId="7" fillId="0" borderId="0" xfId="0" applyFont="1" applyAlignment="1">
      <alignment horizontal="left" vertical="center"/>
    </xf>
    <xf numFmtId="43" fontId="7" fillId="0" borderId="0" xfId="2" applyFont="1" applyFill="1" applyBorder="1"/>
    <xf numFmtId="41" fontId="7" fillId="0" borderId="0" xfId="3" applyFont="1"/>
    <xf numFmtId="43" fontId="7" fillId="0" borderId="15" xfId="2" applyFont="1" applyBorder="1"/>
    <xf numFmtId="43" fontId="7" fillId="0" borderId="0" xfId="2" applyFont="1"/>
    <xf numFmtId="41" fontId="14" fillId="0" borderId="0" xfId="0" applyNumberFormat="1" applyFont="1"/>
    <xf numFmtId="0" fontId="26" fillId="0" borderId="0" xfId="0" applyFont="1"/>
    <xf numFmtId="0" fontId="26" fillId="0" borderId="0" xfId="0" applyFont="1" applyAlignment="1">
      <alignment horizontal="left"/>
    </xf>
    <xf numFmtId="0" fontId="15" fillId="0" borderId="56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41" fontId="26" fillId="0" borderId="0" xfId="3" applyFont="1" applyAlignment="1">
      <alignment horizontal="center"/>
    </xf>
    <xf numFmtId="41" fontId="26" fillId="0" borderId="0" xfId="0" applyNumberFormat="1" applyFont="1"/>
    <xf numFmtId="0" fontId="27" fillId="0" borderId="47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2" xfId="0" quotePrefix="1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26" fillId="0" borderId="14" xfId="0" applyFont="1" applyBorder="1" applyAlignment="1">
      <alignment vertical="center"/>
    </xf>
    <xf numFmtId="0" fontId="26" fillId="0" borderId="19" xfId="0" applyFont="1" applyBorder="1" applyAlignment="1">
      <alignment vertical="center"/>
    </xf>
    <xf numFmtId="41" fontId="26" fillId="0" borderId="20" xfId="3" applyFont="1" applyFill="1" applyBorder="1" applyAlignment="1">
      <alignment vertical="center"/>
    </xf>
    <xf numFmtId="41" fontId="26" fillId="0" borderId="12" xfId="3" applyFont="1" applyFill="1" applyBorder="1" applyAlignment="1">
      <alignment vertical="center"/>
    </xf>
    <xf numFmtId="0" fontId="26" fillId="0" borderId="29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13" xfId="0" applyFont="1" applyBorder="1" applyAlignment="1">
      <alignment horizontal="left" vertical="center"/>
    </xf>
    <xf numFmtId="0" fontId="26" fillId="0" borderId="0" xfId="0" applyFont="1" applyAlignment="1">
      <alignment vertical="center"/>
    </xf>
    <xf numFmtId="0" fontId="26" fillId="0" borderId="17" xfId="0" applyFont="1" applyBorder="1" applyAlignment="1">
      <alignment vertical="center"/>
    </xf>
    <xf numFmtId="41" fontId="26" fillId="0" borderId="29" xfId="0" applyNumberFormat="1" applyFont="1" applyBorder="1" applyAlignment="1">
      <alignment horizontal="center" vertical="center"/>
    </xf>
    <xf numFmtId="41" fontId="26" fillId="0" borderId="29" xfId="0" applyNumberFormat="1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/>
    </xf>
    <xf numFmtId="41" fontId="27" fillId="0" borderId="12" xfId="3" applyFont="1" applyFill="1" applyBorder="1" applyAlignment="1">
      <alignment vertical="center"/>
    </xf>
    <xf numFmtId="0" fontId="26" fillId="0" borderId="8" xfId="0" applyFont="1" applyBorder="1" applyAlignment="1">
      <alignment horizontal="center" vertical="center"/>
    </xf>
    <xf numFmtId="41" fontId="26" fillId="0" borderId="9" xfId="3" applyFont="1" applyFill="1" applyBorder="1" applyAlignment="1">
      <alignment vertical="center"/>
    </xf>
    <xf numFmtId="0" fontId="26" fillId="0" borderId="30" xfId="0" applyFont="1" applyBorder="1" applyAlignment="1">
      <alignment horizontal="center" vertical="center"/>
    </xf>
    <xf numFmtId="0" fontId="26" fillId="0" borderId="12" xfId="0" applyFont="1" applyBorder="1" applyAlignment="1">
      <alignment vertical="center"/>
    </xf>
    <xf numFmtId="41" fontId="26" fillId="0" borderId="30" xfId="0" applyNumberFormat="1" applyFont="1" applyBorder="1" applyAlignment="1">
      <alignment horizontal="center" vertical="center"/>
    </xf>
    <xf numFmtId="43" fontId="26" fillId="0" borderId="29" xfId="0" applyNumberFormat="1" applyFont="1" applyBorder="1" applyAlignment="1">
      <alignment horizontal="center" vertical="center" wrapText="1"/>
    </xf>
    <xf numFmtId="41" fontId="26" fillId="0" borderId="30" xfId="0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center"/>
    </xf>
    <xf numFmtId="0" fontId="26" fillId="0" borderId="24" xfId="0" applyFont="1" applyBorder="1" applyAlignment="1">
      <alignment vertical="center"/>
    </xf>
    <xf numFmtId="0" fontId="26" fillId="0" borderId="25" xfId="0" applyFont="1" applyBorder="1" applyAlignment="1">
      <alignment vertical="center"/>
    </xf>
    <xf numFmtId="0" fontId="26" fillId="0" borderId="30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7" fillId="0" borderId="17" xfId="0" applyFont="1" applyBorder="1" applyAlignment="1">
      <alignment vertical="center"/>
    </xf>
    <xf numFmtId="0" fontId="27" fillId="0" borderId="11" xfId="0" applyFont="1" applyBorder="1" applyAlignment="1">
      <alignment horizontal="center" vertical="center"/>
    </xf>
    <xf numFmtId="0" fontId="27" fillId="0" borderId="24" xfId="0" applyFont="1" applyBorder="1" applyAlignment="1">
      <alignment horizontal="left" vertical="center"/>
    </xf>
    <xf numFmtId="0" fontId="27" fillId="0" borderId="25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7" fillId="0" borderId="51" xfId="0" applyFont="1" applyBorder="1" applyAlignment="1">
      <alignment horizontal="center" vertical="center"/>
    </xf>
    <xf numFmtId="41" fontId="27" fillId="0" borderId="54" xfId="3" applyFont="1" applyFill="1" applyBorder="1" applyAlignment="1">
      <alignment vertical="center"/>
    </xf>
    <xf numFmtId="0" fontId="26" fillId="0" borderId="55" xfId="0" applyFont="1" applyBorder="1" applyAlignment="1">
      <alignment horizontal="center" vertical="center"/>
    </xf>
    <xf numFmtId="43" fontId="12" fillId="0" borderId="0" xfId="0" applyNumberFormat="1" applyFont="1"/>
    <xf numFmtId="164" fontId="12" fillId="0" borderId="0" xfId="0" applyNumberFormat="1" applyFont="1"/>
    <xf numFmtId="41" fontId="12" fillId="0" borderId="0" xfId="0" applyNumberFormat="1" applyFont="1"/>
    <xf numFmtId="0" fontId="3" fillId="0" borderId="0" xfId="1" applyFon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28" fillId="0" borderId="0" xfId="1" applyFont="1"/>
    <xf numFmtId="0" fontId="21" fillId="0" borderId="56" xfId="1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17" fillId="0" borderId="0" xfId="1" applyFont="1"/>
    <xf numFmtId="0" fontId="29" fillId="0" borderId="47" xfId="1" applyFont="1" applyBorder="1" applyAlignment="1">
      <alignment horizontal="center" vertical="center"/>
    </xf>
    <xf numFmtId="0" fontId="24" fillId="0" borderId="0" xfId="1" applyFont="1"/>
    <xf numFmtId="0" fontId="29" fillId="0" borderId="46" xfId="1" applyFont="1" applyBorder="1" applyAlignment="1">
      <alignment horizontal="center" vertical="center"/>
    </xf>
    <xf numFmtId="0" fontId="29" fillId="0" borderId="12" xfId="1" quotePrefix="1" applyFont="1" applyBorder="1" applyAlignment="1">
      <alignment horizontal="center" vertical="center"/>
    </xf>
    <xf numFmtId="0" fontId="29" fillId="0" borderId="8" xfId="1" applyFont="1" applyBorder="1" applyAlignment="1">
      <alignment horizontal="center" vertical="center"/>
    </xf>
    <xf numFmtId="0" fontId="29" fillId="0" borderId="30" xfId="1" applyFont="1" applyBorder="1" applyAlignment="1">
      <alignment horizontal="center" vertical="center"/>
    </xf>
    <xf numFmtId="0" fontId="29" fillId="0" borderId="33" xfId="1" applyFont="1" applyBorder="1" applyAlignment="1">
      <alignment horizontal="center" vertical="center"/>
    </xf>
    <xf numFmtId="0" fontId="29" fillId="0" borderId="18" xfId="1" applyFont="1" applyBorder="1" applyAlignment="1">
      <alignment horizontal="left" vertical="center"/>
    </xf>
    <xf numFmtId="0" fontId="30" fillId="0" borderId="14" xfId="1" applyFont="1" applyBorder="1" applyAlignment="1">
      <alignment vertical="center"/>
    </xf>
    <xf numFmtId="0" fontId="30" fillId="0" borderId="19" xfId="1" applyFont="1" applyBorder="1" applyAlignment="1">
      <alignment vertical="center"/>
    </xf>
    <xf numFmtId="41" fontId="30" fillId="0" borderId="20" xfId="9" applyFont="1" applyFill="1" applyBorder="1" applyAlignment="1">
      <alignment vertical="center"/>
    </xf>
    <xf numFmtId="41" fontId="30" fillId="0" borderId="12" xfId="9" applyFont="1" applyFill="1" applyBorder="1" applyAlignment="1">
      <alignment vertical="center"/>
    </xf>
    <xf numFmtId="0" fontId="30" fillId="0" borderId="29" xfId="1" applyFont="1" applyBorder="1" applyAlignment="1">
      <alignment horizontal="center" vertical="center"/>
    </xf>
    <xf numFmtId="0" fontId="30" fillId="0" borderId="11" xfId="1" applyFont="1" applyBorder="1" applyAlignment="1">
      <alignment horizontal="center" vertical="center"/>
    </xf>
    <xf numFmtId="0" fontId="30" fillId="0" borderId="0" xfId="1" applyFont="1" applyAlignment="1">
      <alignment vertical="center"/>
    </xf>
    <xf numFmtId="0" fontId="30" fillId="0" borderId="17" xfId="1" applyFont="1" applyBorder="1" applyAlignment="1">
      <alignment vertical="center"/>
    </xf>
    <xf numFmtId="41" fontId="30" fillId="0" borderId="29" xfId="1" applyNumberFormat="1" applyFont="1" applyBorder="1" applyAlignment="1">
      <alignment horizontal="center" vertical="center"/>
    </xf>
    <xf numFmtId="0" fontId="30" fillId="0" borderId="29" xfId="1" applyFont="1" applyBorder="1" applyAlignment="1">
      <alignment horizontal="center" vertical="center" wrapText="1"/>
    </xf>
    <xf numFmtId="41" fontId="30" fillId="0" borderId="29" xfId="1" applyNumberFormat="1" applyFont="1" applyBorder="1" applyAlignment="1">
      <alignment horizontal="center" vertical="center" wrapText="1"/>
    </xf>
    <xf numFmtId="0" fontId="30" fillId="0" borderId="13" xfId="1" applyFont="1" applyBorder="1" applyAlignment="1">
      <alignment vertical="center"/>
    </xf>
    <xf numFmtId="41" fontId="29" fillId="0" borderId="12" xfId="9" applyFont="1" applyFill="1" applyBorder="1" applyAlignment="1">
      <alignment vertical="center"/>
    </xf>
    <xf numFmtId="41" fontId="24" fillId="0" borderId="0" xfId="1" applyNumberFormat="1" applyFont="1"/>
    <xf numFmtId="0" fontId="30" fillId="0" borderId="8" xfId="1" applyFont="1" applyBorder="1" applyAlignment="1">
      <alignment horizontal="center" vertical="center"/>
    </xf>
    <xf numFmtId="41" fontId="30" fillId="0" borderId="9" xfId="9" applyFont="1" applyFill="1" applyBorder="1" applyAlignment="1">
      <alignment vertical="center"/>
    </xf>
    <xf numFmtId="0" fontId="30" fillId="0" borderId="30" xfId="1" applyFont="1" applyBorder="1" applyAlignment="1">
      <alignment horizontal="center" vertical="center"/>
    </xf>
    <xf numFmtId="43" fontId="30" fillId="0" borderId="29" xfId="1" applyNumberFormat="1" applyFont="1" applyBorder="1" applyAlignment="1">
      <alignment horizontal="center" vertical="center" wrapText="1"/>
    </xf>
    <xf numFmtId="41" fontId="30" fillId="0" borderId="30" xfId="1" applyNumberFormat="1" applyFont="1" applyBorder="1" applyAlignment="1">
      <alignment horizontal="center" vertical="center" wrapText="1"/>
    </xf>
    <xf numFmtId="0" fontId="30" fillId="0" borderId="24" xfId="1" applyFont="1" applyBorder="1" applyAlignment="1">
      <alignment vertical="center"/>
    </xf>
    <xf numFmtId="0" fontId="30" fillId="0" borderId="25" xfId="1" applyFont="1" applyBorder="1" applyAlignment="1">
      <alignment vertical="center"/>
    </xf>
    <xf numFmtId="0" fontId="30" fillId="0" borderId="30" xfId="1" applyFont="1" applyBorder="1" applyAlignment="1">
      <alignment horizontal="center" vertical="center" wrapText="1"/>
    </xf>
    <xf numFmtId="0" fontId="30" fillId="0" borderId="13" xfId="1" applyFont="1" applyBorder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30" fillId="0" borderId="17" xfId="1" applyFont="1" applyBorder="1" applyAlignment="1">
      <alignment horizontal="center" vertical="center"/>
    </xf>
    <xf numFmtId="0" fontId="30" fillId="0" borderId="33" xfId="1" applyFont="1" applyBorder="1" applyAlignment="1">
      <alignment horizontal="center" vertical="center"/>
    </xf>
    <xf numFmtId="0" fontId="30" fillId="0" borderId="34" xfId="1" applyFont="1" applyBorder="1" applyAlignment="1">
      <alignment horizontal="center" vertical="center" wrapText="1"/>
    </xf>
    <xf numFmtId="0" fontId="29" fillId="0" borderId="0" xfId="1" applyFont="1" applyAlignment="1">
      <alignment vertical="center"/>
    </xf>
    <xf numFmtId="0" fontId="29" fillId="0" borderId="17" xfId="1" applyFont="1" applyBorder="1" applyAlignment="1">
      <alignment vertical="center"/>
    </xf>
    <xf numFmtId="41" fontId="31" fillId="0" borderId="12" xfId="9" applyFont="1" applyFill="1" applyBorder="1" applyAlignment="1">
      <alignment vertical="center"/>
    </xf>
    <xf numFmtId="0" fontId="29" fillId="0" borderId="24" xfId="1" applyFont="1" applyBorder="1" applyAlignment="1">
      <alignment horizontal="left" vertical="center"/>
    </xf>
    <xf numFmtId="0" fontId="29" fillId="0" borderId="25" xfId="1" applyFont="1" applyBorder="1" applyAlignment="1">
      <alignment horizontal="left" vertical="center"/>
    </xf>
    <xf numFmtId="0" fontId="29" fillId="0" borderId="11" xfId="1" applyFont="1" applyBorder="1" applyAlignment="1">
      <alignment horizontal="center" vertical="center"/>
    </xf>
    <xf numFmtId="0" fontId="29" fillId="0" borderId="13" xfId="1" applyFont="1" applyBorder="1" applyAlignment="1">
      <alignment horizontal="left" vertical="center"/>
    </xf>
    <xf numFmtId="0" fontId="29" fillId="0" borderId="51" xfId="1" applyFont="1" applyBorder="1" applyAlignment="1">
      <alignment horizontal="center" vertical="center"/>
    </xf>
    <xf numFmtId="41" fontId="29" fillId="0" borderId="54" xfId="9" applyFont="1" applyFill="1" applyBorder="1" applyAlignment="1">
      <alignment vertical="center"/>
    </xf>
    <xf numFmtId="0" fontId="30" fillId="0" borderId="55" xfId="1" applyFont="1" applyBorder="1" applyAlignment="1">
      <alignment horizontal="center" vertical="center"/>
    </xf>
    <xf numFmtId="0" fontId="24" fillId="0" borderId="0" xfId="1" applyFont="1" applyAlignment="1">
      <alignment horizontal="center"/>
    </xf>
    <xf numFmtId="0" fontId="24" fillId="0" borderId="0" xfId="1" applyFont="1" applyAlignment="1">
      <alignment horizontal="left"/>
    </xf>
    <xf numFmtId="41" fontId="24" fillId="0" borderId="0" xfId="9" applyFont="1" applyFill="1"/>
    <xf numFmtId="0" fontId="30" fillId="0" borderId="0" xfId="1" applyFont="1" applyAlignment="1">
      <alignment horizontal="center"/>
    </xf>
    <xf numFmtId="41" fontId="30" fillId="0" borderId="0" xfId="1" applyNumberFormat="1" applyFont="1"/>
    <xf numFmtId="41" fontId="3" fillId="0" borderId="0" xfId="9" applyFont="1" applyFill="1" applyAlignment="1">
      <alignment horizontal="center"/>
    </xf>
    <xf numFmtId="41" fontId="3" fillId="0" borderId="0" xfId="1" applyNumberFormat="1" applyFont="1"/>
    <xf numFmtId="0" fontId="29" fillId="0" borderId="49" xfId="1" applyFont="1" applyBorder="1" applyAlignment="1">
      <alignment horizontal="center" vertical="center"/>
    </xf>
    <xf numFmtId="0" fontId="29" fillId="0" borderId="29" xfId="1" applyFont="1" applyBorder="1" applyAlignment="1">
      <alignment horizontal="center" vertical="center"/>
    </xf>
    <xf numFmtId="0" fontId="30" fillId="0" borderId="29" xfId="1" applyFont="1" applyBorder="1" applyAlignment="1">
      <alignment vertical="center"/>
    </xf>
    <xf numFmtId="41" fontId="29" fillId="0" borderId="9" xfId="9" applyFont="1" applyFill="1" applyBorder="1" applyAlignment="1">
      <alignment vertical="center"/>
    </xf>
    <xf numFmtId="41" fontId="30" fillId="0" borderId="12" xfId="9" applyFont="1" applyBorder="1" applyAlignment="1">
      <alignment vertical="center"/>
    </xf>
    <xf numFmtId="41" fontId="29" fillId="0" borderId="9" xfId="9" applyFont="1" applyBorder="1" applyAlignment="1">
      <alignment vertical="center"/>
    </xf>
    <xf numFmtId="0" fontId="29" fillId="0" borderId="0" xfId="1" applyFont="1" applyAlignment="1">
      <alignment horizontal="center" vertical="center"/>
    </xf>
    <xf numFmtId="0" fontId="29" fillId="0" borderId="17" xfId="1" applyFont="1" applyBorder="1" applyAlignment="1">
      <alignment horizontal="center" vertical="center"/>
    </xf>
    <xf numFmtId="0" fontId="30" fillId="0" borderId="46" xfId="1" applyFont="1" applyBorder="1" applyAlignment="1">
      <alignment horizontal="center" vertical="center"/>
    </xf>
    <xf numFmtId="0" fontId="30" fillId="0" borderId="21" xfId="1" applyFont="1" applyBorder="1" applyAlignment="1">
      <alignment horizontal="left" vertical="center"/>
    </xf>
    <xf numFmtId="0" fontId="30" fillId="0" borderId="15" xfId="1" applyFont="1" applyBorder="1" applyAlignment="1">
      <alignment horizontal="left" vertical="center"/>
    </xf>
    <xf numFmtId="0" fontId="30" fillId="0" borderId="22" xfId="1" applyFont="1" applyBorder="1" applyAlignment="1">
      <alignment horizontal="left" vertical="center"/>
    </xf>
    <xf numFmtId="41" fontId="30" fillId="0" borderId="23" xfId="9" applyFont="1" applyFill="1" applyBorder="1" applyAlignment="1">
      <alignment vertical="center"/>
    </xf>
    <xf numFmtId="0" fontId="30" fillId="0" borderId="50" xfId="1" applyFont="1" applyBorder="1" applyAlignment="1">
      <alignment horizontal="center" vertical="center"/>
    </xf>
    <xf numFmtId="0" fontId="30" fillId="0" borderId="34" xfId="1" applyFont="1" applyBorder="1" applyAlignment="1">
      <alignment horizontal="center" vertical="center"/>
    </xf>
    <xf numFmtId="41" fontId="30" fillId="0" borderId="20" xfId="9" applyFont="1" applyBorder="1" applyAlignment="1">
      <alignment vertical="center"/>
    </xf>
    <xf numFmtId="41" fontId="29" fillId="0" borderId="54" xfId="1" applyNumberFormat="1" applyFont="1" applyBorder="1" applyAlignment="1">
      <alignment vertical="center"/>
    </xf>
    <xf numFmtId="0" fontId="30" fillId="0" borderId="57" xfId="1" applyFont="1" applyBorder="1" applyAlignment="1">
      <alignment horizontal="center" vertical="center"/>
    </xf>
    <xf numFmtId="41" fontId="24" fillId="0" borderId="0" xfId="9" applyFont="1"/>
    <xf numFmtId="41" fontId="24" fillId="3" borderId="0" xfId="9" applyFont="1" applyFill="1"/>
    <xf numFmtId="0" fontId="30" fillId="3" borderId="0" xfId="1" applyFont="1" applyFill="1"/>
    <xf numFmtId="41" fontId="30" fillId="3" borderId="0" xfId="9" applyFont="1" applyFill="1"/>
    <xf numFmtId="41" fontId="24" fillId="3" borderId="0" xfId="1" applyNumberFormat="1" applyFont="1" applyFill="1"/>
    <xf numFmtId="0" fontId="24" fillId="3" borderId="0" xfId="1" applyFont="1" applyFill="1"/>
    <xf numFmtId="0" fontId="24" fillId="3" borderId="0" xfId="1" applyFont="1" applyFill="1" applyAlignment="1">
      <alignment horizontal="center" vertical="center" wrapText="1"/>
    </xf>
    <xf numFmtId="41" fontId="30" fillId="3" borderId="0" xfId="1" applyNumberFormat="1" applyFont="1" applyFill="1"/>
    <xf numFmtId="0" fontId="29" fillId="0" borderId="58" xfId="1" applyFont="1" applyBorder="1" applyAlignment="1">
      <alignment horizontal="center" vertical="center"/>
    </xf>
    <xf numFmtId="0" fontId="29" fillId="0" borderId="13" xfId="1" quotePrefix="1" applyFont="1" applyBorder="1" applyAlignment="1">
      <alignment horizontal="center" vertical="center"/>
    </xf>
    <xf numFmtId="41" fontId="30" fillId="0" borderId="13" xfId="9" applyFont="1" applyFill="1" applyBorder="1" applyAlignment="1">
      <alignment vertical="center"/>
    </xf>
    <xf numFmtId="41" fontId="30" fillId="0" borderId="10" xfId="9" applyFont="1" applyFill="1" applyBorder="1" applyAlignment="1">
      <alignment vertical="center"/>
    </xf>
    <xf numFmtId="41" fontId="30" fillId="0" borderId="18" xfId="9" applyFont="1" applyFill="1" applyBorder="1" applyAlignment="1">
      <alignment vertical="center"/>
    </xf>
    <xf numFmtId="41" fontId="29" fillId="0" borderId="59" xfId="9" applyFont="1" applyFill="1" applyBorder="1" applyAlignment="1">
      <alignment vertical="center"/>
    </xf>
    <xf numFmtId="0" fontId="29" fillId="0" borderId="10" xfId="1" applyFont="1" applyBorder="1" applyAlignment="1">
      <alignment horizontal="center" vertical="center"/>
    </xf>
    <xf numFmtId="0" fontId="30" fillId="0" borderId="13" xfId="1" applyFont="1" applyBorder="1" applyAlignment="1">
      <alignment horizontal="left" vertical="center"/>
    </xf>
    <xf numFmtId="0" fontId="30" fillId="0" borderId="0" xfId="1" applyFont="1" applyAlignment="1">
      <alignment horizontal="left" vertical="center"/>
    </xf>
    <xf numFmtId="0" fontId="30" fillId="0" borderId="17" xfId="1" applyFont="1" applyBorder="1" applyAlignment="1">
      <alignment horizontal="left" vertical="center"/>
    </xf>
    <xf numFmtId="0" fontId="30" fillId="0" borderId="18" xfId="1" applyFont="1" applyBorder="1" applyAlignment="1">
      <alignment horizontal="left" vertical="center"/>
    </xf>
    <xf numFmtId="0" fontId="30" fillId="0" borderId="14" xfId="1" applyFont="1" applyBorder="1" applyAlignment="1">
      <alignment horizontal="left" vertical="center"/>
    </xf>
    <xf numFmtId="0" fontId="30" fillId="0" borderId="19" xfId="1" applyFont="1" applyBorder="1" applyAlignment="1">
      <alignment horizontal="left" vertical="center"/>
    </xf>
    <xf numFmtId="0" fontId="22" fillId="0" borderId="0" xfId="1" applyFont="1" applyAlignment="1">
      <alignment horizontal="center"/>
    </xf>
    <xf numFmtId="0" fontId="29" fillId="0" borderId="48" xfId="1" applyFont="1" applyBorder="1" applyAlignment="1">
      <alignment horizontal="center" vertical="center"/>
    </xf>
    <xf numFmtId="0" fontId="29" fillId="0" borderId="12" xfId="1" applyFont="1" applyBorder="1" applyAlignment="1">
      <alignment horizontal="center" vertical="center"/>
    </xf>
    <xf numFmtId="0" fontId="29" fillId="0" borderId="9" xfId="1" applyFont="1" applyBorder="1" applyAlignment="1">
      <alignment horizontal="center" vertical="center"/>
    </xf>
    <xf numFmtId="0" fontId="30" fillId="0" borderId="10" xfId="1" applyFont="1" applyBorder="1" applyAlignment="1">
      <alignment horizontal="left" vertical="center"/>
    </xf>
    <xf numFmtId="0" fontId="23" fillId="0" borderId="0" xfId="1" applyFont="1"/>
    <xf numFmtId="41" fontId="29" fillId="0" borderId="13" xfId="9" applyFont="1" applyFill="1" applyBorder="1" applyAlignment="1">
      <alignment vertical="center"/>
    </xf>
    <xf numFmtId="41" fontId="29" fillId="0" borderId="10" xfId="9" applyFont="1" applyFill="1" applyBorder="1" applyAlignment="1">
      <alignment vertical="center"/>
    </xf>
    <xf numFmtId="41" fontId="29" fillId="0" borderId="52" xfId="1" applyNumberFormat="1" applyFont="1" applyBorder="1" applyAlignment="1">
      <alignment vertical="center"/>
    </xf>
    <xf numFmtId="0" fontId="30" fillId="0" borderId="12" xfId="0" applyFont="1" applyBorder="1" applyAlignment="1">
      <alignment vertical="center"/>
    </xf>
    <xf numFmtId="0" fontId="30" fillId="0" borderId="13" xfId="0" applyFont="1" applyBorder="1" applyAlignment="1">
      <alignment horizontal="left" vertical="center"/>
    </xf>
    <xf numFmtId="0" fontId="30" fillId="0" borderId="0" xfId="0" applyFont="1" applyAlignment="1">
      <alignment vertical="center"/>
    </xf>
    <xf numFmtId="0" fontId="30" fillId="0" borderId="17" xfId="0" applyFont="1" applyBorder="1" applyAlignment="1">
      <alignment vertical="center"/>
    </xf>
    <xf numFmtId="0" fontId="30" fillId="0" borderId="0" xfId="0" applyFont="1" applyAlignment="1">
      <alignment horizontal="left" vertical="center"/>
    </xf>
    <xf numFmtId="0" fontId="30" fillId="0" borderId="17" xfId="0" applyFont="1" applyBorder="1" applyAlignment="1">
      <alignment horizontal="left" vertical="center"/>
    </xf>
    <xf numFmtId="43" fontId="26" fillId="0" borderId="12" xfId="3" applyNumberFormat="1" applyFont="1" applyFill="1" applyBorder="1" applyAlignment="1">
      <alignment vertical="center"/>
    </xf>
    <xf numFmtId="43" fontId="18" fillId="0" borderId="0" xfId="2" applyFont="1" applyFill="1" applyBorder="1"/>
    <xf numFmtId="0" fontId="30" fillId="0" borderId="10" xfId="1" applyFont="1" applyBorder="1" applyAlignment="1">
      <alignment horizontal="center" vertical="center"/>
    </xf>
    <xf numFmtId="0" fontId="30" fillId="0" borderId="10" xfId="1" applyFont="1" applyBorder="1" applyAlignment="1">
      <alignment horizontal="center" vertical="center" wrapText="1"/>
    </xf>
    <xf numFmtId="0" fontId="22" fillId="0" borderId="0" xfId="1" applyFont="1"/>
    <xf numFmtId="0" fontId="22" fillId="0" borderId="0" xfId="1" applyFont="1" applyAlignment="1">
      <alignment horizontal="left"/>
    </xf>
    <xf numFmtId="0" fontId="21" fillId="0" borderId="0" xfId="1" applyFont="1"/>
    <xf numFmtId="0" fontId="30" fillId="0" borderId="12" xfId="1" applyFont="1" applyBorder="1" applyAlignment="1">
      <alignment vertical="center"/>
    </xf>
    <xf numFmtId="0" fontId="30" fillId="0" borderId="14" xfId="1" applyFont="1" applyBorder="1" applyAlignment="1">
      <alignment horizontal="center" vertical="center"/>
    </xf>
    <xf numFmtId="41" fontId="30" fillId="0" borderId="14" xfId="9" applyFont="1" applyFill="1" applyBorder="1" applyAlignment="1">
      <alignment vertical="center"/>
    </xf>
    <xf numFmtId="0" fontId="30" fillId="0" borderId="14" xfId="1" applyFont="1" applyBorder="1" applyAlignment="1">
      <alignment horizontal="center" vertical="center" wrapText="1"/>
    </xf>
    <xf numFmtId="41" fontId="30" fillId="0" borderId="0" xfId="9" applyFont="1" applyFill="1" applyBorder="1" applyAlignment="1">
      <alignment vertical="center"/>
    </xf>
    <xf numFmtId="0" fontId="30" fillId="0" borderId="0" xfId="1" applyFont="1" applyAlignment="1">
      <alignment horizontal="center" vertical="center" wrapText="1"/>
    </xf>
    <xf numFmtId="0" fontId="29" fillId="0" borderId="0" xfId="1" applyFont="1" applyAlignment="1">
      <alignment horizontal="left" vertical="center"/>
    </xf>
    <xf numFmtId="41" fontId="22" fillId="0" borderId="0" xfId="9" applyFont="1" applyFill="1" applyAlignment="1">
      <alignment horizontal="center"/>
    </xf>
    <xf numFmtId="41" fontId="22" fillId="0" borderId="0" xfId="1" applyNumberFormat="1" applyFont="1"/>
    <xf numFmtId="41" fontId="35" fillId="0" borderId="12" xfId="9" applyFont="1" applyFill="1" applyBorder="1" applyAlignment="1">
      <alignment vertical="center"/>
    </xf>
    <xf numFmtId="41" fontId="30" fillId="0" borderId="34" xfId="1" applyNumberFormat="1" applyFont="1" applyBorder="1" applyAlignment="1">
      <alignment horizontal="center" vertical="center"/>
    </xf>
    <xf numFmtId="41" fontId="30" fillId="0" borderId="13" xfId="1" applyNumberFormat="1" applyFont="1" applyBorder="1" applyAlignment="1">
      <alignment horizontal="center" vertical="center"/>
    </xf>
    <xf numFmtId="0" fontId="30" fillId="0" borderId="13" xfId="1" applyFont="1" applyBorder="1" applyAlignment="1">
      <alignment horizontal="center" vertical="center" wrapText="1"/>
    </xf>
    <xf numFmtId="41" fontId="30" fillId="0" borderId="13" xfId="1" applyNumberFormat="1" applyFont="1" applyBorder="1" applyAlignment="1">
      <alignment horizontal="center" vertical="center" wrapText="1"/>
    </xf>
    <xf numFmtId="43" fontId="30" fillId="0" borderId="13" xfId="1" applyNumberFormat="1" applyFont="1" applyBorder="1" applyAlignment="1">
      <alignment horizontal="center" vertical="center" wrapText="1"/>
    </xf>
    <xf numFmtId="41" fontId="30" fillId="0" borderId="10" xfId="1" applyNumberFormat="1" applyFont="1" applyBorder="1" applyAlignment="1">
      <alignment horizontal="center" vertical="center" wrapText="1"/>
    </xf>
    <xf numFmtId="0" fontId="30" fillId="0" borderId="18" xfId="1" applyFont="1" applyBorder="1" applyAlignment="1">
      <alignment horizontal="center" vertical="center" wrapText="1"/>
    </xf>
    <xf numFmtId="0" fontId="30" fillId="0" borderId="18" xfId="1" applyFont="1" applyBorder="1" applyAlignment="1">
      <alignment horizontal="center" vertical="center"/>
    </xf>
    <xf numFmtId="0" fontId="30" fillId="0" borderId="59" xfId="1" applyFont="1" applyBorder="1" applyAlignment="1">
      <alignment horizontal="center" vertical="center"/>
    </xf>
    <xf numFmtId="0" fontId="24" fillId="0" borderId="20" xfId="1" applyFont="1" applyBorder="1"/>
    <xf numFmtId="0" fontId="24" fillId="0" borderId="12" xfId="1" applyFont="1" applyBorder="1"/>
    <xf numFmtId="41" fontId="24" fillId="0" borderId="12" xfId="1" applyNumberFormat="1" applyFont="1" applyBorder="1"/>
    <xf numFmtId="0" fontId="29" fillId="3" borderId="58" xfId="1" applyFont="1" applyFill="1" applyBorder="1" applyAlignment="1">
      <alignment horizontal="center" vertical="center"/>
    </xf>
    <xf numFmtId="0" fontId="29" fillId="3" borderId="13" xfId="1" quotePrefix="1" applyFont="1" applyFill="1" applyBorder="1" applyAlignment="1">
      <alignment horizontal="center" vertical="center"/>
    </xf>
    <xf numFmtId="0" fontId="29" fillId="3" borderId="10" xfId="1" applyFont="1" applyFill="1" applyBorder="1" applyAlignment="1">
      <alignment horizontal="center" vertical="center"/>
    </xf>
    <xf numFmtId="0" fontId="24" fillId="0" borderId="33" xfId="1" applyFont="1" applyBorder="1"/>
    <xf numFmtId="0" fontId="24" fillId="0" borderId="11" xfId="1" applyFont="1" applyBorder="1"/>
    <xf numFmtId="41" fontId="24" fillId="0" borderId="11" xfId="1" applyNumberFormat="1" applyFont="1" applyBorder="1"/>
    <xf numFmtId="41" fontId="24" fillId="0" borderId="9" xfId="1" applyNumberFormat="1" applyFont="1" applyBorder="1"/>
    <xf numFmtId="41" fontId="24" fillId="0" borderId="9" xfId="1" applyNumberFormat="1" applyFont="1" applyBorder="1" applyAlignment="1">
      <alignment vertical="center"/>
    </xf>
    <xf numFmtId="41" fontId="24" fillId="0" borderId="9" xfId="3" applyFont="1" applyBorder="1"/>
    <xf numFmtId="41" fontId="24" fillId="0" borderId="13" xfId="1" applyNumberFormat="1" applyFont="1" applyBorder="1"/>
    <xf numFmtId="41" fontId="30" fillId="3" borderId="12" xfId="9" applyFont="1" applyFill="1" applyBorder="1" applyAlignment="1">
      <alignment vertical="center"/>
    </xf>
    <xf numFmtId="41" fontId="24" fillId="0" borderId="8" xfId="1" applyNumberFormat="1" applyFont="1" applyBorder="1"/>
    <xf numFmtId="43" fontId="18" fillId="0" borderId="14" xfId="2" applyFont="1" applyFill="1" applyBorder="1"/>
    <xf numFmtId="43" fontId="7" fillId="0" borderId="15" xfId="2" applyFont="1" applyFill="1" applyBorder="1"/>
    <xf numFmtId="41" fontId="14" fillId="0" borderId="0" xfId="3" applyFont="1"/>
    <xf numFmtId="0" fontId="26" fillId="0" borderId="0" xfId="0" applyFont="1" applyAlignment="1">
      <alignment horizontal="left" vertical="center"/>
    </xf>
    <xf numFmtId="0" fontId="37" fillId="0" borderId="0" xfId="0" applyFont="1"/>
    <xf numFmtId="0" fontId="37" fillId="0" borderId="0" xfId="0" applyFont="1" applyAlignment="1">
      <alignment horizontal="left"/>
    </xf>
    <xf numFmtId="41" fontId="37" fillId="0" borderId="0" xfId="0" applyNumberFormat="1" applyFont="1"/>
    <xf numFmtId="41" fontId="38" fillId="0" borderId="0" xfId="0" applyNumberFormat="1" applyFont="1"/>
    <xf numFmtId="0" fontId="39" fillId="0" borderId="56" xfId="0" applyFont="1" applyBorder="1" applyAlignment="1">
      <alignment horizontal="center" vertical="center"/>
    </xf>
    <xf numFmtId="41" fontId="37" fillId="0" borderId="0" xfId="3" applyFont="1"/>
    <xf numFmtId="41" fontId="37" fillId="0" borderId="0" xfId="3" applyFont="1" applyFill="1"/>
    <xf numFmtId="41" fontId="38" fillId="0" borderId="0" xfId="3" applyFont="1"/>
    <xf numFmtId="0" fontId="37" fillId="0" borderId="0" xfId="0" applyFont="1" applyAlignment="1">
      <alignment horizontal="center"/>
    </xf>
    <xf numFmtId="41" fontId="37" fillId="0" borderId="0" xfId="3" applyFont="1" applyAlignment="1">
      <alignment horizontal="center"/>
    </xf>
    <xf numFmtId="0" fontId="41" fillId="0" borderId="47" xfId="0" applyFont="1" applyBorder="1" applyAlignment="1">
      <alignment horizontal="center" vertical="center"/>
    </xf>
    <xf numFmtId="0" fontId="41" fillId="0" borderId="48" xfId="0" applyFont="1" applyBorder="1" applyAlignment="1">
      <alignment horizontal="center" vertical="center"/>
    </xf>
    <xf numFmtId="0" fontId="41" fillId="0" borderId="49" xfId="0" applyFont="1" applyBorder="1" applyAlignment="1">
      <alignment horizontal="center" vertical="center"/>
    </xf>
    <xf numFmtId="0" fontId="41" fillId="0" borderId="46" xfId="0" applyFont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1" fillId="0" borderId="12" xfId="0" quotePrefix="1" applyFont="1" applyBorder="1" applyAlignment="1">
      <alignment horizontal="center" vertical="center"/>
    </xf>
    <xf numFmtId="0" fontId="41" fillId="0" borderId="29" xfId="0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1" fillId="0" borderId="30" xfId="0" applyFont="1" applyBorder="1" applyAlignment="1">
      <alignment horizontal="center" vertical="center"/>
    </xf>
    <xf numFmtId="0" fontId="41" fillId="0" borderId="33" xfId="0" applyFont="1" applyBorder="1" applyAlignment="1">
      <alignment horizontal="center" vertical="center"/>
    </xf>
    <xf numFmtId="0" fontId="41" fillId="0" borderId="18" xfId="0" applyFont="1" applyBorder="1" applyAlignment="1">
      <alignment horizontal="left" vertical="center"/>
    </xf>
    <xf numFmtId="0" fontId="37" fillId="0" borderId="14" xfId="0" applyFont="1" applyBorder="1" applyAlignment="1">
      <alignment vertical="center"/>
    </xf>
    <xf numFmtId="0" fontId="37" fillId="0" borderId="19" xfId="0" applyFont="1" applyBorder="1" applyAlignment="1">
      <alignment vertical="center"/>
    </xf>
    <xf numFmtId="41" fontId="37" fillId="0" borderId="20" xfId="3" applyFont="1" applyBorder="1" applyAlignment="1">
      <alignment vertical="center"/>
    </xf>
    <xf numFmtId="0" fontId="37" fillId="0" borderId="29" xfId="0" applyFont="1" applyBorder="1" applyAlignment="1">
      <alignment vertical="center"/>
    </xf>
    <xf numFmtId="0" fontId="37" fillId="0" borderId="11" xfId="0" applyFont="1" applyBorder="1" applyAlignment="1">
      <alignment horizontal="center" vertical="center"/>
    </xf>
    <xf numFmtId="0" fontId="37" fillId="0" borderId="13" xfId="0" applyFont="1" applyBorder="1" applyAlignment="1">
      <alignment horizontal="left" vertical="center"/>
    </xf>
    <xf numFmtId="0" fontId="37" fillId="0" borderId="0" xfId="0" applyFont="1" applyAlignment="1">
      <alignment vertical="center"/>
    </xf>
    <xf numFmtId="0" fontId="37" fillId="0" borderId="17" xfId="0" applyFont="1" applyBorder="1" applyAlignment="1">
      <alignment vertical="center"/>
    </xf>
    <xf numFmtId="41" fontId="37" fillId="0" borderId="12" xfId="3" applyFont="1" applyBorder="1" applyAlignment="1">
      <alignment vertical="center"/>
    </xf>
    <xf numFmtId="0" fontId="37" fillId="0" borderId="29" xfId="0" applyFont="1" applyBorder="1" applyAlignment="1">
      <alignment horizontal="center" vertical="center"/>
    </xf>
    <xf numFmtId="41" fontId="37" fillId="0" borderId="29" xfId="0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41" fillId="0" borderId="17" xfId="0" applyFont="1" applyBorder="1" applyAlignment="1">
      <alignment vertical="center"/>
    </xf>
    <xf numFmtId="0" fontId="37" fillId="0" borderId="8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41" fontId="41" fillId="0" borderId="9" xfId="3" applyFont="1" applyFill="1" applyBorder="1" applyAlignment="1">
      <alignment vertical="center"/>
    </xf>
    <xf numFmtId="41" fontId="37" fillId="0" borderId="9" xfId="3" applyFont="1" applyBorder="1" applyAlignment="1">
      <alignment vertical="center"/>
    </xf>
    <xf numFmtId="0" fontId="37" fillId="0" borderId="30" xfId="0" applyFont="1" applyBorder="1" applyAlignment="1">
      <alignment horizontal="center" vertical="center"/>
    </xf>
    <xf numFmtId="0" fontId="41" fillId="0" borderId="13" xfId="0" applyFont="1" applyBorder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7" fillId="0" borderId="17" xfId="0" applyFont="1" applyBorder="1" applyAlignment="1">
      <alignment horizontal="left" vertical="center"/>
    </xf>
    <xf numFmtId="41" fontId="37" fillId="0" borderId="12" xfId="3" applyFont="1" applyFill="1" applyBorder="1" applyAlignment="1">
      <alignment vertical="center"/>
    </xf>
    <xf numFmtId="0" fontId="41" fillId="0" borderId="11" xfId="0" applyFont="1" applyBorder="1" applyAlignment="1">
      <alignment horizontal="center" vertical="center"/>
    </xf>
    <xf numFmtId="41" fontId="41" fillId="0" borderId="9" xfId="3" applyFont="1" applyBorder="1" applyAlignment="1">
      <alignment vertical="center"/>
    </xf>
    <xf numFmtId="0" fontId="37" fillId="0" borderId="29" xfId="0" applyFont="1" applyBorder="1" applyAlignment="1">
      <alignment horizontal="center" vertical="center" wrapText="1"/>
    </xf>
    <xf numFmtId="41" fontId="37" fillId="0" borderId="9" xfId="3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41" fontId="37" fillId="0" borderId="23" xfId="3" applyFont="1" applyFill="1" applyBorder="1" applyAlignment="1">
      <alignment vertical="center"/>
    </xf>
    <xf numFmtId="0" fontId="37" fillId="0" borderId="34" xfId="0" applyFont="1" applyBorder="1" applyAlignment="1">
      <alignment horizontal="center" vertical="center"/>
    </xf>
    <xf numFmtId="0" fontId="42" fillId="0" borderId="13" xfId="0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42" fillId="0" borderId="17" xfId="0" applyFont="1" applyBorder="1" applyAlignment="1">
      <alignment horizontal="left" vertical="center"/>
    </xf>
    <xf numFmtId="0" fontId="37" fillId="0" borderId="10" xfId="0" applyFont="1" applyBorder="1" applyAlignment="1">
      <alignment horizontal="left" vertical="center"/>
    </xf>
    <xf numFmtId="0" fontId="41" fillId="0" borderId="51" xfId="0" applyFont="1" applyBorder="1" applyAlignment="1">
      <alignment horizontal="center" vertical="center"/>
    </xf>
    <xf numFmtId="41" fontId="41" fillId="0" borderId="54" xfId="0" applyNumberFormat="1" applyFont="1" applyBorder="1" applyAlignment="1">
      <alignment vertical="center"/>
    </xf>
    <xf numFmtId="0" fontId="37" fillId="0" borderId="57" xfId="0" applyFont="1" applyBorder="1" applyAlignment="1">
      <alignment horizontal="center" vertical="center"/>
    </xf>
    <xf numFmtId="41" fontId="41" fillId="0" borderId="12" xfId="3" applyFont="1" applyBorder="1" applyAlignment="1">
      <alignment vertical="center"/>
    </xf>
    <xf numFmtId="0" fontId="27" fillId="0" borderId="24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41" fontId="26" fillId="0" borderId="23" xfId="3" applyFont="1" applyFill="1" applyBorder="1" applyAlignment="1">
      <alignment vertical="center"/>
    </xf>
    <xf numFmtId="0" fontId="26" fillId="0" borderId="9" xfId="0" applyFont="1" applyBorder="1" applyAlignment="1">
      <alignment horizontal="center" vertical="center"/>
    </xf>
    <xf numFmtId="0" fontId="27" fillId="0" borderId="10" xfId="0" applyFont="1" applyBorder="1" applyAlignment="1">
      <alignment horizontal="left" vertical="center"/>
    </xf>
    <xf numFmtId="0" fontId="20" fillId="0" borderId="0" xfId="0" applyFont="1"/>
    <xf numFmtId="0" fontId="17" fillId="0" borderId="19" xfId="0" applyFont="1" applyBorder="1"/>
    <xf numFmtId="41" fontId="17" fillId="0" borderId="0" xfId="3" applyFont="1"/>
    <xf numFmtId="41" fontId="7" fillId="0" borderId="0" xfId="3" applyFont="1" applyBorder="1"/>
    <xf numFmtId="0" fontId="17" fillId="0" borderId="22" xfId="0" applyFont="1" applyBorder="1"/>
    <xf numFmtId="41" fontId="7" fillId="0" borderId="14" xfId="3" applyFont="1" applyBorder="1"/>
    <xf numFmtId="43" fontId="7" fillId="3" borderId="0" xfId="2" applyFont="1" applyFill="1" applyBorder="1"/>
    <xf numFmtId="41" fontId="7" fillId="0" borderId="14" xfId="3" applyFont="1" applyFill="1" applyBorder="1"/>
    <xf numFmtId="41" fontId="17" fillId="0" borderId="0" xfId="3" applyFont="1" applyBorder="1"/>
    <xf numFmtId="41" fontId="17" fillId="0" borderId="14" xfId="3" applyFont="1" applyBorder="1"/>
    <xf numFmtId="41" fontId="43" fillId="0" borderId="0" xfId="3" applyFont="1" applyBorder="1"/>
    <xf numFmtId="0" fontId="43" fillId="0" borderId="0" xfId="0" applyFont="1"/>
    <xf numFmtId="41" fontId="9" fillId="0" borderId="9" xfId="3" applyFont="1" applyBorder="1"/>
    <xf numFmtId="0" fontId="29" fillId="0" borderId="24" xfId="1" applyFont="1" applyBorder="1" applyAlignment="1">
      <alignment horizontal="center" vertical="center"/>
    </xf>
    <xf numFmtId="0" fontId="29" fillId="0" borderId="25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41" fontId="22" fillId="0" borderId="0" xfId="1" applyNumberFormat="1" applyFont="1" applyAlignment="1">
      <alignment horizontal="center"/>
    </xf>
    <xf numFmtId="41" fontId="44" fillId="0" borderId="0" xfId="9" applyFont="1"/>
    <xf numFmtId="41" fontId="45" fillId="0" borderId="0" xfId="9" applyFont="1"/>
    <xf numFmtId="41" fontId="46" fillId="0" borderId="0" xfId="9" applyFont="1"/>
    <xf numFmtId="0" fontId="29" fillId="0" borderId="14" xfId="1" applyFont="1" applyBorder="1" applyAlignment="1">
      <alignment vertical="center"/>
    </xf>
    <xf numFmtId="0" fontId="45" fillId="0" borderId="0" xfId="1" applyFont="1"/>
    <xf numFmtId="0" fontId="30" fillId="0" borderId="13" xfId="11" applyFont="1" applyBorder="1" applyAlignment="1">
      <alignment horizontal="left" vertical="center"/>
    </xf>
    <xf numFmtId="0" fontId="29" fillId="0" borderId="0" xfId="11" applyFont="1" applyAlignment="1">
      <alignment vertical="center"/>
    </xf>
    <xf numFmtId="0" fontId="29" fillId="0" borderId="17" xfId="11" applyFont="1" applyBorder="1" applyAlignment="1">
      <alignment vertical="center"/>
    </xf>
    <xf numFmtId="0" fontId="30" fillId="0" borderId="0" xfId="11" applyFont="1" applyAlignment="1">
      <alignment vertical="center"/>
    </xf>
    <xf numFmtId="0" fontId="30" fillId="0" borderId="17" xfId="11" applyFont="1" applyBorder="1" applyAlignment="1">
      <alignment vertical="center"/>
    </xf>
    <xf numFmtId="41" fontId="31" fillId="0" borderId="0" xfId="9" applyFont="1"/>
    <xf numFmtId="0" fontId="29" fillId="0" borderId="10" xfId="1" applyFont="1" applyBorder="1" applyAlignment="1">
      <alignment horizontal="left" vertical="center"/>
    </xf>
    <xf numFmtId="41" fontId="30" fillId="0" borderId="0" xfId="9" applyFont="1" applyFill="1"/>
    <xf numFmtId="0" fontId="22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41" fontId="47" fillId="0" borderId="0" xfId="9" applyFont="1" applyAlignment="1">
      <alignment vertical="center"/>
    </xf>
    <xf numFmtId="0" fontId="3" fillId="0" borderId="0" xfId="1" applyFont="1" applyAlignment="1">
      <alignment vertical="center"/>
    </xf>
    <xf numFmtId="41" fontId="47" fillId="0" borderId="0" xfId="9" applyFont="1"/>
    <xf numFmtId="0" fontId="21" fillId="0" borderId="0" xfId="1" applyFont="1" applyAlignment="1">
      <alignment vertical="center"/>
    </xf>
    <xf numFmtId="41" fontId="24" fillId="0" borderId="62" xfId="9" applyFont="1" applyFill="1" applyBorder="1" applyAlignment="1">
      <alignment horizontal="center"/>
    </xf>
    <xf numFmtId="41" fontId="24" fillId="0" borderId="0" xfId="9" applyFont="1" applyFill="1" applyAlignment="1">
      <alignment horizontal="center"/>
    </xf>
    <xf numFmtId="0" fontId="24" fillId="0" borderId="0" xfId="1" applyFont="1" applyAlignment="1">
      <alignment horizontal="center" vertical="center" wrapText="1"/>
    </xf>
    <xf numFmtId="41" fontId="45" fillId="0" borderId="0" xfId="9" applyFont="1" applyAlignment="1">
      <alignment horizontal="left"/>
    </xf>
    <xf numFmtId="41" fontId="22" fillId="0" borderId="0" xfId="9" applyFont="1" applyFill="1" applyBorder="1" applyAlignment="1">
      <alignment horizontal="center"/>
    </xf>
    <xf numFmtId="0" fontId="29" fillId="0" borderId="0" xfId="1" quotePrefix="1" applyFont="1" applyAlignment="1">
      <alignment horizontal="center" vertical="center"/>
    </xf>
    <xf numFmtId="41" fontId="29" fillId="0" borderId="0" xfId="9" applyFont="1" applyFill="1" applyBorder="1" applyAlignment="1">
      <alignment vertical="center"/>
    </xf>
    <xf numFmtId="41" fontId="31" fillId="0" borderId="17" xfId="9" applyFont="1" applyFill="1" applyBorder="1" applyAlignment="1">
      <alignment vertical="center"/>
    </xf>
    <xf numFmtId="0" fontId="29" fillId="0" borderId="20" xfId="1" applyFont="1" applyBorder="1" applyAlignment="1">
      <alignment horizontal="center" vertical="center"/>
    </xf>
    <xf numFmtId="0" fontId="29" fillId="0" borderId="23" xfId="1" quotePrefix="1" applyFont="1" applyBorder="1" applyAlignment="1">
      <alignment horizontal="center" vertical="center"/>
    </xf>
    <xf numFmtId="41" fontId="30" fillId="0" borderId="17" xfId="9" applyFont="1" applyFill="1" applyBorder="1" applyAlignment="1">
      <alignment vertical="center"/>
    </xf>
    <xf numFmtId="41" fontId="29" fillId="0" borderId="0" xfId="1" applyNumberFormat="1" applyFont="1" applyAlignment="1">
      <alignment vertical="center"/>
    </xf>
    <xf numFmtId="41" fontId="24" fillId="0" borderId="0" xfId="9" applyFont="1" applyFill="1" applyBorder="1" applyAlignment="1">
      <alignment horizontal="center"/>
    </xf>
    <xf numFmtId="41" fontId="29" fillId="0" borderId="9" xfId="1" applyNumberFormat="1" applyFont="1" applyBorder="1" applyAlignment="1">
      <alignment vertical="center"/>
    </xf>
    <xf numFmtId="41" fontId="30" fillId="0" borderId="0" xfId="9" applyFont="1" applyFill="1" applyBorder="1" applyAlignment="1">
      <alignment horizontal="center"/>
    </xf>
    <xf numFmtId="41" fontId="25" fillId="0" borderId="0" xfId="1" applyNumberFormat="1" applyFont="1" applyAlignment="1">
      <alignment horizontal="center"/>
    </xf>
    <xf numFmtId="164" fontId="26" fillId="0" borderId="12" xfId="3" applyNumberFormat="1" applyFont="1" applyFill="1" applyBorder="1" applyAlignment="1">
      <alignment vertical="center"/>
    </xf>
    <xf numFmtId="41" fontId="26" fillId="0" borderId="29" xfId="3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41" fontId="12" fillId="0" borderId="15" xfId="0" applyNumberFormat="1" applyFont="1" applyBorder="1"/>
    <xf numFmtId="0" fontId="12" fillId="0" borderId="15" xfId="0" applyFont="1" applyBorder="1"/>
    <xf numFmtId="41" fontId="12" fillId="0" borderId="24" xfId="0" applyNumberFormat="1" applyFont="1" applyBorder="1"/>
    <xf numFmtId="41" fontId="30" fillId="5" borderId="12" xfId="9" applyFont="1" applyFill="1" applyBorder="1" applyAlignment="1">
      <alignment vertical="center"/>
    </xf>
    <xf numFmtId="41" fontId="30" fillId="3" borderId="0" xfId="9" applyFont="1" applyFill="1" applyBorder="1" applyAlignment="1">
      <alignment vertical="center"/>
    </xf>
    <xf numFmtId="41" fontId="45" fillId="3" borderId="0" xfId="9" applyFont="1" applyFill="1"/>
    <xf numFmtId="41" fontId="23" fillId="0" borderId="0" xfId="1" applyNumberFormat="1" applyFont="1"/>
    <xf numFmtId="41" fontId="30" fillId="3" borderId="9" xfId="9" applyFont="1" applyFill="1" applyBorder="1" applyAlignment="1">
      <alignment vertical="center"/>
    </xf>
    <xf numFmtId="41" fontId="45" fillId="0" borderId="0" xfId="9" applyFont="1" applyFill="1"/>
    <xf numFmtId="41" fontId="30" fillId="4" borderId="12" xfId="9" applyFont="1" applyFill="1" applyBorder="1" applyAlignment="1">
      <alignment vertical="center"/>
    </xf>
    <xf numFmtId="41" fontId="30" fillId="4" borderId="9" xfId="9" applyFont="1" applyFill="1" applyBorder="1" applyAlignment="1">
      <alignment vertical="center"/>
    </xf>
    <xf numFmtId="164" fontId="12" fillId="6" borderId="0" xfId="0" applyNumberFormat="1" applyFont="1" applyFill="1"/>
    <xf numFmtId="41" fontId="9" fillId="0" borderId="0" xfId="3" applyFont="1" applyBorder="1"/>
    <xf numFmtId="164" fontId="14" fillId="6" borderId="0" xfId="0" applyNumberFormat="1" applyFont="1" applyFill="1"/>
    <xf numFmtId="164" fontId="12" fillId="0" borderId="0" xfId="2" applyNumberFormat="1" applyFont="1"/>
    <xf numFmtId="164" fontId="14" fillId="7" borderId="0" xfId="0" applyNumberFormat="1" applyFont="1" applyFill="1"/>
    <xf numFmtId="164" fontId="12" fillId="7" borderId="0" xfId="0" applyNumberFormat="1" applyFont="1" applyFill="1"/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1" fillId="0" borderId="14" xfId="0" applyFont="1" applyBorder="1" applyAlignment="1">
      <alignment horizontal="center"/>
    </xf>
    <xf numFmtId="0" fontId="18" fillId="2" borderId="18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43" fontId="7" fillId="0" borderId="0" xfId="0" applyNumberFormat="1" applyFont="1" applyAlignment="1">
      <alignment horizontal="center"/>
    </xf>
    <xf numFmtId="0" fontId="11" fillId="0" borderId="28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6" fillId="0" borderId="9" xfId="0" applyFont="1" applyBorder="1" applyAlignment="1">
      <alignment horizontal="center" vertical="center"/>
    </xf>
    <xf numFmtId="15" fontId="16" fillId="0" borderId="9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7" fillId="0" borderId="52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/>
    </xf>
    <xf numFmtId="0" fontId="26" fillId="0" borderId="10" xfId="0" applyFont="1" applyBorder="1" applyAlignment="1">
      <alignment horizontal="left" vertical="center"/>
    </xf>
    <xf numFmtId="0" fontId="26" fillId="0" borderId="24" xfId="0" applyFont="1" applyBorder="1" applyAlignment="1">
      <alignment horizontal="left" vertical="center"/>
    </xf>
    <xf numFmtId="0" fontId="26" fillId="0" borderId="25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7" fillId="0" borderId="13" xfId="0" applyFont="1" applyBorder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7" fillId="0" borderId="17" xfId="0" applyFont="1" applyBorder="1" applyAlignment="1">
      <alignment horizontal="left" vertical="center"/>
    </xf>
    <xf numFmtId="0" fontId="37" fillId="0" borderId="10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41" fillId="0" borderId="48" xfId="0" applyFont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0" fontId="41" fillId="0" borderId="24" xfId="0" applyFont="1" applyBorder="1" applyAlignment="1">
      <alignment horizontal="center" vertical="center"/>
    </xf>
    <xf numFmtId="0" fontId="41" fillId="0" borderId="25" xfId="0" applyFont="1" applyBorder="1" applyAlignment="1">
      <alignment horizontal="center" vertical="center"/>
    </xf>
    <xf numFmtId="0" fontId="41" fillId="0" borderId="52" xfId="0" applyFont="1" applyBorder="1" applyAlignment="1">
      <alignment horizontal="center" vertical="center"/>
    </xf>
    <xf numFmtId="0" fontId="41" fillId="0" borderId="16" xfId="0" applyFont="1" applyBorder="1" applyAlignment="1">
      <alignment horizontal="center" vertical="center"/>
    </xf>
    <xf numFmtId="0" fontId="41" fillId="0" borderId="53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30" fillId="0" borderId="10" xfId="1" applyFont="1" applyBorder="1" applyAlignment="1">
      <alignment horizontal="left" vertical="center"/>
    </xf>
    <xf numFmtId="0" fontId="30" fillId="0" borderId="24" xfId="1" applyFont="1" applyBorder="1" applyAlignment="1">
      <alignment horizontal="left" vertical="center"/>
    </xf>
    <xf numFmtId="0" fontId="30" fillId="0" borderId="25" xfId="1" applyFont="1" applyBorder="1" applyAlignment="1">
      <alignment horizontal="left" vertical="center"/>
    </xf>
    <xf numFmtId="41" fontId="22" fillId="0" borderId="0" xfId="1" applyNumberFormat="1" applyFont="1" applyAlignment="1">
      <alignment horizontal="center"/>
    </xf>
    <xf numFmtId="0" fontId="22" fillId="0" borderId="0" xfId="1" applyFont="1" applyAlignment="1">
      <alignment horizontal="center"/>
    </xf>
    <xf numFmtId="0" fontId="21" fillId="0" borderId="60" xfId="1" applyFont="1" applyBorder="1" applyAlignment="1">
      <alignment horizontal="center" vertical="center"/>
    </xf>
    <xf numFmtId="0" fontId="21" fillId="0" borderId="61" xfId="1" applyFont="1" applyBorder="1" applyAlignment="1">
      <alignment horizontal="center" vertical="center"/>
    </xf>
    <xf numFmtId="41" fontId="22" fillId="0" borderId="5" xfId="9" applyFont="1" applyFill="1" applyBorder="1" applyAlignment="1">
      <alignment horizontal="center"/>
    </xf>
    <xf numFmtId="0" fontId="29" fillId="0" borderId="48" xfId="1" applyFont="1" applyBorder="1" applyAlignment="1">
      <alignment horizontal="center" vertical="center"/>
    </xf>
    <xf numFmtId="0" fontId="29" fillId="0" borderId="12" xfId="1" applyFont="1" applyBorder="1" applyAlignment="1">
      <alignment horizontal="center" vertical="center"/>
    </xf>
    <xf numFmtId="0" fontId="29" fillId="0" borderId="9" xfId="1" applyFont="1" applyBorder="1" applyAlignment="1">
      <alignment horizontal="center" vertical="center"/>
    </xf>
    <xf numFmtId="0" fontId="29" fillId="0" borderId="10" xfId="1" applyFont="1" applyBorder="1" applyAlignment="1">
      <alignment horizontal="center" vertical="center"/>
    </xf>
    <xf numFmtId="0" fontId="29" fillId="0" borderId="24" xfId="1" applyFont="1" applyBorder="1" applyAlignment="1">
      <alignment horizontal="center" vertical="center"/>
    </xf>
    <xf numFmtId="0" fontId="29" fillId="0" borderId="25" xfId="1" applyFont="1" applyBorder="1" applyAlignment="1">
      <alignment horizontal="center" vertical="center"/>
    </xf>
    <xf numFmtId="0" fontId="29" fillId="0" borderId="63" xfId="1" applyFont="1" applyBorder="1" applyAlignment="1">
      <alignment horizontal="center" vertical="center"/>
    </xf>
    <xf numFmtId="0" fontId="29" fillId="0" borderId="64" xfId="1" applyFont="1" applyBorder="1" applyAlignment="1">
      <alignment horizontal="center" vertical="center"/>
    </xf>
    <xf numFmtId="41" fontId="24" fillId="0" borderId="0" xfId="1" applyNumberFormat="1" applyFont="1" applyAlignment="1">
      <alignment horizontal="center"/>
    </xf>
    <xf numFmtId="0" fontId="30" fillId="0" borderId="10" xfId="1" applyFont="1" applyBorder="1" applyAlignment="1">
      <alignment horizontal="center" vertical="center"/>
    </xf>
    <xf numFmtId="0" fontId="30" fillId="0" borderId="24" xfId="1" applyFont="1" applyBorder="1" applyAlignment="1">
      <alignment horizontal="center" vertical="center"/>
    </xf>
    <xf numFmtId="0" fontId="30" fillId="0" borderId="25" xfId="1" applyFont="1" applyBorder="1" applyAlignment="1">
      <alignment horizontal="center" vertical="center"/>
    </xf>
    <xf numFmtId="0" fontId="30" fillId="0" borderId="13" xfId="1" applyFont="1" applyBorder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30" fillId="0" borderId="17" xfId="1" applyFont="1" applyBorder="1" applyAlignment="1">
      <alignment horizontal="center" vertical="center"/>
    </xf>
    <xf numFmtId="0" fontId="30" fillId="0" borderId="13" xfId="1" applyFont="1" applyBorder="1" applyAlignment="1">
      <alignment horizontal="left" vertical="center"/>
    </xf>
    <xf numFmtId="0" fontId="30" fillId="0" borderId="0" xfId="1" applyFont="1" applyAlignment="1">
      <alignment horizontal="left" vertical="center"/>
    </xf>
    <xf numFmtId="0" fontId="30" fillId="0" borderId="17" xfId="1" applyFont="1" applyBorder="1" applyAlignment="1">
      <alignment horizontal="left" vertical="center"/>
    </xf>
    <xf numFmtId="0" fontId="29" fillId="0" borderId="52" xfId="1" applyFont="1" applyBorder="1" applyAlignment="1">
      <alignment horizontal="center" vertical="center"/>
    </xf>
    <xf numFmtId="0" fontId="29" fillId="0" borderId="16" xfId="1" applyFont="1" applyBorder="1" applyAlignment="1">
      <alignment horizontal="center" vertical="center"/>
    </xf>
    <xf numFmtId="0" fontId="29" fillId="0" borderId="53" xfId="1" applyFont="1" applyBorder="1" applyAlignment="1">
      <alignment horizontal="center" vertical="center"/>
    </xf>
    <xf numFmtId="0" fontId="29" fillId="0" borderId="3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41" fontId="22" fillId="0" borderId="5" xfId="1" applyNumberFormat="1" applyFont="1" applyBorder="1" applyAlignment="1">
      <alignment horizontal="center"/>
    </xf>
    <xf numFmtId="0" fontId="30" fillId="0" borderId="13" xfId="1" applyFont="1" applyBorder="1" applyAlignment="1">
      <alignment horizontal="left" vertical="center" wrapText="1"/>
    </xf>
    <xf numFmtId="0" fontId="30" fillId="0" borderId="0" xfId="1" applyFont="1" applyAlignment="1">
      <alignment horizontal="left" vertical="center" wrapText="1"/>
    </xf>
    <xf numFmtId="0" fontId="30" fillId="0" borderId="17" xfId="1" applyFont="1" applyBorder="1" applyAlignment="1">
      <alignment horizontal="left" vertical="center" wrapText="1"/>
    </xf>
    <xf numFmtId="0" fontId="30" fillId="0" borderId="21" xfId="1" applyFont="1" applyBorder="1" applyAlignment="1">
      <alignment horizontal="left" vertical="center"/>
    </xf>
    <xf numFmtId="0" fontId="30" fillId="0" borderId="15" xfId="1" applyFont="1" applyBorder="1" applyAlignment="1">
      <alignment horizontal="left" vertical="center"/>
    </xf>
    <xf numFmtId="0" fontId="30" fillId="0" borderId="22" xfId="1" applyFont="1" applyBorder="1" applyAlignment="1">
      <alignment horizontal="left" vertical="center"/>
    </xf>
    <xf numFmtId="0" fontId="30" fillId="0" borderId="10" xfId="1" applyFont="1" applyBorder="1" applyAlignment="1">
      <alignment horizontal="center" vertical="center" wrapText="1"/>
    </xf>
    <xf numFmtId="0" fontId="30" fillId="0" borderId="24" xfId="1" applyFont="1" applyBorder="1" applyAlignment="1">
      <alignment horizontal="center" vertical="center" wrapText="1"/>
    </xf>
    <xf numFmtId="0" fontId="30" fillId="0" borderId="25" xfId="1" applyFont="1" applyBorder="1" applyAlignment="1">
      <alignment horizontal="center" vertical="center" wrapText="1"/>
    </xf>
    <xf numFmtId="0" fontId="30" fillId="0" borderId="18" xfId="1" applyFont="1" applyBorder="1" applyAlignment="1">
      <alignment horizontal="left" vertical="center"/>
    </xf>
    <xf numFmtId="0" fontId="30" fillId="0" borderId="14" xfId="1" applyFont="1" applyBorder="1" applyAlignment="1">
      <alignment horizontal="left" vertical="center"/>
    </xf>
    <xf numFmtId="0" fontId="30" fillId="0" borderId="19" xfId="1" applyFont="1" applyBorder="1" applyAlignment="1">
      <alignment horizontal="left" vertical="center"/>
    </xf>
    <xf numFmtId="0" fontId="29" fillId="0" borderId="49" xfId="1" applyFont="1" applyBorder="1" applyAlignment="1">
      <alignment horizontal="center" vertical="center" wrapText="1"/>
    </xf>
    <xf numFmtId="0" fontId="29" fillId="0" borderId="50" xfId="1" applyFont="1" applyBorder="1" applyAlignment="1">
      <alignment horizontal="center" vertical="center" wrapText="1"/>
    </xf>
    <xf numFmtId="41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30" fillId="0" borderId="13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0" fillId="0" borderId="17" xfId="0" applyFont="1" applyBorder="1" applyAlignment="1">
      <alignment horizontal="left" vertical="center"/>
    </xf>
    <xf numFmtId="41" fontId="41" fillId="0" borderId="12" xfId="3" applyFont="1" applyFill="1" applyBorder="1" applyAlignment="1">
      <alignment vertical="center"/>
    </xf>
  </cellXfs>
  <cellStyles count="12">
    <cellStyle name="Comma" xfId="2" builtinId="3"/>
    <cellStyle name="Comma [0]" xfId="3" builtinId="6"/>
    <cellStyle name="Comma [0] 2" xfId="9" xr:uid="{8DEF11A1-1787-4160-9D58-1C2A81A7366D}"/>
    <cellStyle name="Comma [0] 2 2" xfId="8" xr:uid="{00000000-0005-0000-0000-000002000000}"/>
    <cellStyle name="Comma [0] 2 2 2" xfId="10" xr:uid="{206D9BAF-E033-4489-A46B-64F05725C122}"/>
    <cellStyle name="Normal" xfId="0" builtinId="0"/>
    <cellStyle name="Normal 2" xfId="1" xr:uid="{00000000-0005-0000-0000-000004000000}"/>
    <cellStyle name="Normal 2 2" xfId="11" xr:uid="{3C6F92BE-FD08-41A3-B4AD-60E57526901D}"/>
    <cellStyle name="S10_BalSheetSimple2006" xfId="4" xr:uid="{00000000-0005-0000-0000-000006000000}"/>
    <cellStyle name="S5" xfId="5" xr:uid="{00000000-0005-0000-0000-000007000000}"/>
    <cellStyle name="S6" xfId="7" xr:uid="{00000000-0005-0000-0000-000008000000}"/>
    <cellStyle name="S7" xfId="6" xr:uid="{00000000-0005-0000-0000-000009000000}"/>
  </cellStyles>
  <dxfs count="0"/>
  <tableStyles count="0" defaultTableStyle="TableStyleMedium9" defaultPivotStyle="PivotStyleLight16"/>
  <colors>
    <mruColors>
      <color rgb="FFCCCCFF"/>
      <color rgb="FFCC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I/AKUNTANSI%202024%20FIX%20AUDITED%20KOREKSI/LAP%20KEU%202024%20UNAUDITED%20-%20PERUMDAM%20TIRTA%20SERUYAN/Worksheet%202024/Journal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ARU/Worksheet%202026/Journal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KUNTANSI%20BARU/LAP.%20AKUN.SAK%20ETAP%202011%20PDAM%20SERUYAN/Buku%20Besar%202011_sak%20et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KUNTANSI%20BARU/LAP.%20AKUN.SAK%20ETAP%202011%20PDAM%20SERUYAN/AKTIVA%20TETAP%20Th.%20201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KUNTANSI%20BARU/LAP.%20AKUN.SAK%20ETAP%202011%20PDAM%20SERUYAN/WORKSHEET%20TH%20%20Th.%20201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ARU/Worksheet%202026/Rincian%20Pengeluaran%202026%20new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I/ANGGARAN%20baru/RKAP%20TAHUN%202023/Anggaran%202023%20OTDA%20PDAM%20Dgn%20Uang%20Pisah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I/ANGGARAN%20baru/RKAP%20TAHUN%202022/Anggaran%202022%20OTDA%20PDAM%20(Tanpa%20Kenaikan%20Status%20Pegawai)%20EDIT%20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PTRA"/>
      <sheetName val="BPTRNA"/>
      <sheetName val="BPTDN"/>
      <sheetName val="BKM"/>
      <sheetName val="JPK. RA"/>
      <sheetName val="JPK. RNA "/>
      <sheetName val="JU"/>
      <sheetName val="JRA"/>
      <sheetName val="JRNA2 "/>
      <sheetName val="DVUD(1)"/>
      <sheetName val="DVUD"/>
      <sheetName val="JBK"/>
      <sheetName val="JPBIK"/>
      <sheetName val="JP"/>
      <sheetName val="J. Pemblk"/>
      <sheetName val="DUVHD"/>
      <sheetName val="J.Koreksi"/>
      <sheetName val="BKU"/>
      <sheetName val="BKU PM"/>
      <sheetName val="JRNA"/>
    </sheetNames>
    <sheetDataSet>
      <sheetData sheetId="0"/>
      <sheetData sheetId="1"/>
      <sheetData sheetId="2"/>
      <sheetData sheetId="3"/>
      <sheetData sheetId="4">
        <row r="47">
          <cell r="D47">
            <v>422025130</v>
          </cell>
        </row>
      </sheetData>
      <sheetData sheetId="5">
        <row r="43">
          <cell r="D43">
            <v>35935000</v>
          </cell>
        </row>
      </sheetData>
      <sheetData sheetId="6">
        <row r="14">
          <cell r="E14">
            <v>99864</v>
          </cell>
        </row>
        <row r="1021">
          <cell r="E1021">
            <v>1204164</v>
          </cell>
        </row>
      </sheetData>
      <sheetData sheetId="7">
        <row r="21">
          <cell r="H21">
            <v>303389742</v>
          </cell>
        </row>
      </sheetData>
      <sheetData sheetId="8"/>
      <sheetData sheetId="9"/>
      <sheetData sheetId="10">
        <row r="9">
          <cell r="H9">
            <v>1400000</v>
          </cell>
        </row>
      </sheetData>
      <sheetData sheetId="11">
        <row r="89">
          <cell r="G89">
            <v>435809773</v>
          </cell>
        </row>
      </sheetData>
      <sheetData sheetId="12">
        <row r="9">
          <cell r="E9">
            <v>16578765</v>
          </cell>
        </row>
      </sheetData>
      <sheetData sheetId="13">
        <row r="10">
          <cell r="F10">
            <v>9872856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PTRA"/>
      <sheetName val="BPTRNA"/>
      <sheetName val="BPTDN"/>
      <sheetName val="BKM"/>
      <sheetName val="JPK. RA"/>
      <sheetName val="JPK. RNA "/>
      <sheetName val="JU"/>
      <sheetName val="JRA"/>
      <sheetName val="JRNA2 "/>
      <sheetName val="DVUD(1)"/>
      <sheetName val="DVUD"/>
      <sheetName val="JBK"/>
      <sheetName val="JPBIK"/>
      <sheetName val="JP"/>
      <sheetName val="J. Pemblk"/>
      <sheetName val="DUVHD"/>
      <sheetName val="J.Koreksi"/>
      <sheetName val="BKU"/>
      <sheetName val="BKU PM"/>
      <sheetName val="JRNA"/>
    </sheetNames>
    <sheetDataSet>
      <sheetData sheetId="0"/>
      <sheetData sheetId="1"/>
      <sheetData sheetId="2"/>
      <sheetData sheetId="3"/>
      <sheetData sheetId="4">
        <row r="45">
          <cell r="D45">
            <v>484958175</v>
          </cell>
        </row>
      </sheetData>
      <sheetData sheetId="5">
        <row r="43">
          <cell r="E43">
            <v>19703300</v>
          </cell>
        </row>
      </sheetData>
      <sheetData sheetId="6">
        <row r="10">
          <cell r="E10">
            <v>388850</v>
          </cell>
        </row>
      </sheetData>
      <sheetData sheetId="7"/>
      <sheetData sheetId="8"/>
      <sheetData sheetId="9"/>
      <sheetData sheetId="10">
        <row r="301">
          <cell r="H301">
            <v>35239000</v>
          </cell>
        </row>
        <row r="347">
          <cell r="H347">
            <v>9200000</v>
          </cell>
        </row>
        <row r="390">
          <cell r="H390">
            <v>2518000</v>
          </cell>
        </row>
        <row r="392">
          <cell r="H392">
            <v>668475281</v>
          </cell>
        </row>
        <row r="424">
          <cell r="H424">
            <v>500000</v>
          </cell>
        </row>
        <row r="426">
          <cell r="H426">
            <v>2071000</v>
          </cell>
        </row>
        <row r="451">
          <cell r="H451">
            <v>135000</v>
          </cell>
        </row>
        <row r="454">
          <cell r="H454">
            <v>12600000</v>
          </cell>
        </row>
        <row r="456">
          <cell r="H456">
            <v>11500000</v>
          </cell>
        </row>
        <row r="500">
          <cell r="H500">
            <v>619258031</v>
          </cell>
        </row>
      </sheetData>
      <sheetData sheetId="11">
        <row r="592">
          <cell r="G592">
            <v>619258031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"/>
      <sheetName val="Piutang"/>
      <sheetName val="Persediaan"/>
      <sheetName val="Aktiva Tetap"/>
      <sheetName val="Akum. Ak. Tetap"/>
      <sheetName val="Kewajiban"/>
      <sheetName val="Modal"/>
      <sheetName val="Pendapatan"/>
      <sheetName val="B. Penyusutan"/>
      <sheetName val="B. Pegawai"/>
      <sheetName val="B. Kantor"/>
      <sheetName val="Gaji,Listrik,Telp."/>
      <sheetName val="B. BBM"/>
      <sheetName val="B. Op. P' Air"/>
      <sheetName val="B. Pemak. B. Pembt"/>
      <sheetName val="B. ATK &amp; B. Cetk"/>
      <sheetName val="B. Pemeliharaan"/>
      <sheetName val="B. Promosi &amp; Bank"/>
      <sheetName val="B. Operasi Lainnya"/>
      <sheetName val="Jurnal"/>
      <sheetName val="Pemb. AKtiva"/>
      <sheetName val="BKU"/>
    </sheetNames>
    <sheetDataSet>
      <sheetData sheetId="0">
        <row r="33">
          <cell r="G33">
            <v>796043898.70000005</v>
          </cell>
        </row>
      </sheetData>
      <sheetData sheetId="1">
        <row r="32">
          <cell r="F32">
            <v>108725960</v>
          </cell>
        </row>
        <row r="50">
          <cell r="F50">
            <v>29241801.582698062</v>
          </cell>
        </row>
        <row r="60">
          <cell r="D60">
            <v>87535</v>
          </cell>
        </row>
        <row r="97">
          <cell r="F97">
            <v>17626000</v>
          </cell>
        </row>
      </sheetData>
      <sheetData sheetId="2">
        <row r="21">
          <cell r="F21">
            <v>84324750</v>
          </cell>
        </row>
        <row r="39">
          <cell r="F39">
            <v>14916330</v>
          </cell>
        </row>
        <row r="57">
          <cell r="F57">
            <v>26367500</v>
          </cell>
        </row>
        <row r="80">
          <cell r="F80">
            <v>122158213.34900002</v>
          </cell>
        </row>
        <row r="98">
          <cell r="F98">
            <v>2097500</v>
          </cell>
        </row>
      </sheetData>
      <sheetData sheetId="3">
        <row r="9">
          <cell r="D9">
            <v>232450000</v>
          </cell>
        </row>
        <row r="20">
          <cell r="F20">
            <v>510559191</v>
          </cell>
        </row>
        <row r="30">
          <cell r="F30">
            <v>117602561</v>
          </cell>
        </row>
        <row r="39">
          <cell r="F39">
            <v>2528466809</v>
          </cell>
        </row>
        <row r="59">
          <cell r="F59">
            <v>2333421966.415</v>
          </cell>
        </row>
        <row r="76">
          <cell r="F76">
            <v>409862308</v>
          </cell>
        </row>
        <row r="90">
          <cell r="D90">
            <v>10182000</v>
          </cell>
        </row>
        <row r="100">
          <cell r="F100">
            <v>284050000</v>
          </cell>
        </row>
        <row r="115">
          <cell r="F115">
            <v>102580000</v>
          </cell>
        </row>
      </sheetData>
      <sheetData sheetId="4">
        <row r="10">
          <cell r="F10">
            <v>108966265</v>
          </cell>
        </row>
        <row r="19">
          <cell r="F19">
            <v>56154756</v>
          </cell>
        </row>
        <row r="28">
          <cell r="F28">
            <v>886392270</v>
          </cell>
        </row>
        <row r="36">
          <cell r="F36">
            <v>917685149</v>
          </cell>
        </row>
      </sheetData>
      <sheetData sheetId="5">
        <row r="10">
          <cell r="F10">
            <v>16672500</v>
          </cell>
        </row>
        <row r="32">
          <cell r="F32">
            <v>10540104.530646453</v>
          </cell>
        </row>
      </sheetData>
      <sheetData sheetId="6">
        <row r="8">
          <cell r="F8">
            <v>3573752821</v>
          </cell>
        </row>
        <row r="18">
          <cell r="F18">
            <v>1736586833</v>
          </cell>
        </row>
        <row r="28">
          <cell r="F28">
            <v>250838537</v>
          </cell>
        </row>
        <row r="38">
          <cell r="F38">
            <v>1262000000</v>
          </cell>
        </row>
        <row r="48">
          <cell r="F48">
            <v>-1038284010.6</v>
          </cell>
        </row>
      </sheetData>
      <sheetData sheetId="7">
        <row r="8">
          <cell r="E8">
            <v>46942535</v>
          </cell>
        </row>
      </sheetData>
      <sheetData sheetId="8">
        <row r="9">
          <cell r="D9">
            <v>24476313</v>
          </cell>
        </row>
      </sheetData>
      <sheetData sheetId="9">
        <row r="14">
          <cell r="H14">
            <v>11372000</v>
          </cell>
        </row>
      </sheetData>
      <sheetData sheetId="10">
        <row r="13">
          <cell r="H13">
            <v>301281</v>
          </cell>
        </row>
      </sheetData>
      <sheetData sheetId="11">
        <row r="8">
          <cell r="F8">
            <v>5455360</v>
          </cell>
        </row>
      </sheetData>
      <sheetData sheetId="12">
        <row r="9">
          <cell r="F9">
            <v>2352000</v>
          </cell>
        </row>
      </sheetData>
      <sheetData sheetId="13">
        <row r="9">
          <cell r="F9">
            <v>7672500</v>
          </cell>
        </row>
      </sheetData>
      <sheetData sheetId="14">
        <row r="9">
          <cell r="F9">
            <v>500000</v>
          </cell>
        </row>
      </sheetData>
      <sheetData sheetId="15">
        <row r="13">
          <cell r="H13">
            <v>786600</v>
          </cell>
        </row>
      </sheetData>
      <sheetData sheetId="16">
        <row r="8">
          <cell r="F8">
            <v>3617500</v>
          </cell>
        </row>
      </sheetData>
      <sheetData sheetId="17">
        <row r="9">
          <cell r="H9">
            <v>600000</v>
          </cell>
        </row>
      </sheetData>
      <sheetData sheetId="18">
        <row r="8">
          <cell r="H8">
            <v>116000</v>
          </cell>
        </row>
      </sheetData>
      <sheetData sheetId="19"/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cashfl"/>
      <sheetName val="Persediaan SR "/>
      <sheetName val="Aktiva Tetap"/>
      <sheetName val="Tanah"/>
      <sheetName val="I.Sumber Air"/>
      <sheetName val="I.Pompa"/>
      <sheetName val="I.P.Air"/>
      <sheetName val="I.Trandis"/>
      <sheetName val="bangunan"/>
      <sheetName val="peralatan"/>
      <sheetName val="kendaraan"/>
      <sheetName val="inventaris"/>
      <sheetName val="Koreksi"/>
      <sheetName val="rekap dsr"/>
    </sheetNames>
    <sheetDataSet>
      <sheetData sheetId="0"/>
      <sheetData sheetId="1"/>
      <sheetData sheetId="2">
        <row r="77">
          <cell r="F77">
            <v>475628260.00400001</v>
          </cell>
        </row>
      </sheetData>
      <sheetData sheetId="3">
        <row r="65">
          <cell r="C65">
            <v>493861691</v>
          </cell>
        </row>
        <row r="84">
          <cell r="E84">
            <v>85012500</v>
          </cell>
        </row>
        <row r="85">
          <cell r="E85">
            <v>7177933</v>
          </cell>
        </row>
        <row r="86">
          <cell r="E86">
            <v>275450000</v>
          </cell>
        </row>
        <row r="87">
          <cell r="E87">
            <v>72319934.997500002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ba SAk Etap"/>
      <sheetName val="Neraca "/>
      <sheetName val="Arus Kas"/>
      <sheetName val="RINCIAN"/>
      <sheetName val="Penerimaan &amp; Pengeluaran"/>
      <sheetName val="Rincian Biaya &amp; Pendptan"/>
      <sheetName val="JU"/>
      <sheetName val="NRC KOMPORATIF"/>
      <sheetName val="RL KOMPARATIF"/>
    </sheetNames>
    <sheetDataSet>
      <sheetData sheetId="0"/>
      <sheetData sheetId="1"/>
      <sheetData sheetId="2"/>
      <sheetData sheetId="3">
        <row r="6">
          <cell r="N6">
            <v>672324835</v>
          </cell>
        </row>
      </sheetData>
      <sheetData sheetId="4"/>
      <sheetData sheetId="5"/>
      <sheetData sheetId="6"/>
      <sheetData sheetId="7"/>
      <sheetData sheetId="8">
        <row r="60">
          <cell r="F60">
            <v>-548984872.05334449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NTOR"/>
      <sheetName val="KANTOR (2)"/>
      <sheetName val="K. BHAKTI"/>
      <sheetName val="K. BHAKTI (2)"/>
      <sheetName val="HANAU"/>
      <sheetName val="HANAU (2)"/>
      <sheetName val="Sheet4"/>
    </sheetNames>
    <sheetDataSet>
      <sheetData sheetId="0" refreshError="1"/>
      <sheetData sheetId="1">
        <row r="193">
          <cell r="H193">
            <v>200710176</v>
          </cell>
        </row>
        <row r="249">
          <cell r="H249">
            <v>221351877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ALOG"/>
      <sheetName val="P-1. investasi"/>
      <sheetName val="P-2 Rugi-Laba"/>
      <sheetName val="P-3. arus kas"/>
      <sheetName val="P-4. neraca"/>
      <sheetName val="P-5. Perk. Samb"/>
      <sheetName val="P-6. Penjualan Air"/>
      <sheetName val="P-7. Pend. Non Air"/>
      <sheetName val="P-8. Pend. Non Usaha"/>
      <sheetName val="P-9.Rugi-Laba OTDA"/>
      <sheetName val="P-10. Biaya Operasi"/>
      <sheetName val="P-11. Biaya UMUM &amp; ADM"/>
      <sheetName val="P-12. Biaya DI LUAR USAHALAIN"/>
      <sheetName val=" P-13. Pembelian Bahan"/>
      <sheetName val=" P-14. Pengeluaran T. Kerja"/>
      <sheetName val="P-15. operasi lainya"/>
      <sheetName val="P-16. Penerimaan Operasi"/>
      <sheetName val="P-17. Penerimaan Non Usaha"/>
      <sheetName val="P-18. Rencana Prod, Dist"/>
      <sheetName val="perhitungan utk subsidi"/>
      <sheetName val="PROYEKSI SALDO KAS AWAL"/>
      <sheetName val="% PENGHASILAN"/>
      <sheetName val="HPP dan TARIF RATA2"/>
      <sheetName val="RASIO PEGAWAI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4">
          <cell r="H44">
            <v>59000000</v>
          </cell>
        </row>
        <row r="79">
          <cell r="H79">
            <v>24500000</v>
          </cell>
        </row>
        <row r="97">
          <cell r="Q97">
            <v>4968232765</v>
          </cell>
        </row>
      </sheetData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ALOG"/>
      <sheetName val="P-1. investasi"/>
      <sheetName val="P-2 Rugi-Laba"/>
      <sheetName val="P-3. arus kas"/>
      <sheetName val="P-4. neraca"/>
      <sheetName val="P-5. Perk. Samb"/>
      <sheetName val="P-6. Penjualan Air"/>
      <sheetName val="P-7. Pend. Non Air"/>
      <sheetName val="P-8. Pend. Non Usaha"/>
      <sheetName val="P-9.Rugi-Laba OTDA"/>
      <sheetName val="P-10. Biaya Operasi"/>
      <sheetName val="P-11. Biaya UMUM &amp; ADM"/>
      <sheetName val="P-12. Biaya DI LUAR USAHALAIN"/>
      <sheetName val=" P-13. Pembelian Bahan"/>
      <sheetName val=" P-14. Pengeluaran T. Kerja"/>
      <sheetName val="P-15. operasi lainya"/>
      <sheetName val="P-16. Penerimaan Operasi"/>
      <sheetName val="P-17. Penerimaan Non Usaha"/>
      <sheetName val="P-18. Rencana Prod, Dist"/>
      <sheetName val="perhitungan utk subsidi"/>
      <sheetName val="Sheet1"/>
      <sheetName val="Shee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4">
          <cell r="I44">
            <v>43950000</v>
          </cell>
        </row>
        <row r="79">
          <cell r="I79">
            <v>21000000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547D-CDD1-4D90-AC13-1331F44FFC03}">
  <sheetPr>
    <tabColor rgb="FFFFFF00"/>
  </sheetPr>
  <dimension ref="A1:N919"/>
  <sheetViews>
    <sheetView showWhiteSpace="0" view="pageLayout" zoomScaleNormal="100" workbookViewId="0">
      <selection activeCell="G167" sqref="G167"/>
    </sheetView>
  </sheetViews>
  <sheetFormatPr defaultColWidth="9.140625" defaultRowHeight="14.25" x14ac:dyDescent="0.2"/>
  <cols>
    <col min="1" max="1" width="1" style="59" customWidth="1"/>
    <col min="2" max="2" width="2.28515625" style="59" customWidth="1"/>
    <col min="3" max="3" width="2.7109375" style="59" customWidth="1"/>
    <col min="4" max="4" width="1.85546875" style="59" customWidth="1"/>
    <col min="5" max="5" width="40.42578125" style="59" customWidth="1"/>
    <col min="6" max="6" width="1" style="59" customWidth="1"/>
    <col min="7" max="7" width="17.5703125" style="62" customWidth="1"/>
    <col min="8" max="8" width="1" style="62" customWidth="1"/>
    <col min="9" max="9" width="17.5703125" style="62" customWidth="1"/>
    <col min="10" max="10" width="9.140625" style="59" hidden="1" customWidth="1"/>
    <col min="11" max="11" width="1" style="59" customWidth="1"/>
    <col min="12" max="12" width="21.28515625" style="376" customWidth="1"/>
    <col min="13" max="13" width="18.42578125" style="59" customWidth="1"/>
    <col min="14" max="14" width="9.140625" style="59" customWidth="1"/>
    <col min="15" max="16384" width="9.140625" style="59"/>
  </cols>
  <sheetData>
    <row r="1" spans="1:11" x14ac:dyDescent="0.2">
      <c r="A1" s="450" t="s">
        <v>633</v>
      </c>
      <c r="B1" s="450"/>
      <c r="C1" s="374" t="s">
        <v>634</v>
      </c>
      <c r="D1" s="62"/>
      <c r="E1" s="62"/>
      <c r="F1" s="62"/>
    </row>
    <row r="2" spans="1:11" x14ac:dyDescent="0.2">
      <c r="B2" s="62"/>
      <c r="C2" s="62"/>
      <c r="D2" s="62"/>
      <c r="E2" s="62"/>
      <c r="F2" s="62"/>
    </row>
    <row r="3" spans="1:11" ht="15" x14ac:dyDescent="0.25">
      <c r="A3" s="69"/>
      <c r="B3" s="452"/>
      <c r="C3" s="452"/>
      <c r="D3" s="452"/>
      <c r="E3" s="452"/>
      <c r="F3" s="452"/>
      <c r="G3" s="452"/>
      <c r="H3" s="452"/>
      <c r="I3" s="452"/>
      <c r="J3" s="375"/>
      <c r="K3" s="375"/>
    </row>
    <row r="4" spans="1:11" ht="15" x14ac:dyDescent="0.25">
      <c r="A4" s="63"/>
      <c r="B4" s="448" t="s">
        <v>462</v>
      </c>
      <c r="C4" s="448"/>
      <c r="D4" s="448"/>
      <c r="E4" s="448"/>
      <c r="F4" s="448"/>
      <c r="G4" s="448"/>
      <c r="H4" s="448"/>
      <c r="I4" s="448"/>
      <c r="J4" s="68"/>
      <c r="K4" s="68"/>
    </row>
    <row r="5" spans="1:11" ht="15" x14ac:dyDescent="0.25">
      <c r="A5" s="63"/>
      <c r="B5" s="448" t="s">
        <v>634</v>
      </c>
      <c r="C5" s="448"/>
      <c r="D5" s="448"/>
      <c r="E5" s="448"/>
      <c r="F5" s="448"/>
      <c r="G5" s="448"/>
      <c r="H5" s="448"/>
      <c r="I5" s="448"/>
      <c r="J5" s="68"/>
      <c r="K5" s="68"/>
    </row>
    <row r="6" spans="1:11" ht="15" x14ac:dyDescent="0.25">
      <c r="A6" s="63"/>
      <c r="B6" s="451" t="s">
        <v>635</v>
      </c>
      <c r="C6" s="451"/>
      <c r="D6" s="451"/>
      <c r="E6" s="451"/>
      <c r="F6" s="451"/>
      <c r="G6" s="451"/>
      <c r="H6" s="451"/>
      <c r="I6" s="451"/>
      <c r="J6" s="68"/>
      <c r="K6" s="68"/>
    </row>
    <row r="7" spans="1:11" x14ac:dyDescent="0.2">
      <c r="A7" s="63"/>
      <c r="B7" s="62"/>
      <c r="C7" s="62"/>
      <c r="D7" s="62"/>
      <c r="E7" s="62"/>
      <c r="F7" s="62"/>
      <c r="J7" s="68"/>
      <c r="K7" s="68"/>
    </row>
    <row r="8" spans="1:11" x14ac:dyDescent="0.2">
      <c r="A8" s="63"/>
      <c r="B8" s="453" t="s">
        <v>10</v>
      </c>
      <c r="C8" s="454"/>
      <c r="D8" s="454"/>
      <c r="E8" s="455"/>
      <c r="F8" s="64"/>
      <c r="G8" s="82" t="s">
        <v>677</v>
      </c>
      <c r="H8" s="64"/>
      <c r="I8" s="82" t="s">
        <v>677</v>
      </c>
      <c r="J8" s="68"/>
      <c r="K8" s="68"/>
    </row>
    <row r="9" spans="1:11" x14ac:dyDescent="0.2">
      <c r="A9" s="63"/>
      <c r="B9" s="456"/>
      <c r="C9" s="457"/>
      <c r="D9" s="457"/>
      <c r="E9" s="458"/>
      <c r="F9" s="64"/>
      <c r="G9" s="83">
        <v>2025</v>
      </c>
      <c r="H9" s="64"/>
      <c r="I9" s="83">
        <v>2024</v>
      </c>
      <c r="J9" s="68"/>
      <c r="K9" s="68"/>
    </row>
    <row r="10" spans="1:11" x14ac:dyDescent="0.2">
      <c r="A10" s="63"/>
      <c r="B10" s="84" t="s">
        <v>636</v>
      </c>
      <c r="C10" s="84" t="s">
        <v>649</v>
      </c>
      <c r="D10" s="84"/>
      <c r="E10" s="62"/>
      <c r="F10" s="62"/>
      <c r="G10" s="85"/>
      <c r="H10" s="85"/>
      <c r="I10" s="85"/>
      <c r="J10" s="68"/>
      <c r="K10" s="68"/>
    </row>
    <row r="11" spans="1:11" x14ac:dyDescent="0.2">
      <c r="A11" s="63"/>
      <c r="B11" s="1"/>
      <c r="C11" s="65" t="s">
        <v>637</v>
      </c>
      <c r="D11" s="62"/>
      <c r="E11" s="62"/>
      <c r="F11" s="62"/>
      <c r="G11" s="85"/>
      <c r="H11" s="85"/>
      <c r="I11" s="89"/>
      <c r="J11" s="68"/>
      <c r="K11" s="68"/>
    </row>
    <row r="12" spans="1:11" x14ac:dyDescent="0.2">
      <c r="A12" s="63"/>
      <c r="B12" s="1"/>
      <c r="C12" s="62"/>
      <c r="D12" s="62">
        <v>1</v>
      </c>
      <c r="E12" s="62" t="s">
        <v>638</v>
      </c>
      <c r="F12" s="62"/>
      <c r="G12" s="85" t="e">
        <f>I875</f>
        <v>#REF!</v>
      </c>
      <c r="H12" s="85"/>
      <c r="I12" s="89">
        <v>6000650100</v>
      </c>
      <c r="J12" s="68"/>
      <c r="K12" s="68"/>
    </row>
    <row r="13" spans="1:11" x14ac:dyDescent="0.2">
      <c r="A13" s="63"/>
      <c r="B13" s="1"/>
      <c r="C13" s="62"/>
      <c r="D13" s="62">
        <v>2</v>
      </c>
      <c r="E13" s="62" t="s">
        <v>639</v>
      </c>
      <c r="F13" s="62"/>
      <c r="G13" s="85" t="e">
        <f t="shared" ref="G13:G16" si="0">I876</f>
        <v>#REF!</v>
      </c>
      <c r="H13" s="85"/>
      <c r="I13" s="89">
        <v>386252632</v>
      </c>
      <c r="J13" s="68"/>
      <c r="K13" s="68"/>
    </row>
    <row r="14" spans="1:11" x14ac:dyDescent="0.2">
      <c r="A14" s="63"/>
      <c r="B14" s="1"/>
      <c r="C14" s="62"/>
      <c r="D14" s="62">
        <v>3</v>
      </c>
      <c r="E14" s="62" t="s">
        <v>640</v>
      </c>
      <c r="F14" s="62"/>
      <c r="G14" s="85" t="e">
        <f t="shared" si="0"/>
        <v>#REF!</v>
      </c>
      <c r="H14" s="85"/>
      <c r="I14" s="89">
        <v>2041490791</v>
      </c>
      <c r="J14" s="68"/>
      <c r="K14" s="68"/>
    </row>
    <row r="15" spans="1:11" x14ac:dyDescent="0.2">
      <c r="A15" s="63"/>
      <c r="B15" s="1"/>
      <c r="C15" s="62"/>
      <c r="D15" s="62">
        <v>4</v>
      </c>
      <c r="E15" s="62" t="s">
        <v>645</v>
      </c>
      <c r="F15" s="62"/>
      <c r="G15" s="85">
        <f t="shared" si="0"/>
        <v>0</v>
      </c>
      <c r="H15" s="85"/>
      <c r="I15" s="89"/>
      <c r="J15" s="68"/>
      <c r="K15" s="68"/>
    </row>
    <row r="16" spans="1:11" x14ac:dyDescent="0.2">
      <c r="A16" s="63"/>
      <c r="B16" s="1"/>
      <c r="C16" s="62"/>
      <c r="D16" s="62">
        <v>5</v>
      </c>
      <c r="E16" s="62" t="s">
        <v>641</v>
      </c>
      <c r="F16" s="62"/>
      <c r="G16" s="85">
        <f t="shared" si="0"/>
        <v>0</v>
      </c>
      <c r="H16" s="85"/>
      <c r="I16" s="89"/>
      <c r="J16" s="68"/>
      <c r="K16" s="68"/>
    </row>
    <row r="17" spans="1:13" x14ac:dyDescent="0.2">
      <c r="A17" s="63"/>
      <c r="B17" s="1"/>
      <c r="C17" s="62"/>
      <c r="D17" s="62"/>
      <c r="E17" s="62"/>
      <c r="F17" s="62"/>
      <c r="G17" s="85"/>
      <c r="H17" s="85"/>
      <c r="I17" s="89"/>
      <c r="J17" s="68"/>
      <c r="K17" s="68"/>
    </row>
    <row r="18" spans="1:13" x14ac:dyDescent="0.2">
      <c r="A18" s="63"/>
      <c r="B18" s="1"/>
      <c r="C18" s="65"/>
      <c r="D18" s="65" t="s">
        <v>16</v>
      </c>
      <c r="E18" s="65"/>
      <c r="F18" s="62"/>
      <c r="G18" s="86" t="e">
        <f>SUM(G12:G16)</f>
        <v>#REF!</v>
      </c>
      <c r="H18" s="85"/>
      <c r="I18" s="304">
        <f>SUM(I12:I16)</f>
        <v>8428393523</v>
      </c>
      <c r="J18" s="68"/>
      <c r="K18" s="68"/>
    </row>
    <row r="19" spans="1:13" x14ac:dyDescent="0.2">
      <c r="A19" s="63"/>
      <c r="B19" s="1"/>
      <c r="C19" s="65"/>
      <c r="D19" s="65"/>
      <c r="E19" s="65"/>
      <c r="F19" s="62"/>
      <c r="G19" s="73"/>
      <c r="H19" s="85"/>
      <c r="I19" s="264"/>
      <c r="J19" s="68"/>
      <c r="K19" s="68"/>
    </row>
    <row r="20" spans="1:13" x14ac:dyDescent="0.2">
      <c r="A20" s="63"/>
      <c r="B20" s="1"/>
      <c r="C20" s="65" t="s">
        <v>642</v>
      </c>
      <c r="D20" s="62"/>
      <c r="E20" s="62"/>
      <c r="F20" s="62"/>
      <c r="G20" s="85"/>
      <c r="H20" s="85"/>
      <c r="I20" s="89"/>
      <c r="J20" s="68"/>
      <c r="K20" s="68"/>
      <c r="L20" s="386">
        <f>[1]JU!$E$1021</f>
        <v>1204164</v>
      </c>
    </row>
    <row r="21" spans="1:13" x14ac:dyDescent="0.2">
      <c r="A21" s="63"/>
      <c r="B21" s="1"/>
      <c r="C21" s="62"/>
      <c r="D21" s="62">
        <v>1</v>
      </c>
      <c r="E21" s="87" t="s">
        <v>190</v>
      </c>
      <c r="F21" s="62"/>
      <c r="G21" s="85">
        <f>I884</f>
        <v>0</v>
      </c>
      <c r="H21" s="85"/>
      <c r="I21" s="380">
        <f>1111320581-1204164</f>
        <v>1110116417</v>
      </c>
      <c r="J21" s="68"/>
      <c r="K21" s="68"/>
      <c r="L21" s="376" t="s">
        <v>687</v>
      </c>
    </row>
    <row r="22" spans="1:13" x14ac:dyDescent="0.2">
      <c r="A22" s="63"/>
      <c r="B22" s="1"/>
      <c r="C22" s="62"/>
      <c r="D22" s="62">
        <v>2</v>
      </c>
      <c r="E22" s="87" t="s">
        <v>191</v>
      </c>
      <c r="F22" s="62"/>
      <c r="G22" s="85">
        <f t="shared" ref="G22:G27" si="1">I885</f>
        <v>0</v>
      </c>
      <c r="H22" s="85"/>
      <c r="I22" s="380">
        <f>1595983560</f>
        <v>1595983560</v>
      </c>
      <c r="J22" s="68"/>
      <c r="K22" s="68"/>
    </row>
    <row r="23" spans="1:13" x14ac:dyDescent="0.2">
      <c r="A23" s="63"/>
      <c r="B23" s="1"/>
      <c r="C23" s="62"/>
      <c r="D23" s="62">
        <v>3</v>
      </c>
      <c r="E23" s="87" t="s">
        <v>643</v>
      </c>
      <c r="F23" s="67"/>
      <c r="G23" s="85">
        <f t="shared" si="1"/>
        <v>1200000</v>
      </c>
      <c r="H23" s="85"/>
      <c r="I23" s="380">
        <f>791611737</f>
        <v>791611737</v>
      </c>
      <c r="J23" s="68"/>
      <c r="K23" s="68"/>
    </row>
    <row r="24" spans="1:13" x14ac:dyDescent="0.2">
      <c r="A24" s="63"/>
      <c r="B24" s="1"/>
      <c r="C24" s="62"/>
      <c r="D24" s="62">
        <v>4</v>
      </c>
      <c r="E24" s="87" t="s">
        <v>644</v>
      </c>
      <c r="F24" s="62"/>
      <c r="G24" s="85">
        <f t="shared" si="1"/>
        <v>0</v>
      </c>
      <c r="H24" s="85"/>
      <c r="I24" s="380">
        <f>8414279225-(I21+I22+I23+I34+I25+I27)</f>
        <v>4086728863</v>
      </c>
      <c r="J24" s="68"/>
      <c r="K24" s="68"/>
      <c r="L24" s="376" t="s">
        <v>679</v>
      </c>
    </row>
    <row r="25" spans="1:13" x14ac:dyDescent="0.2">
      <c r="A25" s="63"/>
      <c r="B25" s="1"/>
      <c r="C25" s="62"/>
      <c r="D25" s="62">
        <v>5</v>
      </c>
      <c r="E25" s="87" t="s">
        <v>632</v>
      </c>
      <c r="F25" s="67"/>
      <c r="G25" s="85">
        <f t="shared" si="1"/>
        <v>0</v>
      </c>
      <c r="H25" s="85"/>
      <c r="I25" s="89">
        <v>110400</v>
      </c>
      <c r="J25" s="68"/>
      <c r="K25" s="68"/>
      <c r="L25" s="384">
        <v>8414279225</v>
      </c>
      <c r="M25" s="385" t="s">
        <v>685</v>
      </c>
    </row>
    <row r="26" spans="1:13" x14ac:dyDescent="0.2">
      <c r="A26" s="63"/>
      <c r="B26" s="1"/>
      <c r="C26" s="62"/>
      <c r="D26" s="62">
        <v>6</v>
      </c>
      <c r="E26" s="87" t="s">
        <v>646</v>
      </c>
      <c r="F26" s="67"/>
      <c r="G26" s="85">
        <f t="shared" si="1"/>
        <v>0</v>
      </c>
      <c r="H26" s="85"/>
      <c r="I26" s="89"/>
      <c r="J26" s="68"/>
      <c r="K26" s="68"/>
    </row>
    <row r="27" spans="1:13" x14ac:dyDescent="0.2">
      <c r="A27" s="63"/>
      <c r="B27" s="1"/>
      <c r="C27" s="62"/>
      <c r="D27" s="62">
        <v>7</v>
      </c>
      <c r="E27" s="87" t="s">
        <v>647</v>
      </c>
      <c r="F27" s="67"/>
      <c r="G27" s="85">
        <f t="shared" si="1"/>
        <v>0</v>
      </c>
      <c r="H27" s="85"/>
      <c r="I27" s="89">
        <v>13680368</v>
      </c>
      <c r="J27" s="68"/>
      <c r="K27" s="68"/>
      <c r="L27" s="376" t="s">
        <v>686</v>
      </c>
    </row>
    <row r="28" spans="1:13" x14ac:dyDescent="0.2">
      <c r="A28" s="63"/>
      <c r="B28" s="67"/>
      <c r="C28" s="65"/>
      <c r="D28" s="62"/>
      <c r="E28" s="87"/>
      <c r="F28" s="62"/>
      <c r="G28" s="85"/>
      <c r="H28" s="85"/>
      <c r="I28" s="89"/>
      <c r="J28" s="68"/>
      <c r="K28" s="68"/>
    </row>
    <row r="29" spans="1:13" x14ac:dyDescent="0.2">
      <c r="A29" s="63"/>
      <c r="B29" s="1"/>
      <c r="C29" s="62"/>
      <c r="D29" s="65" t="s">
        <v>17</v>
      </c>
      <c r="E29" s="64"/>
      <c r="F29" s="88"/>
      <c r="G29" s="86">
        <f>SUM(G21:G28)</f>
        <v>1200000</v>
      </c>
      <c r="H29" s="85"/>
      <c r="I29" s="304">
        <f>SUM(I21:I28)</f>
        <v>7598231345</v>
      </c>
      <c r="J29" s="68"/>
      <c r="K29" s="68"/>
    </row>
    <row r="30" spans="1:13" x14ac:dyDescent="0.2">
      <c r="A30" s="63"/>
      <c r="B30" s="1"/>
      <c r="C30" s="62"/>
      <c r="D30" s="62"/>
      <c r="E30" s="62"/>
      <c r="F30" s="62"/>
      <c r="G30" s="85"/>
      <c r="H30" s="85"/>
      <c r="I30" s="89"/>
      <c r="J30" s="68"/>
    </row>
    <row r="31" spans="1:13" x14ac:dyDescent="0.2">
      <c r="A31" s="63"/>
      <c r="B31" s="1"/>
      <c r="C31" s="65" t="s">
        <v>648</v>
      </c>
      <c r="D31" s="65"/>
      <c r="E31" s="65"/>
      <c r="F31" s="62"/>
      <c r="G31" s="304" t="e">
        <f>G18-G29</f>
        <v>#REF!</v>
      </c>
      <c r="H31" s="85"/>
      <c r="I31" s="304">
        <f>I18-I29</f>
        <v>830162178</v>
      </c>
    </row>
    <row r="32" spans="1:13" x14ac:dyDescent="0.2">
      <c r="A32" s="63"/>
      <c r="B32" s="1"/>
      <c r="C32" s="62"/>
      <c r="D32" s="62"/>
      <c r="E32" s="62"/>
      <c r="F32" s="62"/>
      <c r="G32" s="85"/>
      <c r="H32" s="85"/>
      <c r="I32" s="89"/>
      <c r="J32" s="68"/>
    </row>
    <row r="33" spans="1:13" x14ac:dyDescent="0.2">
      <c r="A33" s="63"/>
      <c r="B33" s="84" t="s">
        <v>650</v>
      </c>
      <c r="C33" s="84" t="s">
        <v>651</v>
      </c>
      <c r="D33" s="74"/>
      <c r="E33" s="67"/>
      <c r="F33" s="67"/>
      <c r="G33" s="85"/>
      <c r="H33" s="85"/>
      <c r="I33" s="89"/>
      <c r="J33" s="68"/>
      <c r="L33" s="376" t="s">
        <v>680</v>
      </c>
    </row>
    <row r="34" spans="1:13" x14ac:dyDescent="0.2">
      <c r="A34" s="63"/>
      <c r="B34" s="67"/>
      <c r="C34" s="65"/>
      <c r="D34" s="62" t="s">
        <v>652</v>
      </c>
      <c r="E34" s="62"/>
      <c r="F34" s="62"/>
      <c r="G34" s="85" t="e">
        <f>I897</f>
        <v>#REF!</v>
      </c>
      <c r="H34" s="85"/>
      <c r="I34" s="89">
        <f>782747880+33300000</f>
        <v>816047880</v>
      </c>
      <c r="J34" s="68"/>
      <c r="L34" s="376" t="s">
        <v>681</v>
      </c>
      <c r="M34" s="376">
        <v>203476069</v>
      </c>
    </row>
    <row r="35" spans="1:13" x14ac:dyDescent="0.2">
      <c r="A35" s="63"/>
      <c r="B35" s="1"/>
      <c r="C35" s="65" t="s">
        <v>653</v>
      </c>
      <c r="D35" s="74"/>
      <c r="E35" s="74"/>
      <c r="F35" s="74"/>
      <c r="G35" s="86" t="e">
        <f>SUM(G34)</f>
        <v>#REF!</v>
      </c>
      <c r="H35" s="73"/>
      <c r="I35" s="304">
        <f>SUM(I34)</f>
        <v>816047880</v>
      </c>
      <c r="J35" s="68"/>
      <c r="L35" s="376" t="s">
        <v>682</v>
      </c>
      <c r="M35" s="376">
        <v>111540600</v>
      </c>
    </row>
    <row r="36" spans="1:13" x14ac:dyDescent="0.2">
      <c r="A36" s="63"/>
      <c r="B36" s="1"/>
      <c r="C36" s="449"/>
      <c r="D36" s="449"/>
      <c r="E36" s="449"/>
      <c r="F36" s="62"/>
      <c r="G36" s="264"/>
      <c r="H36" s="89"/>
      <c r="I36" s="264"/>
      <c r="J36" s="68"/>
      <c r="L36" s="376" t="s">
        <v>683</v>
      </c>
      <c r="M36" s="376">
        <v>805603800</v>
      </c>
    </row>
    <row r="37" spans="1:13" x14ac:dyDescent="0.2">
      <c r="A37" s="63"/>
      <c r="B37" s="84" t="s">
        <v>654</v>
      </c>
      <c r="C37" s="84" t="s">
        <v>655</v>
      </c>
      <c r="D37" s="62"/>
      <c r="E37" s="62"/>
      <c r="F37" s="62"/>
      <c r="G37" s="89"/>
      <c r="H37" s="89"/>
      <c r="I37" s="89"/>
      <c r="J37" s="68"/>
      <c r="L37" s="382" t="s">
        <v>684</v>
      </c>
      <c r="M37" s="376">
        <v>112943995</v>
      </c>
    </row>
    <row r="38" spans="1:13" x14ac:dyDescent="0.2">
      <c r="A38" s="63"/>
      <c r="B38" s="80"/>
      <c r="C38" s="80"/>
      <c r="D38" s="62" t="s">
        <v>656</v>
      </c>
      <c r="E38" s="80"/>
      <c r="F38" s="67"/>
      <c r="G38" s="264">
        <f>I901</f>
        <v>0</v>
      </c>
      <c r="H38" s="89"/>
      <c r="I38" s="264"/>
      <c r="J38" s="68"/>
      <c r="K38" s="68"/>
      <c r="L38" s="382"/>
      <c r="M38" s="376"/>
    </row>
    <row r="39" spans="1:13" x14ac:dyDescent="0.2">
      <c r="A39" s="63"/>
      <c r="B39" s="84"/>
      <c r="C39" s="62"/>
      <c r="D39" s="62" t="s">
        <v>657</v>
      </c>
      <c r="E39" s="62"/>
      <c r="F39" s="62"/>
      <c r="G39" s="264">
        <f t="shared" ref="G39:G41" si="2">I902</f>
        <v>0</v>
      </c>
      <c r="H39" s="85"/>
      <c r="I39" s="89"/>
      <c r="J39" s="68"/>
      <c r="K39" s="68"/>
      <c r="L39" s="382"/>
      <c r="M39" s="383">
        <f>SUM(M34:M38)</f>
        <v>1233564464</v>
      </c>
    </row>
    <row r="40" spans="1:13" x14ac:dyDescent="0.2">
      <c r="A40" s="63"/>
      <c r="B40" s="1"/>
      <c r="C40" s="62"/>
      <c r="D40" s="74" t="s">
        <v>658</v>
      </c>
      <c r="E40" s="67"/>
      <c r="F40" s="67"/>
      <c r="G40" s="264">
        <f t="shared" si="2"/>
        <v>0</v>
      </c>
      <c r="H40" s="85"/>
      <c r="I40" s="89"/>
      <c r="J40" s="68"/>
      <c r="K40" s="68"/>
    </row>
    <row r="41" spans="1:13" x14ac:dyDescent="0.2">
      <c r="A41" s="63"/>
      <c r="B41" s="67"/>
      <c r="C41" s="65"/>
      <c r="D41" s="62" t="s">
        <v>659</v>
      </c>
      <c r="E41" s="62"/>
      <c r="F41" s="62"/>
      <c r="G41" s="264">
        <f t="shared" si="2"/>
        <v>0</v>
      </c>
      <c r="H41" s="85"/>
      <c r="I41" s="89"/>
      <c r="J41" s="68"/>
      <c r="K41" s="68"/>
    </row>
    <row r="42" spans="1:13" x14ac:dyDescent="0.2">
      <c r="A42" s="63"/>
      <c r="B42" s="1"/>
      <c r="C42" s="65" t="s">
        <v>660</v>
      </c>
      <c r="D42" s="74"/>
      <c r="E42" s="74"/>
      <c r="F42" s="74"/>
      <c r="G42" s="379">
        <f>SUM(G38:G41)</f>
        <v>0</v>
      </c>
      <c r="H42" s="85"/>
      <c r="I42" s="381">
        <f>SUM(I38:I41)</f>
        <v>0</v>
      </c>
      <c r="J42" s="68"/>
      <c r="K42" s="68"/>
    </row>
    <row r="43" spans="1:13" x14ac:dyDescent="0.2">
      <c r="A43" s="63"/>
      <c r="B43" s="1"/>
      <c r="C43" s="62"/>
      <c r="D43" s="62"/>
      <c r="E43" s="62"/>
      <c r="F43" s="62"/>
      <c r="G43" s="377"/>
      <c r="H43" s="85"/>
      <c r="I43" s="89"/>
      <c r="J43" s="68"/>
      <c r="K43" s="68"/>
    </row>
    <row r="44" spans="1:13" x14ac:dyDescent="0.2">
      <c r="A44" s="63"/>
      <c r="B44" s="84" t="s">
        <v>661</v>
      </c>
      <c r="C44" s="84" t="s">
        <v>662</v>
      </c>
      <c r="D44" s="66"/>
      <c r="E44" s="66"/>
      <c r="F44" s="62"/>
      <c r="G44" s="73" t="e">
        <f>G31-G35+G42</f>
        <v>#REF!</v>
      </c>
      <c r="H44" s="85"/>
      <c r="I44" s="264">
        <f>I31-I35+I42</f>
        <v>14114298</v>
      </c>
      <c r="J44" s="68"/>
      <c r="K44" s="68"/>
    </row>
    <row r="45" spans="1:13" x14ac:dyDescent="0.2">
      <c r="A45" s="63"/>
      <c r="B45" s="1"/>
      <c r="C45" s="62"/>
      <c r="D45" s="62"/>
      <c r="E45" s="62"/>
      <c r="F45" s="62"/>
      <c r="G45" s="85"/>
      <c r="H45" s="85"/>
      <c r="I45" s="89"/>
      <c r="J45" s="68"/>
      <c r="K45" s="68"/>
    </row>
    <row r="46" spans="1:13" x14ac:dyDescent="0.2">
      <c r="A46" s="63"/>
      <c r="B46" s="84" t="s">
        <v>663</v>
      </c>
      <c r="C46" s="84" t="s">
        <v>664</v>
      </c>
      <c r="D46" s="66"/>
      <c r="E46" s="62"/>
      <c r="F46" s="62"/>
      <c r="G46" s="73">
        <v>1312251855.8000002</v>
      </c>
      <c r="H46" s="73"/>
      <c r="I46" s="264">
        <v>1298137557.8</v>
      </c>
      <c r="J46" s="68"/>
      <c r="K46" s="68"/>
    </row>
    <row r="47" spans="1:13" x14ac:dyDescent="0.2">
      <c r="A47" s="63"/>
      <c r="B47" s="1"/>
      <c r="C47" s="62"/>
      <c r="D47" s="62"/>
      <c r="E47" s="62"/>
      <c r="F47" s="62"/>
      <c r="G47" s="73"/>
      <c r="H47" s="73"/>
      <c r="I47" s="264"/>
      <c r="J47" s="68"/>
      <c r="K47" s="68"/>
    </row>
    <row r="48" spans="1:13" x14ac:dyDescent="0.2">
      <c r="A48" s="63"/>
      <c r="B48" s="67" t="s">
        <v>665</v>
      </c>
      <c r="C48" s="65" t="s">
        <v>664</v>
      </c>
      <c r="D48" s="62"/>
      <c r="E48" s="62"/>
      <c r="F48" s="62"/>
      <c r="G48" s="73" t="e">
        <f>G44+G46</f>
        <v>#REF!</v>
      </c>
      <c r="H48" s="73"/>
      <c r="I48" s="264">
        <f>I44+I46</f>
        <v>1312251855.8</v>
      </c>
      <c r="J48" s="68"/>
      <c r="K48" s="68"/>
    </row>
    <row r="49" spans="1:11" x14ac:dyDescent="0.2">
      <c r="A49" s="61"/>
      <c r="B49" s="60"/>
      <c r="C49" s="60"/>
      <c r="D49" s="60"/>
      <c r="E49" s="60"/>
      <c r="F49" s="60"/>
      <c r="G49" s="91"/>
      <c r="H49" s="91"/>
      <c r="I49" s="305"/>
      <c r="J49" s="378"/>
      <c r="K49" s="378"/>
    </row>
    <row r="50" spans="1:11" x14ac:dyDescent="0.2">
      <c r="A50" s="459"/>
      <c r="B50" s="459"/>
      <c r="C50" s="459"/>
      <c r="D50" s="459"/>
      <c r="E50" s="459"/>
      <c r="F50" s="62"/>
      <c r="G50" s="92" t="e">
        <f>#REF!</f>
        <v>#REF!</v>
      </c>
      <c r="H50" s="92"/>
      <c r="I50" s="92"/>
    </row>
    <row r="51" spans="1:11" x14ac:dyDescent="0.2">
      <c r="A51" s="447" t="s">
        <v>413</v>
      </c>
      <c r="B51" s="447"/>
      <c r="C51" s="447"/>
      <c r="D51" s="447"/>
      <c r="E51" s="447"/>
      <c r="F51" s="447" t="s">
        <v>410</v>
      </c>
      <c r="G51" s="447"/>
      <c r="H51" s="447"/>
      <c r="I51" s="447"/>
      <c r="J51" s="447"/>
      <c r="K51" s="447"/>
    </row>
    <row r="52" spans="1:11" x14ac:dyDescent="0.2">
      <c r="A52" s="447" t="s">
        <v>480</v>
      </c>
      <c r="B52" s="447"/>
      <c r="C52" s="447"/>
      <c r="D52" s="447"/>
      <c r="E52" s="447"/>
      <c r="F52" s="447" t="s">
        <v>481</v>
      </c>
      <c r="G52" s="447"/>
      <c r="H52" s="447"/>
      <c r="I52" s="447"/>
      <c r="J52" s="447"/>
      <c r="K52" s="447"/>
    </row>
    <row r="53" spans="1:11" x14ac:dyDescent="0.2">
      <c r="A53" s="447"/>
      <c r="B53" s="447"/>
      <c r="C53" s="447"/>
      <c r="D53" s="447"/>
      <c r="E53" s="447"/>
      <c r="F53" s="447"/>
      <c r="G53" s="447"/>
      <c r="H53" s="447"/>
      <c r="I53" s="447"/>
      <c r="J53" s="447"/>
      <c r="K53" s="447"/>
    </row>
    <row r="54" spans="1:11" x14ac:dyDescent="0.2">
      <c r="A54" s="447"/>
      <c r="B54" s="447"/>
      <c r="C54" s="447"/>
      <c r="D54" s="447"/>
      <c r="E54" s="447"/>
      <c r="F54" s="447"/>
      <c r="G54" s="447"/>
      <c r="H54" s="447"/>
      <c r="I54" s="447"/>
      <c r="J54" s="447"/>
      <c r="K54" s="447"/>
    </row>
    <row r="55" spans="1:11" x14ac:dyDescent="0.2">
      <c r="A55" s="447" t="s">
        <v>463</v>
      </c>
      <c r="B55" s="447"/>
      <c r="C55" s="447"/>
      <c r="D55" s="447"/>
      <c r="E55" s="447"/>
      <c r="F55" s="447" t="s">
        <v>411</v>
      </c>
      <c r="G55" s="447"/>
      <c r="H55" s="447"/>
      <c r="I55" s="447"/>
      <c r="J55" s="447"/>
      <c r="K55" s="447"/>
    </row>
    <row r="56" spans="1:11" x14ac:dyDescent="0.2">
      <c r="A56" s="447"/>
      <c r="B56" s="447"/>
      <c r="C56" s="447"/>
      <c r="D56" s="447"/>
      <c r="E56" s="447"/>
      <c r="F56" s="447"/>
      <c r="G56" s="447"/>
      <c r="H56" s="447"/>
      <c r="I56" s="447"/>
      <c r="J56" s="447"/>
      <c r="K56" s="447"/>
    </row>
    <row r="73" spans="1:11" x14ac:dyDescent="0.2">
      <c r="A73" s="450" t="s">
        <v>633</v>
      </c>
      <c r="B73" s="450"/>
      <c r="C73" s="374" t="s">
        <v>634</v>
      </c>
      <c r="D73" s="62"/>
      <c r="E73" s="62"/>
      <c r="F73" s="62"/>
    </row>
    <row r="74" spans="1:11" x14ac:dyDescent="0.2">
      <c r="B74" s="62"/>
      <c r="C74" s="62"/>
      <c r="D74" s="62"/>
      <c r="E74" s="62"/>
      <c r="F74" s="62"/>
    </row>
    <row r="75" spans="1:11" ht="6.75" customHeight="1" x14ac:dyDescent="0.25">
      <c r="A75" s="69"/>
      <c r="B75" s="452"/>
      <c r="C75" s="452"/>
      <c r="D75" s="452"/>
      <c r="E75" s="452"/>
      <c r="F75" s="452"/>
      <c r="G75" s="452"/>
      <c r="H75" s="452"/>
      <c r="I75" s="452"/>
      <c r="J75" s="375"/>
      <c r="K75" s="375"/>
    </row>
    <row r="76" spans="1:11" ht="17.25" customHeight="1" x14ac:dyDescent="0.25">
      <c r="A76" s="63"/>
      <c r="B76" s="448" t="s">
        <v>462</v>
      </c>
      <c r="C76" s="448"/>
      <c r="D76" s="448"/>
      <c r="E76" s="448"/>
      <c r="F76" s="448"/>
      <c r="G76" s="448"/>
      <c r="H76" s="448"/>
      <c r="I76" s="448"/>
      <c r="J76" s="68"/>
      <c r="K76" s="68"/>
    </row>
    <row r="77" spans="1:11" ht="20.25" customHeight="1" x14ac:dyDescent="0.25">
      <c r="A77" s="63"/>
      <c r="B77" s="448" t="s">
        <v>15</v>
      </c>
      <c r="C77" s="448"/>
      <c r="D77" s="448"/>
      <c r="E77" s="448"/>
      <c r="F77" s="448"/>
      <c r="G77" s="448"/>
      <c r="H77" s="448"/>
      <c r="I77" s="448"/>
      <c r="J77" s="68"/>
      <c r="K77" s="68"/>
    </row>
    <row r="78" spans="1:11" ht="19.5" customHeight="1" x14ac:dyDescent="0.25">
      <c r="A78" s="63"/>
      <c r="B78" s="451" t="s">
        <v>678</v>
      </c>
      <c r="C78" s="451"/>
      <c r="D78" s="451"/>
      <c r="E78" s="451"/>
      <c r="F78" s="451"/>
      <c r="G78" s="451"/>
      <c r="H78" s="451"/>
      <c r="I78" s="451"/>
      <c r="J78" s="68"/>
      <c r="K78" s="68"/>
    </row>
    <row r="79" spans="1:11" ht="9" customHeight="1" x14ac:dyDescent="0.2">
      <c r="A79" s="63"/>
      <c r="B79" s="62"/>
      <c r="C79" s="62"/>
      <c r="D79" s="62"/>
      <c r="E79" s="62"/>
      <c r="F79" s="62"/>
      <c r="J79" s="68"/>
      <c r="K79" s="68"/>
    </row>
    <row r="80" spans="1:11" ht="12" customHeight="1" x14ac:dyDescent="0.2">
      <c r="A80" s="63"/>
      <c r="B80" s="453" t="s">
        <v>10</v>
      </c>
      <c r="C80" s="454"/>
      <c r="D80" s="454"/>
      <c r="E80" s="455"/>
      <c r="F80" s="64"/>
      <c r="G80" s="82" t="s">
        <v>12</v>
      </c>
      <c r="H80" s="64"/>
      <c r="I80" s="82" t="s">
        <v>13</v>
      </c>
      <c r="J80" s="68"/>
      <c r="K80" s="68"/>
    </row>
    <row r="81" spans="1:12" ht="12" customHeight="1" x14ac:dyDescent="0.2">
      <c r="A81" s="63"/>
      <c r="B81" s="456"/>
      <c r="C81" s="457"/>
      <c r="D81" s="457"/>
      <c r="E81" s="458"/>
      <c r="F81" s="64"/>
      <c r="G81" s="83" t="s">
        <v>14</v>
      </c>
      <c r="H81" s="64"/>
      <c r="I81" s="83" t="s">
        <v>14</v>
      </c>
      <c r="J81" s="68"/>
      <c r="K81" s="68"/>
    </row>
    <row r="82" spans="1:12" x14ac:dyDescent="0.2">
      <c r="A82" s="63"/>
      <c r="B82" s="84" t="s">
        <v>636</v>
      </c>
      <c r="C82" s="84" t="s">
        <v>649</v>
      </c>
      <c r="D82" s="84"/>
      <c r="E82" s="62"/>
      <c r="F82" s="62"/>
      <c r="G82" s="85"/>
      <c r="H82" s="85"/>
      <c r="I82" s="85"/>
      <c r="J82" s="68"/>
      <c r="K82" s="68"/>
    </row>
    <row r="83" spans="1:12" x14ac:dyDescent="0.2">
      <c r="A83" s="63"/>
      <c r="B83" s="1"/>
      <c r="C83" s="65" t="s">
        <v>637</v>
      </c>
      <c r="D83" s="62"/>
      <c r="E83" s="62"/>
      <c r="F83" s="62"/>
      <c r="G83" s="85"/>
      <c r="H83" s="85"/>
      <c r="I83" s="85"/>
      <c r="J83" s="68"/>
      <c r="K83" s="68"/>
    </row>
    <row r="84" spans="1:12" x14ac:dyDescent="0.2">
      <c r="A84" s="63"/>
      <c r="B84" s="1"/>
      <c r="C84" s="62"/>
      <c r="D84" s="62">
        <v>1</v>
      </c>
      <c r="E84" s="62" t="s">
        <v>638</v>
      </c>
      <c r="F84" s="62"/>
      <c r="G84" s="85" t="e">
        <f>#REF!</f>
        <v>#REF!</v>
      </c>
      <c r="H84" s="85"/>
      <c r="I84" s="85" t="e">
        <f>G84</f>
        <v>#REF!</v>
      </c>
      <c r="J84" s="68"/>
      <c r="K84" s="68"/>
    </row>
    <row r="85" spans="1:12" x14ac:dyDescent="0.2">
      <c r="A85" s="63"/>
      <c r="B85" s="1"/>
      <c r="C85" s="62"/>
      <c r="D85" s="62">
        <v>2</v>
      </c>
      <c r="E85" s="62" t="s">
        <v>639</v>
      </c>
      <c r="F85" s="62"/>
      <c r="G85" s="85" t="e">
        <f>#REF!</f>
        <v>#REF!</v>
      </c>
      <c r="H85" s="85"/>
      <c r="I85" s="85" t="e">
        <f>G85</f>
        <v>#REF!</v>
      </c>
      <c r="J85" s="68"/>
      <c r="K85" s="68"/>
    </row>
    <row r="86" spans="1:12" x14ac:dyDescent="0.2">
      <c r="A86" s="63"/>
      <c r="B86" s="1"/>
      <c r="C86" s="62"/>
      <c r="D86" s="62">
        <v>3</v>
      </c>
      <c r="E86" s="62" t="s">
        <v>640</v>
      </c>
      <c r="F86" s="62"/>
      <c r="G86" s="85" t="e">
        <f>#REF!</f>
        <v>#REF!</v>
      </c>
      <c r="H86" s="85"/>
      <c r="I86" s="85" t="e">
        <f t="shared" ref="I86" si="3">G86</f>
        <v>#REF!</v>
      </c>
      <c r="J86" s="68"/>
      <c r="K86" s="68"/>
    </row>
    <row r="87" spans="1:12" x14ac:dyDescent="0.2">
      <c r="A87" s="63"/>
      <c r="B87" s="1"/>
      <c r="C87" s="62"/>
      <c r="D87" s="62">
        <v>4</v>
      </c>
      <c r="E87" s="62" t="s">
        <v>645</v>
      </c>
      <c r="F87" s="62"/>
      <c r="G87" s="85"/>
      <c r="H87" s="85"/>
      <c r="I87" s="85"/>
      <c r="J87" s="68"/>
      <c r="K87" s="68"/>
    </row>
    <row r="88" spans="1:12" x14ac:dyDescent="0.2">
      <c r="A88" s="63"/>
      <c r="B88" s="1"/>
      <c r="C88" s="62"/>
      <c r="D88" s="62">
        <v>5</v>
      </c>
      <c r="E88" s="62" t="s">
        <v>641</v>
      </c>
      <c r="F88" s="62"/>
      <c r="G88" s="85"/>
      <c r="H88" s="85"/>
      <c r="I88" s="85"/>
      <c r="J88" s="68"/>
      <c r="K88" s="68"/>
    </row>
    <row r="89" spans="1:12" x14ac:dyDescent="0.2">
      <c r="A89" s="63"/>
      <c r="B89" s="1"/>
      <c r="C89" s="62"/>
      <c r="D89" s="62"/>
      <c r="E89" s="62"/>
      <c r="F89" s="62"/>
      <c r="G89" s="85"/>
      <c r="H89" s="85"/>
      <c r="I89" s="85"/>
      <c r="J89" s="68"/>
      <c r="K89" s="68"/>
    </row>
    <row r="90" spans="1:12" ht="15" customHeight="1" x14ac:dyDescent="0.2">
      <c r="A90" s="63"/>
      <c r="B90" s="1"/>
      <c r="C90" s="65"/>
      <c r="D90" s="65" t="s">
        <v>16</v>
      </c>
      <c r="E90" s="65"/>
      <c r="F90" s="62"/>
      <c r="G90" s="86" t="e">
        <f>SUM(G84:G88)</f>
        <v>#REF!</v>
      </c>
      <c r="H90" s="85"/>
      <c r="I90" s="86" t="e">
        <f>SUM(I84:I88)</f>
        <v>#REF!</v>
      </c>
      <c r="J90" s="68"/>
      <c r="K90" s="68"/>
    </row>
    <row r="91" spans="1:12" ht="15" customHeight="1" x14ac:dyDescent="0.2">
      <c r="A91" s="63"/>
      <c r="B91" s="1"/>
      <c r="C91" s="65"/>
      <c r="D91" s="65"/>
      <c r="E91" s="65"/>
      <c r="F91" s="62"/>
      <c r="G91" s="73"/>
      <c r="H91" s="85"/>
      <c r="I91" s="73"/>
      <c r="J91" s="68"/>
      <c r="K91" s="68"/>
    </row>
    <row r="92" spans="1:12" ht="11.25" customHeight="1" x14ac:dyDescent="0.2">
      <c r="A92" s="63"/>
      <c r="B92" s="1"/>
      <c r="C92" s="65" t="s">
        <v>642</v>
      </c>
      <c r="D92" s="62"/>
      <c r="E92" s="62"/>
      <c r="F92" s="62"/>
      <c r="G92" s="85"/>
      <c r="H92" s="85"/>
      <c r="I92" s="85"/>
      <c r="J92" s="68"/>
      <c r="K92" s="68"/>
    </row>
    <row r="93" spans="1:12" x14ac:dyDescent="0.2">
      <c r="A93" s="63"/>
      <c r="B93" s="1"/>
      <c r="C93" s="62"/>
      <c r="D93" s="62">
        <v>1</v>
      </c>
      <c r="E93" s="87" t="s">
        <v>190</v>
      </c>
      <c r="F93" s="62"/>
      <c r="G93" s="85">
        <f>'RINCIAN B. LANGSUNG USAHA'!E32</f>
        <v>0</v>
      </c>
      <c r="H93" s="85"/>
      <c r="I93" s="85">
        <f>G93</f>
        <v>0</v>
      </c>
      <c r="J93" s="68"/>
      <c r="K93" s="68"/>
    </row>
    <row r="94" spans="1:12" x14ac:dyDescent="0.2">
      <c r="A94" s="63"/>
      <c r="B94" s="1"/>
      <c r="C94" s="62"/>
      <c r="D94" s="62">
        <v>2</v>
      </c>
      <c r="E94" s="87" t="s">
        <v>191</v>
      </c>
      <c r="F94" s="62"/>
      <c r="G94" s="85">
        <f>'RINCIAN B. LANGSUNG USAHA'!E67-'RINCIAN B. LANGSUNG USAHA'!E53</f>
        <v>0</v>
      </c>
      <c r="H94" s="85"/>
      <c r="I94" s="85">
        <f t="shared" ref="I94:I96" si="4">G94</f>
        <v>0</v>
      </c>
      <c r="J94" s="68"/>
      <c r="K94" s="68"/>
    </row>
    <row r="95" spans="1:12" x14ac:dyDescent="0.2">
      <c r="A95" s="63"/>
      <c r="B95" s="1"/>
      <c r="C95" s="62"/>
      <c r="D95" s="62">
        <v>3</v>
      </c>
      <c r="E95" s="87" t="s">
        <v>643</v>
      </c>
      <c r="F95" s="67"/>
      <c r="G95" s="85">
        <f>'RINCIAN B. LANGSUNG USAHA'!E98-'RINCIAN B. LANGSUNG USAHA'!E92-'RINCIAN B. LANGSUNG USAHA'!E95+1200000</f>
        <v>1200000</v>
      </c>
      <c r="H95" s="85"/>
      <c r="I95" s="85">
        <f t="shared" si="4"/>
        <v>1200000</v>
      </c>
      <c r="J95" s="68"/>
      <c r="K95" s="68"/>
      <c r="L95" s="376">
        <v>1200000</v>
      </c>
    </row>
    <row r="96" spans="1:12" x14ac:dyDescent="0.2">
      <c r="A96" s="63"/>
      <c r="B96" s="1"/>
      <c r="C96" s="62"/>
      <c r="D96" s="62">
        <v>4</v>
      </c>
      <c r="E96" s="87" t="s">
        <v>644</v>
      </c>
      <c r="F96" s="62"/>
      <c r="G96" s="85">
        <f>'RINCIAN B. TDK LANGSUNG'!E77</f>
        <v>0</v>
      </c>
      <c r="H96" s="85"/>
      <c r="I96" s="85">
        <f t="shared" si="4"/>
        <v>0</v>
      </c>
      <c r="J96" s="68"/>
      <c r="K96" s="68"/>
    </row>
    <row r="97" spans="1:11" x14ac:dyDescent="0.2">
      <c r="A97" s="63"/>
      <c r="B97" s="1"/>
      <c r="C97" s="62"/>
      <c r="D97" s="62">
        <v>5</v>
      </c>
      <c r="E97" s="87" t="s">
        <v>632</v>
      </c>
      <c r="F97" s="67"/>
      <c r="G97" s="85"/>
      <c r="H97" s="85"/>
      <c r="I97" s="85"/>
      <c r="J97" s="68"/>
      <c r="K97" s="68"/>
    </row>
    <row r="98" spans="1:11" x14ac:dyDescent="0.2">
      <c r="A98" s="63"/>
      <c r="B98" s="1"/>
      <c r="C98" s="62"/>
      <c r="D98" s="62">
        <v>6</v>
      </c>
      <c r="E98" s="87" t="s">
        <v>646</v>
      </c>
      <c r="F98" s="67"/>
      <c r="G98" s="85"/>
      <c r="H98" s="85"/>
      <c r="I98" s="85"/>
      <c r="J98" s="68"/>
      <c r="K98" s="68"/>
    </row>
    <row r="99" spans="1:11" x14ac:dyDescent="0.2">
      <c r="A99" s="63"/>
      <c r="B99" s="1"/>
      <c r="C99" s="62"/>
      <c r="D99" s="62">
        <v>7</v>
      </c>
      <c r="E99" s="87" t="s">
        <v>647</v>
      </c>
      <c r="F99" s="67"/>
      <c r="G99" s="85"/>
      <c r="H99" s="85"/>
      <c r="I99" s="85"/>
      <c r="J99" s="68"/>
      <c r="K99" s="68"/>
    </row>
    <row r="100" spans="1:11" x14ac:dyDescent="0.2">
      <c r="A100" s="63"/>
      <c r="B100" s="67"/>
      <c r="C100" s="65"/>
      <c r="D100" s="62"/>
      <c r="E100" s="87"/>
      <c r="F100" s="62"/>
      <c r="G100" s="85"/>
      <c r="H100" s="85"/>
      <c r="I100" s="85"/>
      <c r="J100" s="68"/>
      <c r="K100" s="68"/>
    </row>
    <row r="101" spans="1:11" x14ac:dyDescent="0.2">
      <c r="A101" s="63"/>
      <c r="B101" s="1"/>
      <c r="C101" s="62"/>
      <c r="D101" s="65" t="s">
        <v>17</v>
      </c>
      <c r="E101" s="64"/>
      <c r="F101" s="88"/>
      <c r="G101" s="86">
        <f>SUM(G93:G100)</f>
        <v>1200000</v>
      </c>
      <c r="H101" s="85"/>
      <c r="I101" s="86">
        <f>SUM(I93:I100)</f>
        <v>1200000</v>
      </c>
      <c r="J101" s="68"/>
      <c r="K101" s="68"/>
    </row>
    <row r="102" spans="1:11" ht="15.75" customHeight="1" x14ac:dyDescent="0.2">
      <c r="A102" s="63"/>
      <c r="B102" s="1"/>
      <c r="C102" s="62"/>
      <c r="D102" s="62"/>
      <c r="E102" s="62"/>
      <c r="F102" s="62"/>
      <c r="G102" s="85"/>
      <c r="H102" s="85"/>
      <c r="I102" s="85"/>
      <c r="J102" s="68"/>
      <c r="K102" s="68"/>
    </row>
    <row r="103" spans="1:11" x14ac:dyDescent="0.2">
      <c r="A103" s="63"/>
      <c r="B103" s="1"/>
      <c r="C103" s="65" t="s">
        <v>648</v>
      </c>
      <c r="D103" s="65"/>
      <c r="E103" s="65"/>
      <c r="F103" s="62"/>
      <c r="G103" s="304" t="e">
        <f>G90-G101</f>
        <v>#REF!</v>
      </c>
      <c r="H103" s="85"/>
      <c r="I103" s="304" t="e">
        <f>I90-I101</f>
        <v>#REF!</v>
      </c>
      <c r="K103" s="68"/>
    </row>
    <row r="104" spans="1:11" x14ac:dyDescent="0.2">
      <c r="A104" s="63"/>
      <c r="B104" s="1"/>
      <c r="C104" s="62"/>
      <c r="D104" s="62"/>
      <c r="E104" s="62"/>
      <c r="F104" s="62"/>
      <c r="G104" s="85"/>
      <c r="H104" s="85"/>
      <c r="I104" s="85"/>
      <c r="J104" s="68"/>
      <c r="K104" s="68"/>
    </row>
    <row r="105" spans="1:11" x14ac:dyDescent="0.2">
      <c r="A105" s="63"/>
      <c r="B105" s="84" t="s">
        <v>650</v>
      </c>
      <c r="C105" s="84" t="s">
        <v>651</v>
      </c>
      <c r="D105" s="74"/>
      <c r="E105" s="67"/>
      <c r="F105" s="67"/>
      <c r="G105" s="85"/>
      <c r="H105" s="85"/>
      <c r="I105" s="85"/>
      <c r="J105" s="68"/>
      <c r="K105" s="68"/>
    </row>
    <row r="106" spans="1:11" x14ac:dyDescent="0.2">
      <c r="A106" s="63"/>
      <c r="B106" s="67"/>
      <c r="C106" s="65"/>
      <c r="D106" s="62" t="s">
        <v>652</v>
      </c>
      <c r="E106" s="62"/>
      <c r="F106" s="62"/>
      <c r="G106" s="85" t="e">
        <f>#REF!</f>
        <v>#REF!</v>
      </c>
      <c r="H106" s="85"/>
      <c r="I106" s="85" t="e">
        <f>G106</f>
        <v>#REF!</v>
      </c>
      <c r="J106" s="68"/>
      <c r="K106" s="68"/>
    </row>
    <row r="107" spans="1:11" x14ac:dyDescent="0.2">
      <c r="A107" s="63"/>
      <c r="B107" s="1"/>
      <c r="C107" s="65" t="s">
        <v>653</v>
      </c>
      <c r="D107" s="74"/>
      <c r="E107" s="74"/>
      <c r="F107" s="74"/>
      <c r="G107" s="86" t="e">
        <f>SUM(G106)</f>
        <v>#REF!</v>
      </c>
      <c r="H107" s="73"/>
      <c r="I107" s="86" t="e">
        <f>SUM(I106)</f>
        <v>#REF!</v>
      </c>
      <c r="J107" s="68"/>
      <c r="K107" s="68"/>
    </row>
    <row r="108" spans="1:11" x14ac:dyDescent="0.2">
      <c r="A108" s="63"/>
      <c r="B108" s="1"/>
      <c r="C108" s="449"/>
      <c r="D108" s="449"/>
      <c r="E108" s="449"/>
      <c r="F108" s="62"/>
      <c r="G108" s="264"/>
      <c r="H108" s="89"/>
      <c r="I108" s="264"/>
      <c r="J108" s="68"/>
      <c r="K108" s="68"/>
    </row>
    <row r="109" spans="1:11" ht="16.5" customHeight="1" x14ac:dyDescent="0.2">
      <c r="A109" s="63"/>
      <c r="B109" s="84" t="s">
        <v>654</v>
      </c>
      <c r="C109" s="84" t="s">
        <v>655</v>
      </c>
      <c r="D109" s="62"/>
      <c r="E109" s="62"/>
      <c r="F109" s="62"/>
      <c r="G109" s="89"/>
      <c r="H109" s="89"/>
      <c r="I109" s="89"/>
      <c r="J109" s="68"/>
      <c r="K109" s="68"/>
    </row>
    <row r="110" spans="1:11" x14ac:dyDescent="0.2">
      <c r="A110" s="63"/>
      <c r="B110" s="80"/>
      <c r="C110" s="80"/>
      <c r="D110" s="62" t="s">
        <v>656</v>
      </c>
      <c r="E110" s="80"/>
      <c r="F110" s="67"/>
      <c r="G110" s="264"/>
      <c r="H110" s="89"/>
      <c r="I110" s="264"/>
      <c r="J110" s="68"/>
      <c r="K110" s="68"/>
    </row>
    <row r="111" spans="1:11" x14ac:dyDescent="0.2">
      <c r="A111" s="63"/>
      <c r="B111" s="84"/>
      <c r="C111" s="62"/>
      <c r="D111" s="62" t="s">
        <v>657</v>
      </c>
      <c r="E111" s="62"/>
      <c r="F111" s="62"/>
      <c r="G111" s="85"/>
      <c r="H111" s="85"/>
      <c r="I111" s="85"/>
      <c r="J111" s="68"/>
      <c r="K111" s="68"/>
    </row>
    <row r="112" spans="1:11" x14ac:dyDescent="0.2">
      <c r="A112" s="63"/>
      <c r="B112" s="1"/>
      <c r="C112" s="62"/>
      <c r="D112" s="74" t="s">
        <v>658</v>
      </c>
      <c r="E112" s="67"/>
      <c r="F112" s="67"/>
      <c r="G112" s="85"/>
      <c r="H112" s="85"/>
      <c r="I112" s="85"/>
      <c r="J112" s="68"/>
      <c r="K112" s="68"/>
    </row>
    <row r="113" spans="1:14" x14ac:dyDescent="0.2">
      <c r="A113" s="63"/>
      <c r="B113" s="67"/>
      <c r="C113" s="65"/>
      <c r="D113" s="62" t="s">
        <v>659</v>
      </c>
      <c r="E113" s="62"/>
      <c r="F113" s="62"/>
      <c r="G113" s="377"/>
      <c r="H113" s="85"/>
      <c r="I113" s="85"/>
      <c r="J113" s="68"/>
      <c r="K113" s="68"/>
    </row>
    <row r="114" spans="1:14" x14ac:dyDescent="0.2">
      <c r="A114" s="63"/>
      <c r="B114" s="1"/>
      <c r="C114" s="65" t="s">
        <v>660</v>
      </c>
      <c r="D114" s="74"/>
      <c r="E114" s="74"/>
      <c r="F114" s="74"/>
      <c r="G114" s="379">
        <f>SUM(G110:G113)</f>
        <v>0</v>
      </c>
      <c r="H114" s="85"/>
      <c r="I114" s="379">
        <f>SUM(I110:I113)</f>
        <v>0</v>
      </c>
      <c r="J114" s="68"/>
      <c r="K114" s="68"/>
    </row>
    <row r="115" spans="1:14" x14ac:dyDescent="0.2">
      <c r="A115" s="63"/>
      <c r="B115" s="1"/>
      <c r="C115" s="62"/>
      <c r="D115" s="62"/>
      <c r="E115" s="62"/>
      <c r="F115" s="62"/>
      <c r="G115" s="377"/>
      <c r="H115" s="85"/>
      <c r="I115" s="85"/>
      <c r="J115" s="68"/>
      <c r="K115" s="68"/>
    </row>
    <row r="116" spans="1:14" x14ac:dyDescent="0.2">
      <c r="A116" s="63"/>
      <c r="B116" s="84" t="s">
        <v>661</v>
      </c>
      <c r="C116" s="84" t="s">
        <v>662</v>
      </c>
      <c r="D116" s="66"/>
      <c r="E116" s="66"/>
      <c r="F116" s="62"/>
      <c r="G116" s="73" t="e">
        <f>G103-G107+G114</f>
        <v>#REF!</v>
      </c>
      <c r="H116" s="85"/>
      <c r="I116" s="73" t="e">
        <f>I103-I107+I114</f>
        <v>#REF!</v>
      </c>
      <c r="J116" s="68"/>
      <c r="K116" s="68"/>
    </row>
    <row r="117" spans="1:14" x14ac:dyDescent="0.2">
      <c r="A117" s="63"/>
      <c r="B117" s="1"/>
      <c r="C117" s="62"/>
      <c r="D117" s="62"/>
      <c r="E117" s="62"/>
      <c r="F117" s="62"/>
      <c r="G117" s="85"/>
      <c r="H117" s="85"/>
      <c r="I117" s="85"/>
      <c r="J117" s="68"/>
      <c r="K117" s="68"/>
    </row>
    <row r="118" spans="1:14" x14ac:dyDescent="0.2">
      <c r="A118" s="63"/>
      <c r="B118" s="84" t="s">
        <v>663</v>
      </c>
      <c r="C118" s="84" t="s">
        <v>664</v>
      </c>
      <c r="D118" s="66"/>
      <c r="E118" s="62"/>
      <c r="F118" s="62"/>
      <c r="G118" s="73">
        <v>1312251855.8000002</v>
      </c>
      <c r="H118" s="73"/>
      <c r="I118" s="73">
        <v>1312251855.8000002</v>
      </c>
      <c r="J118" s="68"/>
      <c r="K118" s="68"/>
    </row>
    <row r="119" spans="1:14" x14ac:dyDescent="0.2">
      <c r="A119" s="63"/>
      <c r="B119" s="1"/>
      <c r="C119" s="62"/>
      <c r="D119" s="62"/>
      <c r="E119" s="62"/>
      <c r="F119" s="62"/>
      <c r="G119" s="73"/>
      <c r="H119" s="73"/>
      <c r="I119" s="73"/>
      <c r="J119" s="68"/>
      <c r="K119" s="68"/>
    </row>
    <row r="120" spans="1:14" x14ac:dyDescent="0.2">
      <c r="A120" s="63"/>
      <c r="B120" s="67" t="s">
        <v>665</v>
      </c>
      <c r="C120" s="65" t="s">
        <v>664</v>
      </c>
      <c r="D120" s="62"/>
      <c r="E120" s="62"/>
      <c r="F120" s="62"/>
      <c r="G120" s="73" t="e">
        <f>G116+G118</f>
        <v>#REF!</v>
      </c>
      <c r="H120" s="73"/>
      <c r="I120" s="73" t="e">
        <f>I116+I118</f>
        <v>#REF!</v>
      </c>
      <c r="J120" s="68"/>
      <c r="K120" s="68"/>
    </row>
    <row r="121" spans="1:14" x14ac:dyDescent="0.2">
      <c r="A121" s="61"/>
      <c r="B121" s="60"/>
      <c r="C121" s="60"/>
      <c r="D121" s="60"/>
      <c r="E121" s="60"/>
      <c r="F121" s="60"/>
      <c r="G121" s="91"/>
      <c r="H121" s="91"/>
      <c r="I121" s="91"/>
      <c r="J121" s="378"/>
      <c r="K121" s="378"/>
    </row>
    <row r="122" spans="1:14" ht="20.25" customHeight="1" x14ac:dyDescent="0.2">
      <c r="A122" s="459"/>
      <c r="B122" s="459"/>
      <c r="C122" s="459"/>
      <c r="D122" s="459"/>
      <c r="E122" s="459"/>
      <c r="F122" s="62"/>
      <c r="G122" s="92" t="e">
        <f>#REF!</f>
        <v>#REF!</v>
      </c>
      <c r="H122" s="92"/>
      <c r="I122" s="92"/>
      <c r="L122" s="90" t="e">
        <f>G120-G122</f>
        <v>#REF!</v>
      </c>
      <c r="M122" s="92"/>
      <c r="N122" s="92"/>
    </row>
    <row r="123" spans="1:14" x14ac:dyDescent="0.2">
      <c r="A123" s="447" t="s">
        <v>413</v>
      </c>
      <c r="B123" s="447"/>
      <c r="C123" s="447"/>
      <c r="D123" s="447"/>
      <c r="E123" s="447"/>
      <c r="F123" s="447" t="s">
        <v>410</v>
      </c>
      <c r="G123" s="447"/>
      <c r="H123" s="447"/>
      <c r="I123" s="447"/>
      <c r="J123" s="447"/>
      <c r="K123" s="447"/>
      <c r="L123" s="90"/>
      <c r="M123" s="81"/>
      <c r="N123" s="81"/>
    </row>
    <row r="124" spans="1:14" x14ac:dyDescent="0.2">
      <c r="A124" s="447" t="s">
        <v>480</v>
      </c>
      <c r="B124" s="447"/>
      <c r="C124" s="447"/>
      <c r="D124" s="447"/>
      <c r="E124" s="447"/>
      <c r="F124" s="447" t="s">
        <v>481</v>
      </c>
      <c r="G124" s="447"/>
      <c r="H124" s="447"/>
      <c r="I124" s="447"/>
      <c r="J124" s="447"/>
      <c r="K124" s="447"/>
      <c r="L124" s="90"/>
      <c r="M124" s="81"/>
      <c r="N124" s="81"/>
    </row>
    <row r="125" spans="1:14" x14ac:dyDescent="0.2">
      <c r="A125" s="447"/>
      <c r="B125" s="447"/>
      <c r="C125" s="447"/>
      <c r="D125" s="447"/>
      <c r="E125" s="447"/>
      <c r="F125" s="447"/>
      <c r="G125" s="447"/>
      <c r="H125" s="447"/>
      <c r="I125" s="447"/>
      <c r="J125" s="447"/>
      <c r="K125" s="447"/>
      <c r="L125" s="90"/>
      <c r="M125" s="81"/>
      <c r="N125" s="81"/>
    </row>
    <row r="126" spans="1:14" x14ac:dyDescent="0.2">
      <c r="A126" s="447"/>
      <c r="B126" s="447"/>
      <c r="C126" s="447"/>
      <c r="D126" s="447"/>
      <c r="E126" s="447"/>
      <c r="F126" s="447"/>
      <c r="G126" s="447"/>
      <c r="H126" s="447"/>
      <c r="I126" s="447"/>
      <c r="J126" s="447"/>
      <c r="K126" s="447"/>
      <c r="L126" s="90"/>
      <c r="M126" s="81"/>
      <c r="N126" s="81"/>
    </row>
    <row r="127" spans="1:14" x14ac:dyDescent="0.2">
      <c r="A127" s="447" t="s">
        <v>463</v>
      </c>
      <c r="B127" s="447"/>
      <c r="C127" s="447"/>
      <c r="D127" s="447"/>
      <c r="E127" s="447"/>
      <c r="F127" s="447" t="s">
        <v>411</v>
      </c>
      <c r="G127" s="447"/>
      <c r="H127" s="447"/>
      <c r="I127" s="447"/>
      <c r="J127" s="447"/>
      <c r="K127" s="447"/>
      <c r="L127" s="90"/>
      <c r="M127" s="81"/>
      <c r="N127" s="81"/>
    </row>
    <row r="128" spans="1:14" x14ac:dyDescent="0.2">
      <c r="A128" s="447"/>
      <c r="B128" s="447"/>
      <c r="C128" s="447"/>
      <c r="D128" s="447"/>
      <c r="E128" s="447"/>
      <c r="F128" s="447"/>
      <c r="G128" s="447"/>
      <c r="H128" s="447"/>
      <c r="I128" s="447"/>
      <c r="J128" s="447"/>
      <c r="K128" s="447"/>
      <c r="L128" s="90"/>
      <c r="M128" s="81"/>
      <c r="N128" s="81"/>
    </row>
    <row r="129" spans="1:14" x14ac:dyDescent="0.2">
      <c r="A129" s="447"/>
      <c r="B129" s="447"/>
      <c r="C129" s="447"/>
      <c r="D129" s="447"/>
      <c r="E129" s="447"/>
      <c r="F129" s="447"/>
      <c r="G129" s="447"/>
      <c r="H129" s="447"/>
      <c r="I129" s="447"/>
      <c r="J129" s="447"/>
      <c r="K129" s="447"/>
      <c r="L129" s="90"/>
      <c r="M129" s="81"/>
      <c r="N129" s="81"/>
    </row>
    <row r="130" spans="1:14" x14ac:dyDescent="0.2">
      <c r="A130" s="447"/>
      <c r="B130" s="447"/>
      <c r="C130" s="447"/>
      <c r="D130" s="447"/>
      <c r="E130" s="447"/>
      <c r="F130" s="447"/>
      <c r="G130" s="447"/>
      <c r="H130" s="447"/>
      <c r="I130" s="447"/>
      <c r="J130" s="447"/>
      <c r="K130" s="447"/>
      <c r="L130" s="90"/>
      <c r="M130" s="460"/>
      <c r="N130" s="460"/>
    </row>
    <row r="131" spans="1:14" x14ac:dyDescent="0.2">
      <c r="A131" s="447"/>
      <c r="B131" s="447"/>
      <c r="C131" s="447"/>
      <c r="D131" s="447"/>
      <c r="E131" s="447"/>
      <c r="F131" s="447"/>
      <c r="G131" s="447"/>
      <c r="H131" s="447"/>
      <c r="I131" s="447"/>
      <c r="J131" s="447"/>
      <c r="K131" s="447"/>
      <c r="L131" s="90"/>
      <c r="M131" s="81"/>
      <c r="N131" s="81"/>
    </row>
    <row r="132" spans="1:14" x14ac:dyDescent="0.2">
      <c r="A132" s="447"/>
      <c r="B132" s="447"/>
      <c r="C132" s="447"/>
      <c r="D132" s="447"/>
      <c r="E132" s="447"/>
      <c r="F132" s="447"/>
      <c r="G132" s="447"/>
      <c r="H132" s="447"/>
      <c r="I132" s="447"/>
      <c r="J132" s="447"/>
      <c r="K132" s="447"/>
      <c r="L132" s="90"/>
      <c r="M132" s="81"/>
      <c r="N132" s="81"/>
    </row>
    <row r="134" spans="1:14" x14ac:dyDescent="0.2">
      <c r="B134" s="62"/>
      <c r="C134" s="62"/>
      <c r="D134" s="62"/>
      <c r="E134" s="62"/>
      <c r="F134" s="62"/>
      <c r="G134" s="81"/>
      <c r="H134" s="81"/>
      <c r="I134" s="81"/>
    </row>
    <row r="135" spans="1:14" x14ac:dyDescent="0.2">
      <c r="B135" s="62"/>
      <c r="C135" s="62"/>
      <c r="D135" s="62"/>
      <c r="E135" s="62"/>
      <c r="F135" s="62"/>
      <c r="G135" s="81"/>
    </row>
    <row r="136" spans="1:14" x14ac:dyDescent="0.2">
      <c r="B136" s="62"/>
      <c r="C136" s="62"/>
      <c r="D136" s="62"/>
      <c r="E136" s="62"/>
      <c r="F136" s="62"/>
    </row>
    <row r="137" spans="1:14" x14ac:dyDescent="0.2">
      <c r="B137" s="62"/>
      <c r="C137" s="62"/>
      <c r="D137" s="62"/>
      <c r="E137" s="62"/>
      <c r="F137" s="62"/>
    </row>
    <row r="138" spans="1:14" x14ac:dyDescent="0.2">
      <c r="B138" s="62"/>
      <c r="C138" s="62"/>
      <c r="D138" s="62"/>
      <c r="E138" s="62"/>
      <c r="F138" s="62"/>
    </row>
    <row r="139" spans="1:14" x14ac:dyDescent="0.2">
      <c r="B139" s="62"/>
      <c r="C139" s="62"/>
      <c r="D139" s="62"/>
      <c r="E139" s="62"/>
      <c r="F139" s="62"/>
    </row>
    <row r="140" spans="1:14" x14ac:dyDescent="0.2">
      <c r="B140" s="62"/>
      <c r="C140" s="62"/>
      <c r="D140" s="62"/>
      <c r="E140" s="62"/>
      <c r="F140" s="62"/>
    </row>
    <row r="141" spans="1:14" x14ac:dyDescent="0.2">
      <c r="B141" s="62"/>
      <c r="C141" s="62"/>
      <c r="D141" s="62"/>
      <c r="E141" s="62"/>
      <c r="F141" s="62"/>
    </row>
    <row r="142" spans="1:14" x14ac:dyDescent="0.2">
      <c r="B142" s="62"/>
      <c r="C142" s="62"/>
      <c r="D142" s="62"/>
      <c r="E142" s="62"/>
      <c r="F142" s="62"/>
    </row>
    <row r="143" spans="1:14" x14ac:dyDescent="0.2">
      <c r="B143" s="62"/>
      <c r="C143" s="62"/>
      <c r="D143" s="62"/>
      <c r="E143" s="62"/>
      <c r="F143" s="62"/>
    </row>
    <row r="144" spans="1:14" x14ac:dyDescent="0.2">
      <c r="A144" s="450" t="s">
        <v>633</v>
      </c>
      <c r="B144" s="450"/>
      <c r="C144" s="374" t="s">
        <v>634</v>
      </c>
      <c r="D144" s="62"/>
      <c r="E144" s="62"/>
      <c r="F144" s="62"/>
    </row>
    <row r="145" spans="1:11" x14ac:dyDescent="0.2">
      <c r="B145" s="62"/>
      <c r="C145" s="62"/>
      <c r="D145" s="62"/>
      <c r="E145" s="62"/>
      <c r="F145" s="62"/>
    </row>
    <row r="146" spans="1:11" ht="15" x14ac:dyDescent="0.25">
      <c r="A146" s="69"/>
      <c r="B146" s="452"/>
      <c r="C146" s="452"/>
      <c r="D146" s="452"/>
      <c r="E146" s="452"/>
      <c r="F146" s="452"/>
      <c r="G146" s="452"/>
      <c r="H146" s="452"/>
      <c r="I146" s="452"/>
      <c r="J146" s="375"/>
      <c r="K146" s="375"/>
    </row>
    <row r="147" spans="1:11" ht="15" x14ac:dyDescent="0.25">
      <c r="A147" s="63"/>
      <c r="B147" s="448" t="s">
        <v>462</v>
      </c>
      <c r="C147" s="448"/>
      <c r="D147" s="448"/>
      <c r="E147" s="448"/>
      <c r="F147" s="448"/>
      <c r="G147" s="448"/>
      <c r="H147" s="448"/>
      <c r="I147" s="448"/>
      <c r="J147" s="68"/>
      <c r="K147" s="68"/>
    </row>
    <row r="148" spans="1:11" ht="15" x14ac:dyDescent="0.25">
      <c r="A148" s="63"/>
      <c r="B148" s="448" t="s">
        <v>15</v>
      </c>
      <c r="C148" s="448"/>
      <c r="D148" s="448"/>
      <c r="E148" s="448"/>
      <c r="F148" s="448"/>
      <c r="G148" s="448"/>
      <c r="H148" s="448"/>
      <c r="I148" s="448"/>
      <c r="J148" s="68"/>
      <c r="K148" s="68"/>
    </row>
    <row r="149" spans="1:11" ht="15" x14ac:dyDescent="0.25">
      <c r="A149" s="63"/>
      <c r="B149" s="451" t="s">
        <v>666</v>
      </c>
      <c r="C149" s="451"/>
      <c r="D149" s="451"/>
      <c r="E149" s="451"/>
      <c r="F149" s="451"/>
      <c r="G149" s="451"/>
      <c r="H149" s="451"/>
      <c r="I149" s="451"/>
      <c r="J149" s="68"/>
      <c r="K149" s="68"/>
    </row>
    <row r="150" spans="1:11" x14ac:dyDescent="0.2">
      <c r="A150" s="63"/>
      <c r="B150" s="62"/>
      <c r="C150" s="62"/>
      <c r="D150" s="62"/>
      <c r="E150" s="62"/>
      <c r="F150" s="62"/>
      <c r="J150" s="68"/>
      <c r="K150" s="68"/>
    </row>
    <row r="151" spans="1:11" x14ac:dyDescent="0.2">
      <c r="A151" s="63"/>
      <c r="B151" s="453" t="s">
        <v>10</v>
      </c>
      <c r="C151" s="454"/>
      <c r="D151" s="454"/>
      <c r="E151" s="455"/>
      <c r="F151" s="64"/>
      <c r="G151" s="82" t="s">
        <v>12</v>
      </c>
      <c r="H151" s="64"/>
      <c r="I151" s="82" t="s">
        <v>13</v>
      </c>
      <c r="J151" s="68"/>
      <c r="K151" s="68"/>
    </row>
    <row r="152" spans="1:11" x14ac:dyDescent="0.2">
      <c r="A152" s="63"/>
      <c r="B152" s="456"/>
      <c r="C152" s="457"/>
      <c r="D152" s="457"/>
      <c r="E152" s="458"/>
      <c r="F152" s="64"/>
      <c r="G152" s="83" t="s">
        <v>14</v>
      </c>
      <c r="H152" s="64"/>
      <c r="I152" s="83" t="s">
        <v>14</v>
      </c>
      <c r="J152" s="68"/>
      <c r="K152" s="68"/>
    </row>
    <row r="153" spans="1:11" x14ac:dyDescent="0.2">
      <c r="A153" s="63"/>
      <c r="B153" s="84" t="s">
        <v>636</v>
      </c>
      <c r="C153" s="84" t="s">
        <v>649</v>
      </c>
      <c r="D153" s="84"/>
      <c r="E153" s="62"/>
      <c r="F153" s="62"/>
      <c r="G153" s="85"/>
      <c r="H153" s="85"/>
      <c r="I153" s="85"/>
      <c r="J153" s="68"/>
      <c r="K153" s="68"/>
    </row>
    <row r="154" spans="1:11" x14ac:dyDescent="0.2">
      <c r="A154" s="63"/>
      <c r="B154" s="1"/>
      <c r="C154" s="65" t="s">
        <v>637</v>
      </c>
      <c r="D154" s="62"/>
      <c r="E154" s="62"/>
      <c r="F154" s="62"/>
      <c r="G154" s="85"/>
      <c r="H154" s="85"/>
      <c r="I154" s="85"/>
      <c r="J154" s="68"/>
      <c r="K154" s="68"/>
    </row>
    <row r="155" spans="1:11" x14ac:dyDescent="0.2">
      <c r="A155" s="63"/>
      <c r="B155" s="1"/>
      <c r="C155" s="62"/>
      <c r="D155" s="62">
        <v>1</v>
      </c>
      <c r="E155" s="62" t="s">
        <v>638</v>
      </c>
      <c r="F155" s="62"/>
      <c r="G155" s="85"/>
      <c r="H155" s="85"/>
      <c r="I155" s="85" t="e">
        <f>G155+I84</f>
        <v>#REF!</v>
      </c>
      <c r="J155" s="68"/>
      <c r="K155" s="68"/>
    </row>
    <row r="156" spans="1:11" x14ac:dyDescent="0.2">
      <c r="A156" s="63"/>
      <c r="B156" s="1"/>
      <c r="C156" s="62"/>
      <c r="D156" s="62">
        <v>2</v>
      </c>
      <c r="E156" s="62" t="s">
        <v>639</v>
      </c>
      <c r="F156" s="62"/>
      <c r="G156" s="85"/>
      <c r="H156" s="85"/>
      <c r="I156" s="85" t="e">
        <f t="shared" ref="I156:I160" si="5">G156+I85</f>
        <v>#REF!</v>
      </c>
      <c r="J156" s="68"/>
      <c r="K156" s="68"/>
    </row>
    <row r="157" spans="1:11" x14ac:dyDescent="0.2">
      <c r="A157" s="63"/>
      <c r="B157" s="1"/>
      <c r="C157" s="62"/>
      <c r="D157" s="62">
        <v>3</v>
      </c>
      <c r="E157" s="62" t="s">
        <v>640</v>
      </c>
      <c r="F157" s="62"/>
      <c r="G157" s="85"/>
      <c r="H157" s="85"/>
      <c r="I157" s="85" t="e">
        <f t="shared" si="5"/>
        <v>#REF!</v>
      </c>
      <c r="J157" s="68"/>
      <c r="K157" s="68"/>
    </row>
    <row r="158" spans="1:11" x14ac:dyDescent="0.2">
      <c r="A158" s="63"/>
      <c r="B158" s="1"/>
      <c r="C158" s="62"/>
      <c r="D158" s="62">
        <v>4</v>
      </c>
      <c r="E158" s="62" t="s">
        <v>645</v>
      </c>
      <c r="F158" s="62"/>
      <c r="G158" s="85"/>
      <c r="H158" s="85"/>
      <c r="I158" s="85">
        <f t="shared" si="5"/>
        <v>0</v>
      </c>
      <c r="J158" s="68"/>
      <c r="K158" s="68"/>
    </row>
    <row r="159" spans="1:11" x14ac:dyDescent="0.2">
      <c r="A159" s="63"/>
      <c r="B159" s="1"/>
      <c r="C159" s="62"/>
      <c r="D159" s="62">
        <v>5</v>
      </c>
      <c r="E159" s="62" t="s">
        <v>641</v>
      </c>
      <c r="F159" s="62"/>
      <c r="G159" s="85"/>
      <c r="H159" s="85"/>
      <c r="I159" s="85">
        <f t="shared" si="5"/>
        <v>0</v>
      </c>
      <c r="J159" s="68"/>
      <c r="K159" s="68"/>
    </row>
    <row r="160" spans="1:11" x14ac:dyDescent="0.2">
      <c r="A160" s="63"/>
      <c r="B160" s="1"/>
      <c r="C160" s="62"/>
      <c r="D160" s="62"/>
      <c r="E160" s="62"/>
      <c r="F160" s="62"/>
      <c r="G160" s="85"/>
      <c r="H160" s="85"/>
      <c r="I160" s="85">
        <f t="shared" si="5"/>
        <v>0</v>
      </c>
      <c r="J160" s="68"/>
      <c r="K160" s="68"/>
    </row>
    <row r="161" spans="1:11" x14ac:dyDescent="0.2">
      <c r="A161" s="63"/>
      <c r="B161" s="1"/>
      <c r="C161" s="65"/>
      <c r="D161" s="65" t="s">
        <v>16</v>
      </c>
      <c r="E161" s="65"/>
      <c r="F161" s="62"/>
      <c r="G161" s="86">
        <f>SUM(G155:G159)</f>
        <v>0</v>
      </c>
      <c r="H161" s="85"/>
      <c r="I161" s="86" t="e">
        <f>SUM(I155:I159)</f>
        <v>#REF!</v>
      </c>
      <c r="J161" s="68"/>
      <c r="K161" s="68"/>
    </row>
    <row r="162" spans="1:11" x14ac:dyDescent="0.2">
      <c r="A162" s="63"/>
      <c r="B162" s="1"/>
      <c r="C162" s="65"/>
      <c r="D162" s="65"/>
      <c r="E162" s="65"/>
      <c r="F162" s="62"/>
      <c r="G162" s="73"/>
      <c r="H162" s="85"/>
      <c r="I162" s="73"/>
      <c r="J162" s="68"/>
      <c r="K162" s="68"/>
    </row>
    <row r="163" spans="1:11" x14ac:dyDescent="0.2">
      <c r="A163" s="63"/>
      <c r="B163" s="1"/>
      <c r="C163" s="65" t="s">
        <v>642</v>
      </c>
      <c r="D163" s="62"/>
      <c r="E163" s="62"/>
      <c r="F163" s="62"/>
      <c r="G163" s="85"/>
      <c r="H163" s="85"/>
      <c r="I163" s="85"/>
      <c r="J163" s="68"/>
      <c r="K163" s="68"/>
    </row>
    <row r="164" spans="1:11" x14ac:dyDescent="0.2">
      <c r="A164" s="63"/>
      <c r="B164" s="1"/>
      <c r="C164" s="62"/>
      <c r="D164" s="62">
        <v>1</v>
      </c>
      <c r="E164" s="87" t="s">
        <v>190</v>
      </c>
      <c r="F164" s="62"/>
      <c r="G164" s="85"/>
      <c r="H164" s="85"/>
      <c r="I164" s="85">
        <f>G164+I93</f>
        <v>0</v>
      </c>
      <c r="J164" s="68"/>
      <c r="K164" s="68"/>
    </row>
    <row r="165" spans="1:11" x14ac:dyDescent="0.2">
      <c r="A165" s="63"/>
      <c r="B165" s="1"/>
      <c r="C165" s="62"/>
      <c r="D165" s="62">
        <v>2</v>
      </c>
      <c r="E165" s="87" t="s">
        <v>191</v>
      </c>
      <c r="F165" s="62"/>
      <c r="G165" s="85"/>
      <c r="H165" s="85"/>
      <c r="I165" s="85">
        <f t="shared" ref="I165:I170" si="6">G165+I94</f>
        <v>0</v>
      </c>
      <c r="J165" s="68"/>
      <c r="K165" s="68"/>
    </row>
    <row r="166" spans="1:11" x14ac:dyDescent="0.2">
      <c r="A166" s="63"/>
      <c r="B166" s="1"/>
      <c r="C166" s="62"/>
      <c r="D166" s="62">
        <v>3</v>
      </c>
      <c r="E166" s="87" t="s">
        <v>643</v>
      </c>
      <c r="F166" s="67"/>
      <c r="G166" s="85"/>
      <c r="H166" s="85"/>
      <c r="I166" s="85">
        <f t="shared" si="6"/>
        <v>1200000</v>
      </c>
      <c r="J166" s="68"/>
      <c r="K166" s="68"/>
    </row>
    <row r="167" spans="1:11" x14ac:dyDescent="0.2">
      <c r="A167" s="63"/>
      <c r="B167" s="1"/>
      <c r="C167" s="62"/>
      <c r="D167" s="62">
        <v>4</v>
      </c>
      <c r="E167" s="87" t="s">
        <v>644</v>
      </c>
      <c r="F167" s="62"/>
      <c r="G167" s="85"/>
      <c r="H167" s="85"/>
      <c r="I167" s="85">
        <f t="shared" si="6"/>
        <v>0</v>
      </c>
      <c r="J167" s="68"/>
      <c r="K167" s="68"/>
    </row>
    <row r="168" spans="1:11" x14ac:dyDescent="0.2">
      <c r="A168" s="63"/>
      <c r="B168" s="1"/>
      <c r="C168" s="62"/>
      <c r="D168" s="62">
        <v>5</v>
      </c>
      <c r="E168" s="87" t="s">
        <v>632</v>
      </c>
      <c r="F168" s="67"/>
      <c r="G168" s="85"/>
      <c r="H168" s="85"/>
      <c r="I168" s="85">
        <f t="shared" si="6"/>
        <v>0</v>
      </c>
      <c r="J168" s="68"/>
      <c r="K168" s="68"/>
    </row>
    <row r="169" spans="1:11" x14ac:dyDescent="0.2">
      <c r="A169" s="63"/>
      <c r="B169" s="1"/>
      <c r="C169" s="62"/>
      <c r="D169" s="62">
        <v>6</v>
      </c>
      <c r="E169" s="87" t="s">
        <v>646</v>
      </c>
      <c r="F169" s="67"/>
      <c r="G169" s="85"/>
      <c r="H169" s="85"/>
      <c r="I169" s="85">
        <f t="shared" si="6"/>
        <v>0</v>
      </c>
      <c r="J169" s="68"/>
      <c r="K169" s="68"/>
    </row>
    <row r="170" spans="1:11" x14ac:dyDescent="0.2">
      <c r="A170" s="63"/>
      <c r="B170" s="1"/>
      <c r="C170" s="62"/>
      <c r="D170" s="62">
        <v>7</v>
      </c>
      <c r="E170" s="87" t="s">
        <v>647</v>
      </c>
      <c r="F170" s="67"/>
      <c r="G170" s="85"/>
      <c r="H170" s="85"/>
      <c r="I170" s="85">
        <f t="shared" si="6"/>
        <v>0</v>
      </c>
      <c r="J170" s="68"/>
      <c r="K170" s="68"/>
    </row>
    <row r="171" spans="1:11" x14ac:dyDescent="0.2">
      <c r="A171" s="63"/>
      <c r="B171" s="67"/>
      <c r="C171" s="65"/>
      <c r="D171" s="62"/>
      <c r="E171" s="87"/>
      <c r="F171" s="62"/>
      <c r="G171" s="85"/>
      <c r="H171" s="85"/>
      <c r="I171" s="85"/>
      <c r="J171" s="68"/>
      <c r="K171" s="68"/>
    </row>
    <row r="172" spans="1:11" x14ac:dyDescent="0.2">
      <c r="A172" s="63"/>
      <c r="B172" s="1"/>
      <c r="C172" s="62"/>
      <c r="D172" s="65" t="s">
        <v>17</v>
      </c>
      <c r="E172" s="64"/>
      <c r="F172" s="88"/>
      <c r="G172" s="86">
        <f>SUM(G164:G171)</f>
        <v>0</v>
      </c>
      <c r="H172" s="85"/>
      <c r="I172" s="86">
        <f>SUM(I164:I171)</f>
        <v>1200000</v>
      </c>
      <c r="J172" s="68"/>
      <c r="K172" s="68"/>
    </row>
    <row r="173" spans="1:11" x14ac:dyDescent="0.2">
      <c r="A173" s="63"/>
      <c r="B173" s="1"/>
      <c r="C173" s="62"/>
      <c r="D173" s="62"/>
      <c r="E173" s="62"/>
      <c r="F173" s="62"/>
      <c r="G173" s="85"/>
      <c r="H173" s="85"/>
      <c r="I173" s="85"/>
      <c r="J173" s="68"/>
      <c r="K173" s="68"/>
    </row>
    <row r="174" spans="1:11" x14ac:dyDescent="0.2">
      <c r="A174" s="63"/>
      <c r="B174" s="1"/>
      <c r="C174" s="65" t="s">
        <v>648</v>
      </c>
      <c r="D174" s="65"/>
      <c r="E174" s="65"/>
      <c r="F174" s="62"/>
      <c r="G174" s="304">
        <f>G161-G172</f>
        <v>0</v>
      </c>
      <c r="H174" s="85"/>
      <c r="I174" s="304" t="e">
        <f>I161-I172</f>
        <v>#REF!</v>
      </c>
      <c r="K174" s="68"/>
    </row>
    <row r="175" spans="1:11" x14ac:dyDescent="0.2">
      <c r="A175" s="63"/>
      <c r="B175" s="1"/>
      <c r="C175" s="62"/>
      <c r="D175" s="62"/>
      <c r="E175" s="62"/>
      <c r="F175" s="62"/>
      <c r="G175" s="85"/>
      <c r="H175" s="85"/>
      <c r="I175" s="85"/>
      <c r="J175" s="68"/>
      <c r="K175" s="68"/>
    </row>
    <row r="176" spans="1:11" x14ac:dyDescent="0.2">
      <c r="A176" s="63"/>
      <c r="B176" s="84" t="s">
        <v>650</v>
      </c>
      <c r="C176" s="84" t="s">
        <v>651</v>
      </c>
      <c r="D176" s="74"/>
      <c r="E176" s="67"/>
      <c r="F176" s="67"/>
      <c r="G176" s="85"/>
      <c r="H176" s="85"/>
      <c r="I176" s="85"/>
      <c r="J176" s="68"/>
      <c r="K176" s="68"/>
    </row>
    <row r="177" spans="1:11" x14ac:dyDescent="0.2">
      <c r="A177" s="63"/>
      <c r="B177" s="67"/>
      <c r="C177" s="65"/>
      <c r="D177" s="62" t="s">
        <v>652</v>
      </c>
      <c r="E177" s="62"/>
      <c r="F177" s="62"/>
      <c r="G177" s="85" t="e">
        <f>#REF!</f>
        <v>#REF!</v>
      </c>
      <c r="H177" s="85"/>
      <c r="I177" s="85" t="e">
        <f>G177+I106</f>
        <v>#REF!</v>
      </c>
      <c r="J177" s="68"/>
      <c r="K177" s="68"/>
    </row>
    <row r="178" spans="1:11" x14ac:dyDescent="0.2">
      <c r="A178" s="63"/>
      <c r="B178" s="1"/>
      <c r="C178" s="65" t="s">
        <v>653</v>
      </c>
      <c r="D178" s="74"/>
      <c r="E178" s="74"/>
      <c r="F178" s="74"/>
      <c r="G178" s="86" t="e">
        <f>SUM(G177)</f>
        <v>#REF!</v>
      </c>
      <c r="H178" s="73"/>
      <c r="I178" s="86" t="e">
        <f>SUM(I177)</f>
        <v>#REF!</v>
      </c>
      <c r="J178" s="68"/>
      <c r="K178" s="68"/>
    </row>
    <row r="179" spans="1:11" x14ac:dyDescent="0.2">
      <c r="A179" s="63"/>
      <c r="B179" s="1"/>
      <c r="C179" s="449"/>
      <c r="D179" s="449"/>
      <c r="E179" s="449"/>
      <c r="F179" s="62"/>
      <c r="G179" s="264"/>
      <c r="H179" s="89"/>
      <c r="I179" s="264"/>
      <c r="J179" s="68"/>
      <c r="K179" s="68"/>
    </row>
    <row r="180" spans="1:11" x14ac:dyDescent="0.2">
      <c r="A180" s="63"/>
      <c r="B180" s="84" t="s">
        <v>654</v>
      </c>
      <c r="C180" s="84" t="s">
        <v>655</v>
      </c>
      <c r="D180" s="62"/>
      <c r="E180" s="62"/>
      <c r="F180" s="62"/>
      <c r="G180" s="89"/>
      <c r="H180" s="89"/>
      <c r="I180" s="89"/>
      <c r="J180" s="68"/>
      <c r="K180" s="68"/>
    </row>
    <row r="181" spans="1:11" x14ac:dyDescent="0.2">
      <c r="A181" s="63"/>
      <c r="B181" s="80"/>
      <c r="C181" s="80"/>
      <c r="D181" s="62" t="s">
        <v>656</v>
      </c>
      <c r="E181" s="80"/>
      <c r="F181" s="67"/>
      <c r="G181" s="264"/>
      <c r="H181" s="89"/>
      <c r="I181" s="85">
        <f>G181+I110</f>
        <v>0</v>
      </c>
      <c r="J181" s="68"/>
      <c r="K181" s="68"/>
    </row>
    <row r="182" spans="1:11" x14ac:dyDescent="0.2">
      <c r="A182" s="63"/>
      <c r="B182" s="84"/>
      <c r="C182" s="62"/>
      <c r="D182" s="62" t="s">
        <v>657</v>
      </c>
      <c r="E182" s="62"/>
      <c r="F182" s="62"/>
      <c r="G182" s="85"/>
      <c r="H182" s="85"/>
      <c r="I182" s="85">
        <f t="shared" ref="I182:I184" si="7">G182+I111</f>
        <v>0</v>
      </c>
      <c r="J182" s="68"/>
      <c r="K182" s="68"/>
    </row>
    <row r="183" spans="1:11" x14ac:dyDescent="0.2">
      <c r="A183" s="63"/>
      <c r="B183" s="1"/>
      <c r="C183" s="62"/>
      <c r="D183" s="74" t="s">
        <v>658</v>
      </c>
      <c r="E183" s="67"/>
      <c r="F183" s="67"/>
      <c r="G183" s="85"/>
      <c r="H183" s="85"/>
      <c r="I183" s="85">
        <f t="shared" si="7"/>
        <v>0</v>
      </c>
      <c r="J183" s="68"/>
      <c r="K183" s="68"/>
    </row>
    <row r="184" spans="1:11" x14ac:dyDescent="0.2">
      <c r="A184" s="63"/>
      <c r="B184" s="67"/>
      <c r="C184" s="65"/>
      <c r="D184" s="62" t="s">
        <v>659</v>
      </c>
      <c r="E184" s="62"/>
      <c r="F184" s="62"/>
      <c r="G184" s="377"/>
      <c r="H184" s="85"/>
      <c r="I184" s="85">
        <f t="shared" si="7"/>
        <v>0</v>
      </c>
      <c r="J184" s="68"/>
      <c r="K184" s="68"/>
    </row>
    <row r="185" spans="1:11" x14ac:dyDescent="0.2">
      <c r="A185" s="63"/>
      <c r="B185" s="1"/>
      <c r="C185" s="65" t="s">
        <v>660</v>
      </c>
      <c r="D185" s="74"/>
      <c r="E185" s="74"/>
      <c r="F185" s="74"/>
      <c r="G185" s="379">
        <f>SUM(G181:G184)</f>
        <v>0</v>
      </c>
      <c r="H185" s="85"/>
      <c r="I185" s="379">
        <f>SUM(I181:I184)</f>
        <v>0</v>
      </c>
      <c r="J185" s="68"/>
      <c r="K185" s="68"/>
    </row>
    <row r="186" spans="1:11" x14ac:dyDescent="0.2">
      <c r="A186" s="63"/>
      <c r="B186" s="1"/>
      <c r="C186" s="62"/>
      <c r="D186" s="62"/>
      <c r="E186" s="62"/>
      <c r="F186" s="62"/>
      <c r="G186" s="377"/>
      <c r="H186" s="85"/>
      <c r="I186" s="85"/>
      <c r="J186" s="68"/>
      <c r="K186" s="68"/>
    </row>
    <row r="187" spans="1:11" x14ac:dyDescent="0.2">
      <c r="A187" s="63"/>
      <c r="B187" s="84" t="s">
        <v>661</v>
      </c>
      <c r="C187" s="84" t="s">
        <v>662</v>
      </c>
      <c r="D187" s="66"/>
      <c r="E187" s="66"/>
      <c r="F187" s="62"/>
      <c r="G187" s="73" t="e">
        <f>G174-G178+G185</f>
        <v>#REF!</v>
      </c>
      <c r="H187" s="85"/>
      <c r="I187" s="73" t="e">
        <f>I174-I178+I185</f>
        <v>#REF!</v>
      </c>
      <c r="J187" s="68"/>
      <c r="K187" s="68"/>
    </row>
    <row r="188" spans="1:11" x14ac:dyDescent="0.2">
      <c r="A188" s="63"/>
      <c r="B188" s="1"/>
      <c r="C188" s="62"/>
      <c r="D188" s="62"/>
      <c r="E188" s="62"/>
      <c r="F188" s="62"/>
      <c r="G188" s="85"/>
      <c r="H188" s="85"/>
      <c r="I188" s="85"/>
      <c r="J188" s="68"/>
      <c r="K188" s="68"/>
    </row>
    <row r="189" spans="1:11" x14ac:dyDescent="0.2">
      <c r="A189" s="63"/>
      <c r="B189" s="84" t="s">
        <v>663</v>
      </c>
      <c r="C189" s="84" t="s">
        <v>664</v>
      </c>
      <c r="D189" s="66"/>
      <c r="E189" s="62"/>
      <c r="F189" s="62"/>
      <c r="G189" s="73" t="e">
        <f>G120</f>
        <v>#REF!</v>
      </c>
      <c r="H189" s="73"/>
      <c r="I189" s="73">
        <v>1312251855.8000002</v>
      </c>
      <c r="J189" s="68"/>
      <c r="K189" s="68"/>
    </row>
    <row r="190" spans="1:11" x14ac:dyDescent="0.2">
      <c r="A190" s="63"/>
      <c r="B190" s="1"/>
      <c r="C190" s="62"/>
      <c r="D190" s="62"/>
      <c r="E190" s="62"/>
      <c r="F190" s="62"/>
      <c r="G190" s="73"/>
      <c r="H190" s="73"/>
      <c r="I190" s="73"/>
      <c r="J190" s="68"/>
      <c r="K190" s="68"/>
    </row>
    <row r="191" spans="1:11" x14ac:dyDescent="0.2">
      <c r="A191" s="63"/>
      <c r="B191" s="67" t="s">
        <v>665</v>
      </c>
      <c r="C191" s="65" t="s">
        <v>664</v>
      </c>
      <c r="D191" s="62"/>
      <c r="E191" s="62"/>
      <c r="F191" s="62"/>
      <c r="G191" s="73" t="e">
        <f>G187+G189</f>
        <v>#REF!</v>
      </c>
      <c r="H191" s="73"/>
      <c r="I191" s="73" t="e">
        <f>I187+I189</f>
        <v>#REF!</v>
      </c>
      <c r="J191" s="68"/>
      <c r="K191" s="68"/>
    </row>
    <row r="192" spans="1:11" x14ac:dyDescent="0.2">
      <c r="A192" s="61"/>
      <c r="B192" s="60"/>
      <c r="C192" s="60"/>
      <c r="D192" s="60"/>
      <c r="E192" s="60"/>
      <c r="F192" s="60"/>
      <c r="G192" s="91"/>
      <c r="H192" s="91"/>
      <c r="I192" s="91"/>
      <c r="J192" s="378"/>
      <c r="K192" s="378"/>
    </row>
    <row r="193" spans="1:11" x14ac:dyDescent="0.2">
      <c r="A193" s="459"/>
      <c r="B193" s="459"/>
      <c r="C193" s="459"/>
      <c r="D193" s="459"/>
      <c r="E193" s="459"/>
      <c r="F193" s="62"/>
      <c r="G193" s="92" t="e">
        <f>#REF!</f>
        <v>#REF!</v>
      </c>
      <c r="H193" s="92"/>
      <c r="I193" s="92"/>
    </row>
    <row r="194" spans="1:11" x14ac:dyDescent="0.2">
      <c r="A194" s="447" t="s">
        <v>413</v>
      </c>
      <c r="B194" s="447"/>
      <c r="C194" s="447"/>
      <c r="D194" s="447"/>
      <c r="E194" s="447"/>
      <c r="F194" s="447" t="s">
        <v>410</v>
      </c>
      <c r="G194" s="447"/>
      <c r="H194" s="447"/>
      <c r="I194" s="447"/>
      <c r="J194" s="447"/>
      <c r="K194" s="447"/>
    </row>
    <row r="195" spans="1:11" x14ac:dyDescent="0.2">
      <c r="A195" s="447" t="s">
        <v>480</v>
      </c>
      <c r="B195" s="447"/>
      <c r="C195" s="447"/>
      <c r="D195" s="447"/>
      <c r="E195" s="447"/>
      <c r="F195" s="447" t="s">
        <v>481</v>
      </c>
      <c r="G195" s="447"/>
      <c r="H195" s="447"/>
      <c r="I195" s="447"/>
      <c r="J195" s="447"/>
      <c r="K195" s="447"/>
    </row>
    <row r="196" spans="1:11" x14ac:dyDescent="0.2">
      <c r="A196" s="447"/>
      <c r="B196" s="447"/>
      <c r="C196" s="447"/>
      <c r="D196" s="447"/>
      <c r="E196" s="447"/>
      <c r="F196" s="447"/>
      <c r="G196" s="447"/>
      <c r="H196" s="447"/>
      <c r="I196" s="447"/>
      <c r="J196" s="447"/>
      <c r="K196" s="447"/>
    </row>
    <row r="197" spans="1:11" x14ac:dyDescent="0.2">
      <c r="A197" s="447"/>
      <c r="B197" s="447"/>
      <c r="C197" s="447"/>
      <c r="D197" s="447"/>
      <c r="E197" s="447"/>
      <c r="F197" s="447"/>
      <c r="G197" s="447"/>
      <c r="H197" s="447"/>
      <c r="I197" s="447"/>
      <c r="J197" s="447"/>
      <c r="K197" s="447"/>
    </row>
    <row r="198" spans="1:11" x14ac:dyDescent="0.2">
      <c r="A198" s="447" t="s">
        <v>463</v>
      </c>
      <c r="B198" s="447"/>
      <c r="C198" s="447"/>
      <c r="D198" s="447"/>
      <c r="E198" s="447"/>
      <c r="F198" s="447" t="s">
        <v>411</v>
      </c>
      <c r="G198" s="447"/>
      <c r="H198" s="447"/>
      <c r="I198" s="447"/>
      <c r="J198" s="447"/>
      <c r="K198" s="447"/>
    </row>
    <row r="199" spans="1:11" x14ac:dyDescent="0.2">
      <c r="A199" s="447"/>
      <c r="B199" s="447"/>
      <c r="C199" s="447"/>
      <c r="D199" s="447"/>
      <c r="E199" s="447"/>
      <c r="F199" s="447"/>
      <c r="G199" s="447"/>
      <c r="H199" s="447"/>
      <c r="I199" s="447"/>
      <c r="J199" s="447"/>
      <c r="K199" s="447"/>
    </row>
    <row r="200" spans="1:11" x14ac:dyDescent="0.2">
      <c r="A200" s="447"/>
      <c r="B200" s="447"/>
      <c r="C200" s="447"/>
      <c r="D200" s="447"/>
      <c r="E200" s="447"/>
      <c r="F200" s="447"/>
      <c r="G200" s="447"/>
      <c r="H200" s="447"/>
      <c r="I200" s="447"/>
      <c r="J200" s="447"/>
      <c r="K200" s="447"/>
    </row>
    <row r="201" spans="1:11" x14ac:dyDescent="0.2">
      <c r="A201" s="447"/>
      <c r="B201" s="447"/>
      <c r="C201" s="447"/>
      <c r="D201" s="447"/>
      <c r="E201" s="447"/>
      <c r="F201" s="447"/>
      <c r="G201" s="447"/>
      <c r="H201" s="447"/>
      <c r="I201" s="447"/>
      <c r="J201" s="447"/>
      <c r="K201" s="447"/>
    </row>
    <row r="202" spans="1:11" x14ac:dyDescent="0.2">
      <c r="A202" s="447"/>
      <c r="B202" s="447"/>
      <c r="C202" s="447"/>
      <c r="D202" s="447"/>
      <c r="E202" s="447"/>
      <c r="F202" s="447"/>
      <c r="G202" s="447"/>
      <c r="H202" s="447"/>
      <c r="I202" s="447"/>
      <c r="J202" s="447"/>
      <c r="K202" s="447"/>
    </row>
    <row r="216" spans="1:11" x14ac:dyDescent="0.2">
      <c r="A216" s="450" t="s">
        <v>633</v>
      </c>
      <c r="B216" s="450"/>
      <c r="C216" s="374" t="s">
        <v>634</v>
      </c>
      <c r="D216" s="62"/>
      <c r="E216" s="62"/>
      <c r="F216" s="62"/>
    </row>
    <row r="217" spans="1:11" x14ac:dyDescent="0.2">
      <c r="B217" s="62"/>
      <c r="C217" s="62"/>
      <c r="D217" s="62"/>
      <c r="E217" s="62"/>
      <c r="F217" s="62"/>
    </row>
    <row r="218" spans="1:11" ht="15" x14ac:dyDescent="0.25">
      <c r="A218" s="69"/>
      <c r="B218" s="452"/>
      <c r="C218" s="452"/>
      <c r="D218" s="452"/>
      <c r="E218" s="452"/>
      <c r="F218" s="452"/>
      <c r="G218" s="452"/>
      <c r="H218" s="452"/>
      <c r="I218" s="452"/>
      <c r="J218" s="375"/>
      <c r="K218" s="375"/>
    </row>
    <row r="219" spans="1:11" ht="15" x14ac:dyDescent="0.25">
      <c r="A219" s="63"/>
      <c r="B219" s="448" t="s">
        <v>462</v>
      </c>
      <c r="C219" s="448"/>
      <c r="D219" s="448"/>
      <c r="E219" s="448"/>
      <c r="F219" s="448"/>
      <c r="G219" s="448"/>
      <c r="H219" s="448"/>
      <c r="I219" s="448"/>
      <c r="J219" s="68"/>
      <c r="K219" s="68"/>
    </row>
    <row r="220" spans="1:11" ht="15" x14ac:dyDescent="0.25">
      <c r="A220" s="63"/>
      <c r="B220" s="448" t="s">
        <v>15</v>
      </c>
      <c r="C220" s="448"/>
      <c r="D220" s="448"/>
      <c r="E220" s="448"/>
      <c r="F220" s="448"/>
      <c r="G220" s="448"/>
      <c r="H220" s="448"/>
      <c r="I220" s="448"/>
      <c r="J220" s="68"/>
      <c r="K220" s="68"/>
    </row>
    <row r="221" spans="1:11" ht="15" x14ac:dyDescent="0.25">
      <c r="A221" s="63"/>
      <c r="B221" s="451" t="s">
        <v>667</v>
      </c>
      <c r="C221" s="451"/>
      <c r="D221" s="451"/>
      <c r="E221" s="451"/>
      <c r="F221" s="451"/>
      <c r="G221" s="451"/>
      <c r="H221" s="451"/>
      <c r="I221" s="451"/>
      <c r="J221" s="68"/>
      <c r="K221" s="68"/>
    </row>
    <row r="222" spans="1:11" x14ac:dyDescent="0.2">
      <c r="A222" s="63"/>
      <c r="B222" s="62"/>
      <c r="C222" s="62"/>
      <c r="D222" s="62"/>
      <c r="E222" s="62"/>
      <c r="F222" s="62"/>
      <c r="J222" s="68"/>
      <c r="K222" s="68"/>
    </row>
    <row r="223" spans="1:11" x14ac:dyDescent="0.2">
      <c r="A223" s="63"/>
      <c r="B223" s="453" t="s">
        <v>10</v>
      </c>
      <c r="C223" s="454"/>
      <c r="D223" s="454"/>
      <c r="E223" s="455"/>
      <c r="F223" s="64"/>
      <c r="G223" s="82" t="s">
        <v>12</v>
      </c>
      <c r="H223" s="64"/>
      <c r="I223" s="82" t="s">
        <v>13</v>
      </c>
      <c r="J223" s="68"/>
      <c r="K223" s="68"/>
    </row>
    <row r="224" spans="1:11" x14ac:dyDescent="0.2">
      <c r="A224" s="63"/>
      <c r="B224" s="456"/>
      <c r="C224" s="457"/>
      <c r="D224" s="457"/>
      <c r="E224" s="458"/>
      <c r="F224" s="64"/>
      <c r="G224" s="83" t="s">
        <v>14</v>
      </c>
      <c r="H224" s="64"/>
      <c r="I224" s="83" t="s">
        <v>14</v>
      </c>
      <c r="J224" s="68"/>
      <c r="K224" s="68"/>
    </row>
    <row r="225" spans="1:11" x14ac:dyDescent="0.2">
      <c r="A225" s="63"/>
      <c r="B225" s="84" t="s">
        <v>636</v>
      </c>
      <c r="C225" s="84" t="s">
        <v>649</v>
      </c>
      <c r="D225" s="84"/>
      <c r="E225" s="62"/>
      <c r="F225" s="62"/>
      <c r="G225" s="85"/>
      <c r="H225" s="85"/>
      <c r="I225" s="85"/>
      <c r="J225" s="68"/>
      <c r="K225" s="68"/>
    </row>
    <row r="226" spans="1:11" x14ac:dyDescent="0.2">
      <c r="A226" s="63"/>
      <c r="B226" s="1"/>
      <c r="C226" s="65" t="s">
        <v>637</v>
      </c>
      <c r="D226" s="62"/>
      <c r="E226" s="62"/>
      <c r="F226" s="62"/>
      <c r="G226" s="85"/>
      <c r="H226" s="85"/>
      <c r="I226" s="85"/>
      <c r="J226" s="68"/>
      <c r="K226" s="68"/>
    </row>
    <row r="227" spans="1:11" x14ac:dyDescent="0.2">
      <c r="A227" s="63"/>
      <c r="B227" s="1"/>
      <c r="C227" s="62"/>
      <c r="D227" s="62">
        <v>1</v>
      </c>
      <c r="E227" s="62" t="s">
        <v>638</v>
      </c>
      <c r="F227" s="62"/>
      <c r="G227" s="85"/>
      <c r="H227" s="85"/>
      <c r="I227" s="85" t="e">
        <f>G227+I155</f>
        <v>#REF!</v>
      </c>
      <c r="J227" s="68"/>
      <c r="K227" s="68"/>
    </row>
    <row r="228" spans="1:11" x14ac:dyDescent="0.2">
      <c r="A228" s="63"/>
      <c r="B228" s="1"/>
      <c r="C228" s="62"/>
      <c r="D228" s="62">
        <v>2</v>
      </c>
      <c r="E228" s="62" t="s">
        <v>639</v>
      </c>
      <c r="F228" s="62"/>
      <c r="G228" s="85"/>
      <c r="H228" s="85"/>
      <c r="I228" s="85" t="e">
        <f t="shared" ref="I228:I231" si="8">G228+I156</f>
        <v>#REF!</v>
      </c>
      <c r="J228" s="68"/>
      <c r="K228" s="68"/>
    </row>
    <row r="229" spans="1:11" x14ac:dyDescent="0.2">
      <c r="A229" s="63"/>
      <c r="B229" s="1"/>
      <c r="C229" s="62"/>
      <c r="D229" s="62">
        <v>3</v>
      </c>
      <c r="E229" s="62" t="s">
        <v>640</v>
      </c>
      <c r="F229" s="62"/>
      <c r="G229" s="85"/>
      <c r="H229" s="85"/>
      <c r="I229" s="85" t="e">
        <f t="shared" si="8"/>
        <v>#REF!</v>
      </c>
      <c r="J229" s="68"/>
      <c r="K229" s="68"/>
    </row>
    <row r="230" spans="1:11" x14ac:dyDescent="0.2">
      <c r="A230" s="63"/>
      <c r="B230" s="1"/>
      <c r="C230" s="62"/>
      <c r="D230" s="62">
        <v>4</v>
      </c>
      <c r="E230" s="62" t="s">
        <v>645</v>
      </c>
      <c r="F230" s="62"/>
      <c r="G230" s="85"/>
      <c r="H230" s="85"/>
      <c r="I230" s="85">
        <f t="shared" si="8"/>
        <v>0</v>
      </c>
      <c r="J230" s="68"/>
      <c r="K230" s="68"/>
    </row>
    <row r="231" spans="1:11" x14ac:dyDescent="0.2">
      <c r="A231" s="63"/>
      <c r="B231" s="1"/>
      <c r="C231" s="62"/>
      <c r="D231" s="62">
        <v>5</v>
      </c>
      <c r="E231" s="62" t="s">
        <v>641</v>
      </c>
      <c r="F231" s="62"/>
      <c r="G231" s="85"/>
      <c r="H231" s="85"/>
      <c r="I231" s="85">
        <f t="shared" si="8"/>
        <v>0</v>
      </c>
      <c r="J231" s="68"/>
      <c r="K231" s="68"/>
    </row>
    <row r="232" spans="1:11" x14ac:dyDescent="0.2">
      <c r="A232" s="63"/>
      <c r="B232" s="1"/>
      <c r="C232" s="62"/>
      <c r="D232" s="62"/>
      <c r="E232" s="62"/>
      <c r="F232" s="62"/>
      <c r="G232" s="85"/>
      <c r="H232" s="85"/>
      <c r="I232" s="85"/>
      <c r="J232" s="68"/>
      <c r="K232" s="68"/>
    </row>
    <row r="233" spans="1:11" x14ac:dyDescent="0.2">
      <c r="A233" s="63"/>
      <c r="B233" s="1"/>
      <c r="C233" s="65"/>
      <c r="D233" s="65" t="s">
        <v>16</v>
      </c>
      <c r="E233" s="65"/>
      <c r="F233" s="62"/>
      <c r="G233" s="86">
        <f>SUM(G227:G231)</f>
        <v>0</v>
      </c>
      <c r="H233" s="85"/>
      <c r="I233" s="86" t="e">
        <f>SUM(I227:I231)</f>
        <v>#REF!</v>
      </c>
      <c r="J233" s="68"/>
      <c r="K233" s="68"/>
    </row>
    <row r="234" spans="1:11" x14ac:dyDescent="0.2">
      <c r="A234" s="63"/>
      <c r="B234" s="1"/>
      <c r="C234" s="65"/>
      <c r="D234" s="65"/>
      <c r="E234" s="65"/>
      <c r="F234" s="62"/>
      <c r="G234" s="73"/>
      <c r="H234" s="85"/>
      <c r="I234" s="73"/>
      <c r="J234" s="68"/>
      <c r="K234" s="68"/>
    </row>
    <row r="235" spans="1:11" x14ac:dyDescent="0.2">
      <c r="A235" s="63"/>
      <c r="B235" s="1"/>
      <c r="C235" s="65" t="s">
        <v>642</v>
      </c>
      <c r="D235" s="62"/>
      <c r="E235" s="62"/>
      <c r="F235" s="62"/>
      <c r="G235" s="85"/>
      <c r="H235" s="85"/>
      <c r="I235" s="85"/>
      <c r="J235" s="68"/>
      <c r="K235" s="68"/>
    </row>
    <row r="236" spans="1:11" x14ac:dyDescent="0.2">
      <c r="A236" s="63"/>
      <c r="B236" s="1"/>
      <c r="C236" s="62"/>
      <c r="D236" s="62">
        <v>1</v>
      </c>
      <c r="E236" s="87" t="s">
        <v>190</v>
      </c>
      <c r="F236" s="62"/>
      <c r="G236" s="85"/>
      <c r="H236" s="85"/>
      <c r="I236" s="85">
        <f>G236+I164</f>
        <v>0</v>
      </c>
      <c r="J236" s="68"/>
      <c r="K236" s="68"/>
    </row>
    <row r="237" spans="1:11" x14ac:dyDescent="0.2">
      <c r="A237" s="63"/>
      <c r="B237" s="1"/>
      <c r="C237" s="62"/>
      <c r="D237" s="62">
        <v>2</v>
      </c>
      <c r="E237" s="87" t="s">
        <v>191</v>
      </c>
      <c r="F237" s="62"/>
      <c r="G237" s="85"/>
      <c r="H237" s="85"/>
      <c r="I237" s="85">
        <f t="shared" ref="I237:I242" si="9">G237+I165</f>
        <v>0</v>
      </c>
      <c r="J237" s="68"/>
      <c r="K237" s="68"/>
    </row>
    <row r="238" spans="1:11" x14ac:dyDescent="0.2">
      <c r="A238" s="63"/>
      <c r="B238" s="1"/>
      <c r="C238" s="62"/>
      <c r="D238" s="62">
        <v>3</v>
      </c>
      <c r="E238" s="87" t="s">
        <v>643</v>
      </c>
      <c r="F238" s="67"/>
      <c r="G238" s="85"/>
      <c r="H238" s="85"/>
      <c r="I238" s="85">
        <f t="shared" si="9"/>
        <v>1200000</v>
      </c>
      <c r="J238" s="68"/>
      <c r="K238" s="68"/>
    </row>
    <row r="239" spans="1:11" x14ac:dyDescent="0.2">
      <c r="A239" s="63"/>
      <c r="B239" s="1"/>
      <c r="C239" s="62"/>
      <c r="D239" s="62">
        <v>4</v>
      </c>
      <c r="E239" s="87" t="s">
        <v>644</v>
      </c>
      <c r="F239" s="62"/>
      <c r="G239" s="85"/>
      <c r="H239" s="85"/>
      <c r="I239" s="85">
        <f t="shared" si="9"/>
        <v>0</v>
      </c>
      <c r="J239" s="68"/>
      <c r="K239" s="68"/>
    </row>
    <row r="240" spans="1:11" x14ac:dyDescent="0.2">
      <c r="A240" s="63"/>
      <c r="B240" s="1"/>
      <c r="C240" s="62"/>
      <c r="D240" s="62">
        <v>5</v>
      </c>
      <c r="E240" s="87" t="s">
        <v>632</v>
      </c>
      <c r="F240" s="67"/>
      <c r="G240" s="85"/>
      <c r="H240" s="85"/>
      <c r="I240" s="85">
        <f t="shared" si="9"/>
        <v>0</v>
      </c>
      <c r="J240" s="68"/>
      <c r="K240" s="68"/>
    </row>
    <row r="241" spans="1:11" x14ac:dyDescent="0.2">
      <c r="A241" s="63"/>
      <c r="B241" s="1"/>
      <c r="C241" s="62"/>
      <c r="D241" s="62">
        <v>6</v>
      </c>
      <c r="E241" s="87" t="s">
        <v>646</v>
      </c>
      <c r="F241" s="67"/>
      <c r="G241" s="85"/>
      <c r="H241" s="85"/>
      <c r="I241" s="85">
        <f t="shared" si="9"/>
        <v>0</v>
      </c>
      <c r="J241" s="68"/>
      <c r="K241" s="68"/>
    </row>
    <row r="242" spans="1:11" x14ac:dyDescent="0.2">
      <c r="A242" s="63"/>
      <c r="B242" s="1"/>
      <c r="C242" s="62"/>
      <c r="D242" s="62">
        <v>7</v>
      </c>
      <c r="E242" s="87" t="s">
        <v>647</v>
      </c>
      <c r="F242" s="67"/>
      <c r="G242" s="85"/>
      <c r="H242" s="85"/>
      <c r="I242" s="85">
        <f t="shared" si="9"/>
        <v>0</v>
      </c>
      <c r="J242" s="68"/>
      <c r="K242" s="68"/>
    </row>
    <row r="243" spans="1:11" x14ac:dyDescent="0.2">
      <c r="A243" s="63"/>
      <c r="B243" s="67"/>
      <c r="C243" s="65"/>
      <c r="D243" s="62"/>
      <c r="E243" s="87"/>
      <c r="F243" s="62"/>
      <c r="G243" s="85"/>
      <c r="H243" s="85"/>
      <c r="I243" s="85"/>
      <c r="J243" s="68"/>
      <c r="K243" s="68"/>
    </row>
    <row r="244" spans="1:11" x14ac:dyDescent="0.2">
      <c r="A244" s="63"/>
      <c r="B244" s="1"/>
      <c r="C244" s="62"/>
      <c r="D244" s="65" t="s">
        <v>17</v>
      </c>
      <c r="E244" s="64"/>
      <c r="F244" s="88"/>
      <c r="G244" s="86">
        <f>SUM(G236:G243)</f>
        <v>0</v>
      </c>
      <c r="H244" s="85"/>
      <c r="I244" s="86">
        <f>SUM(I236:I243)</f>
        <v>1200000</v>
      </c>
      <c r="J244" s="68"/>
      <c r="K244" s="68"/>
    </row>
    <row r="245" spans="1:11" x14ac:dyDescent="0.2">
      <c r="A245" s="63"/>
      <c r="B245" s="1"/>
      <c r="C245" s="62"/>
      <c r="D245" s="62"/>
      <c r="E245" s="62"/>
      <c r="F245" s="62"/>
      <c r="G245" s="85"/>
      <c r="H245" s="85"/>
      <c r="I245" s="85"/>
      <c r="J245" s="68"/>
      <c r="K245" s="68"/>
    </row>
    <row r="246" spans="1:11" x14ac:dyDescent="0.2">
      <c r="A246" s="63"/>
      <c r="B246" s="1"/>
      <c r="C246" s="65" t="s">
        <v>648</v>
      </c>
      <c r="D246" s="65"/>
      <c r="E246" s="65"/>
      <c r="F246" s="62"/>
      <c r="G246" s="304">
        <f>G233-G244</f>
        <v>0</v>
      </c>
      <c r="H246" s="85"/>
      <c r="I246" s="304" t="e">
        <f>I233-I244</f>
        <v>#REF!</v>
      </c>
      <c r="K246" s="68"/>
    </row>
    <row r="247" spans="1:11" x14ac:dyDescent="0.2">
      <c r="A247" s="63"/>
      <c r="B247" s="1"/>
      <c r="C247" s="62"/>
      <c r="D247" s="62"/>
      <c r="E247" s="62"/>
      <c r="F247" s="62"/>
      <c r="G247" s="85"/>
      <c r="H247" s="85"/>
      <c r="I247" s="85"/>
      <c r="J247" s="68"/>
      <c r="K247" s="68"/>
    </row>
    <row r="248" spans="1:11" x14ac:dyDescent="0.2">
      <c r="A248" s="63"/>
      <c r="B248" s="84" t="s">
        <v>650</v>
      </c>
      <c r="C248" s="84" t="s">
        <v>651</v>
      </c>
      <c r="D248" s="74"/>
      <c r="E248" s="67"/>
      <c r="F248" s="67"/>
      <c r="G248" s="85"/>
      <c r="H248" s="85"/>
      <c r="I248" s="85"/>
      <c r="J248" s="68"/>
      <c r="K248" s="68"/>
    </row>
    <row r="249" spans="1:11" x14ac:dyDescent="0.2">
      <c r="A249" s="63"/>
      <c r="B249" s="67"/>
      <c r="C249" s="65"/>
      <c r="D249" s="62" t="s">
        <v>652</v>
      </c>
      <c r="E249" s="62"/>
      <c r="F249" s="62"/>
      <c r="G249" s="85"/>
      <c r="H249" s="85"/>
      <c r="I249" s="85" t="e">
        <f>G249+I177</f>
        <v>#REF!</v>
      </c>
      <c r="J249" s="68"/>
      <c r="K249" s="68"/>
    </row>
    <row r="250" spans="1:11" x14ac:dyDescent="0.2">
      <c r="A250" s="63"/>
      <c r="B250" s="1"/>
      <c r="C250" s="65" t="s">
        <v>653</v>
      </c>
      <c r="D250" s="74"/>
      <c r="E250" s="74"/>
      <c r="F250" s="74"/>
      <c r="G250" s="86">
        <f>SUM(G249)</f>
        <v>0</v>
      </c>
      <c r="H250" s="73"/>
      <c r="I250" s="86" t="e">
        <f>SUM(I249)</f>
        <v>#REF!</v>
      </c>
      <c r="J250" s="68"/>
      <c r="K250" s="68"/>
    </row>
    <row r="251" spans="1:11" x14ac:dyDescent="0.2">
      <c r="A251" s="63"/>
      <c r="B251" s="1"/>
      <c r="C251" s="449"/>
      <c r="D251" s="449"/>
      <c r="E251" s="449"/>
      <c r="F251" s="62"/>
      <c r="G251" s="264"/>
      <c r="H251" s="89"/>
      <c r="I251" s="264"/>
      <c r="J251" s="68"/>
      <c r="K251" s="68"/>
    </row>
    <row r="252" spans="1:11" x14ac:dyDescent="0.2">
      <c r="A252" s="63"/>
      <c r="B252" s="84" t="s">
        <v>654</v>
      </c>
      <c r="C252" s="84" t="s">
        <v>655</v>
      </c>
      <c r="D252" s="62"/>
      <c r="E252" s="62"/>
      <c r="F252" s="62"/>
      <c r="G252" s="89"/>
      <c r="H252" s="89"/>
      <c r="I252" s="89"/>
      <c r="J252" s="68"/>
      <c r="K252" s="68"/>
    </row>
    <row r="253" spans="1:11" x14ac:dyDescent="0.2">
      <c r="A253" s="63"/>
      <c r="B253" s="80"/>
      <c r="C253" s="80"/>
      <c r="D253" s="62" t="s">
        <v>656</v>
      </c>
      <c r="E253" s="80"/>
      <c r="F253" s="67"/>
      <c r="G253" s="264"/>
      <c r="H253" s="89"/>
      <c r="I253" s="85">
        <f>G253+I182</f>
        <v>0</v>
      </c>
      <c r="J253" s="68"/>
      <c r="K253" s="68"/>
    </row>
    <row r="254" spans="1:11" x14ac:dyDescent="0.2">
      <c r="A254" s="63"/>
      <c r="B254" s="84"/>
      <c r="C254" s="62"/>
      <c r="D254" s="62" t="s">
        <v>657</v>
      </c>
      <c r="E254" s="62"/>
      <c r="F254" s="62"/>
      <c r="G254" s="85"/>
      <c r="H254" s="85"/>
      <c r="I254" s="85">
        <f t="shared" ref="I254:I256" si="10">G254+I183</f>
        <v>0</v>
      </c>
      <c r="J254" s="68"/>
      <c r="K254" s="68"/>
    </row>
    <row r="255" spans="1:11" x14ac:dyDescent="0.2">
      <c r="A255" s="63"/>
      <c r="B255" s="1"/>
      <c r="C255" s="62"/>
      <c r="D255" s="74" t="s">
        <v>658</v>
      </c>
      <c r="E255" s="67"/>
      <c r="F255" s="67"/>
      <c r="G255" s="85"/>
      <c r="H255" s="85"/>
      <c r="I255" s="85">
        <f t="shared" si="10"/>
        <v>0</v>
      </c>
      <c r="J255" s="68"/>
      <c r="K255" s="68"/>
    </row>
    <row r="256" spans="1:11" x14ac:dyDescent="0.2">
      <c r="A256" s="63"/>
      <c r="B256" s="67"/>
      <c r="C256" s="65"/>
      <c r="D256" s="62" t="s">
        <v>659</v>
      </c>
      <c r="E256" s="62"/>
      <c r="F256" s="62"/>
      <c r="G256" s="377"/>
      <c r="H256" s="85"/>
      <c r="I256" s="85">
        <f t="shared" si="10"/>
        <v>0</v>
      </c>
      <c r="J256" s="68"/>
      <c r="K256" s="68"/>
    </row>
    <row r="257" spans="1:11" x14ac:dyDescent="0.2">
      <c r="A257" s="63"/>
      <c r="B257" s="1"/>
      <c r="C257" s="65" t="s">
        <v>660</v>
      </c>
      <c r="D257" s="74"/>
      <c r="E257" s="74"/>
      <c r="F257" s="74"/>
      <c r="G257" s="379">
        <f>SUM(G253:G256)</f>
        <v>0</v>
      </c>
      <c r="H257" s="85"/>
      <c r="I257" s="379">
        <f>SUM(I253:I256)</f>
        <v>0</v>
      </c>
      <c r="J257" s="68"/>
      <c r="K257" s="68"/>
    </row>
    <row r="258" spans="1:11" x14ac:dyDescent="0.2">
      <c r="A258" s="63"/>
      <c r="B258" s="1"/>
      <c r="C258" s="62"/>
      <c r="D258" s="62"/>
      <c r="E258" s="62"/>
      <c r="F258" s="62"/>
      <c r="G258" s="377"/>
      <c r="H258" s="85"/>
      <c r="I258" s="85"/>
      <c r="J258" s="68"/>
      <c r="K258" s="68"/>
    </row>
    <row r="259" spans="1:11" x14ac:dyDescent="0.2">
      <c r="A259" s="63"/>
      <c r="B259" s="84" t="s">
        <v>661</v>
      </c>
      <c r="C259" s="84" t="s">
        <v>662</v>
      </c>
      <c r="D259" s="66"/>
      <c r="E259" s="66"/>
      <c r="F259" s="62"/>
      <c r="G259" s="73">
        <f>G246-G250+G257</f>
        <v>0</v>
      </c>
      <c r="H259" s="85"/>
      <c r="I259" s="73" t="e">
        <f>I246-I250+I257</f>
        <v>#REF!</v>
      </c>
      <c r="J259" s="68"/>
      <c r="K259" s="68"/>
    </row>
    <row r="260" spans="1:11" x14ac:dyDescent="0.2">
      <c r="A260" s="63"/>
      <c r="B260" s="1"/>
      <c r="C260" s="62"/>
      <c r="D260" s="62"/>
      <c r="E260" s="62"/>
      <c r="F260" s="62"/>
      <c r="G260" s="85"/>
      <c r="H260" s="85"/>
      <c r="I260" s="85"/>
      <c r="J260" s="68"/>
      <c r="K260" s="68"/>
    </row>
    <row r="261" spans="1:11" x14ac:dyDescent="0.2">
      <c r="A261" s="63"/>
      <c r="B261" s="84" t="s">
        <v>663</v>
      </c>
      <c r="C261" s="84" t="s">
        <v>664</v>
      </c>
      <c r="D261" s="66"/>
      <c r="E261" s="62"/>
      <c r="F261" s="62"/>
      <c r="G261" s="73" t="e">
        <f>G191</f>
        <v>#REF!</v>
      </c>
      <c r="H261" s="73"/>
      <c r="I261" s="73">
        <v>1312251855.8000002</v>
      </c>
      <c r="J261" s="68"/>
      <c r="K261" s="68"/>
    </row>
    <row r="262" spans="1:11" x14ac:dyDescent="0.2">
      <c r="A262" s="63"/>
      <c r="B262" s="1"/>
      <c r="C262" s="62"/>
      <c r="D262" s="62"/>
      <c r="E262" s="62"/>
      <c r="F262" s="62"/>
      <c r="G262" s="73"/>
      <c r="H262" s="73"/>
      <c r="I262" s="73"/>
      <c r="J262" s="68"/>
      <c r="K262" s="68"/>
    </row>
    <row r="263" spans="1:11" x14ac:dyDescent="0.2">
      <c r="A263" s="63"/>
      <c r="B263" s="67" t="s">
        <v>665</v>
      </c>
      <c r="C263" s="65" t="s">
        <v>664</v>
      </c>
      <c r="D263" s="62"/>
      <c r="E263" s="62"/>
      <c r="F263" s="62"/>
      <c r="G263" s="73" t="e">
        <f>G259+G261</f>
        <v>#REF!</v>
      </c>
      <c r="H263" s="73"/>
      <c r="I263" s="73" t="e">
        <f>I259+I261</f>
        <v>#REF!</v>
      </c>
      <c r="J263" s="68"/>
      <c r="K263" s="68"/>
    </row>
    <row r="264" spans="1:11" x14ac:dyDescent="0.2">
      <c r="A264" s="61"/>
      <c r="B264" s="60"/>
      <c r="C264" s="60"/>
      <c r="D264" s="60"/>
      <c r="E264" s="60"/>
      <c r="F264" s="60"/>
      <c r="G264" s="91"/>
      <c r="H264" s="91"/>
      <c r="I264" s="91"/>
      <c r="J264" s="378"/>
      <c r="K264" s="378"/>
    </row>
    <row r="265" spans="1:11" x14ac:dyDescent="0.2">
      <c r="A265" s="459"/>
      <c r="B265" s="459"/>
      <c r="C265" s="459"/>
      <c r="D265" s="459"/>
      <c r="E265" s="459"/>
      <c r="F265" s="62"/>
      <c r="G265" s="92" t="e">
        <f>#REF!</f>
        <v>#REF!</v>
      </c>
      <c r="H265" s="92"/>
      <c r="I265" s="92"/>
    </row>
    <row r="266" spans="1:11" x14ac:dyDescent="0.2">
      <c r="A266" s="447" t="s">
        <v>413</v>
      </c>
      <c r="B266" s="447"/>
      <c r="C266" s="447"/>
      <c r="D266" s="447"/>
      <c r="E266" s="447"/>
      <c r="F266" s="447" t="s">
        <v>410</v>
      </c>
      <c r="G266" s="447"/>
      <c r="H266" s="447"/>
      <c r="I266" s="447"/>
      <c r="J266" s="447"/>
      <c r="K266" s="447"/>
    </row>
    <row r="267" spans="1:11" x14ac:dyDescent="0.2">
      <c r="A267" s="447" t="s">
        <v>480</v>
      </c>
      <c r="B267" s="447"/>
      <c r="C267" s="447"/>
      <c r="D267" s="447"/>
      <c r="E267" s="447"/>
      <c r="F267" s="447" t="s">
        <v>481</v>
      </c>
      <c r="G267" s="447"/>
      <c r="H267" s="447"/>
      <c r="I267" s="447"/>
      <c r="J267" s="447"/>
      <c r="K267" s="447"/>
    </row>
    <row r="268" spans="1:11" x14ac:dyDescent="0.2">
      <c r="A268" s="447"/>
      <c r="B268" s="447"/>
      <c r="C268" s="447"/>
      <c r="D268" s="447"/>
      <c r="E268" s="447"/>
      <c r="F268" s="447"/>
      <c r="G268" s="447"/>
      <c r="H268" s="447"/>
      <c r="I268" s="447"/>
      <c r="J268" s="447"/>
      <c r="K268" s="447"/>
    </row>
    <row r="269" spans="1:11" x14ac:dyDescent="0.2">
      <c r="A269" s="447"/>
      <c r="B269" s="447"/>
      <c r="C269" s="447"/>
      <c r="D269" s="447"/>
      <c r="E269" s="447"/>
      <c r="F269" s="447"/>
      <c r="G269" s="447"/>
      <c r="H269" s="447"/>
      <c r="I269" s="447"/>
      <c r="J269" s="447"/>
      <c r="K269" s="447"/>
    </row>
    <row r="270" spans="1:11" x14ac:dyDescent="0.2">
      <c r="A270" s="447" t="s">
        <v>463</v>
      </c>
      <c r="B270" s="447"/>
      <c r="C270" s="447"/>
      <c r="D270" s="447"/>
      <c r="E270" s="447"/>
      <c r="F270" s="447" t="s">
        <v>411</v>
      </c>
      <c r="G270" s="447"/>
      <c r="H270" s="447"/>
      <c r="I270" s="447"/>
      <c r="J270" s="447"/>
      <c r="K270" s="447"/>
    </row>
    <row r="271" spans="1:11" x14ac:dyDescent="0.2">
      <c r="A271" s="447"/>
      <c r="B271" s="447"/>
      <c r="C271" s="447"/>
      <c r="D271" s="447"/>
      <c r="E271" s="447"/>
      <c r="F271" s="447"/>
      <c r="G271" s="447"/>
      <c r="H271" s="447"/>
      <c r="I271" s="447"/>
      <c r="J271" s="447"/>
      <c r="K271" s="447"/>
    </row>
    <row r="272" spans="1:11" x14ac:dyDescent="0.2">
      <c r="A272" s="447"/>
      <c r="B272" s="447"/>
      <c r="C272" s="447"/>
      <c r="D272" s="447"/>
      <c r="E272" s="447"/>
      <c r="F272" s="447"/>
      <c r="G272" s="447"/>
      <c r="H272" s="447"/>
      <c r="I272" s="447"/>
      <c r="J272" s="447"/>
      <c r="K272" s="447"/>
    </row>
    <row r="288" spans="1:6" x14ac:dyDescent="0.2">
      <c r="A288" s="450" t="s">
        <v>633</v>
      </c>
      <c r="B288" s="450"/>
      <c r="C288" s="374" t="s">
        <v>634</v>
      </c>
      <c r="D288" s="62"/>
      <c r="E288" s="62"/>
      <c r="F288" s="62"/>
    </row>
    <row r="289" spans="1:11" x14ac:dyDescent="0.2">
      <c r="B289" s="62"/>
      <c r="C289" s="62"/>
      <c r="D289" s="62"/>
      <c r="E289" s="62"/>
      <c r="F289" s="62"/>
    </row>
    <row r="290" spans="1:11" ht="15" x14ac:dyDescent="0.25">
      <c r="A290" s="69"/>
      <c r="B290" s="452"/>
      <c r="C290" s="452"/>
      <c r="D290" s="452"/>
      <c r="E290" s="452"/>
      <c r="F290" s="452"/>
      <c r="G290" s="452"/>
      <c r="H290" s="452"/>
      <c r="I290" s="452"/>
      <c r="J290" s="375"/>
      <c r="K290" s="375"/>
    </row>
    <row r="291" spans="1:11" ht="15" x14ac:dyDescent="0.25">
      <c r="A291" s="63"/>
      <c r="B291" s="448" t="s">
        <v>462</v>
      </c>
      <c r="C291" s="448"/>
      <c r="D291" s="448"/>
      <c r="E291" s="448"/>
      <c r="F291" s="448"/>
      <c r="G291" s="448"/>
      <c r="H291" s="448"/>
      <c r="I291" s="448"/>
      <c r="J291" s="68"/>
      <c r="K291" s="68"/>
    </row>
    <row r="292" spans="1:11" ht="15" x14ac:dyDescent="0.25">
      <c r="A292" s="63"/>
      <c r="B292" s="448" t="s">
        <v>15</v>
      </c>
      <c r="C292" s="448"/>
      <c r="D292" s="448"/>
      <c r="E292" s="448"/>
      <c r="F292" s="448"/>
      <c r="G292" s="448"/>
      <c r="H292" s="448"/>
      <c r="I292" s="448"/>
      <c r="J292" s="68"/>
      <c r="K292" s="68"/>
    </row>
    <row r="293" spans="1:11" ht="15" x14ac:dyDescent="0.25">
      <c r="A293" s="63"/>
      <c r="B293" s="451" t="s">
        <v>668</v>
      </c>
      <c r="C293" s="451"/>
      <c r="D293" s="451"/>
      <c r="E293" s="451"/>
      <c r="F293" s="451"/>
      <c r="G293" s="451"/>
      <c r="H293" s="451"/>
      <c r="I293" s="451"/>
      <c r="J293" s="68"/>
      <c r="K293" s="68"/>
    </row>
    <row r="294" spans="1:11" x14ac:dyDescent="0.2">
      <c r="A294" s="63"/>
      <c r="B294" s="62"/>
      <c r="C294" s="62"/>
      <c r="D294" s="62"/>
      <c r="E294" s="62"/>
      <c r="F294" s="62"/>
      <c r="J294" s="68"/>
      <c r="K294" s="68"/>
    </row>
    <row r="295" spans="1:11" x14ac:dyDescent="0.2">
      <c r="A295" s="63"/>
      <c r="B295" s="453" t="s">
        <v>10</v>
      </c>
      <c r="C295" s="454"/>
      <c r="D295" s="454"/>
      <c r="E295" s="455"/>
      <c r="F295" s="64"/>
      <c r="G295" s="82" t="s">
        <v>12</v>
      </c>
      <c r="H295" s="64"/>
      <c r="I295" s="82" t="s">
        <v>13</v>
      </c>
      <c r="J295" s="68"/>
      <c r="K295" s="68"/>
    </row>
    <row r="296" spans="1:11" x14ac:dyDescent="0.2">
      <c r="A296" s="63"/>
      <c r="B296" s="456"/>
      <c r="C296" s="457"/>
      <c r="D296" s="457"/>
      <c r="E296" s="458"/>
      <c r="F296" s="64"/>
      <c r="G296" s="83" t="s">
        <v>14</v>
      </c>
      <c r="H296" s="64"/>
      <c r="I296" s="83" t="s">
        <v>14</v>
      </c>
      <c r="J296" s="68"/>
      <c r="K296" s="68"/>
    </row>
    <row r="297" spans="1:11" x14ac:dyDescent="0.2">
      <c r="A297" s="63"/>
      <c r="B297" s="84" t="s">
        <v>636</v>
      </c>
      <c r="C297" s="84" t="s">
        <v>649</v>
      </c>
      <c r="D297" s="84"/>
      <c r="E297" s="62"/>
      <c r="F297" s="62"/>
      <c r="G297" s="85"/>
      <c r="H297" s="85"/>
      <c r="I297" s="85"/>
      <c r="J297" s="68"/>
      <c r="K297" s="68"/>
    </row>
    <row r="298" spans="1:11" x14ac:dyDescent="0.2">
      <c r="A298" s="63"/>
      <c r="B298" s="1"/>
      <c r="C298" s="65" t="s">
        <v>637</v>
      </c>
      <c r="D298" s="62"/>
      <c r="E298" s="62"/>
      <c r="F298" s="62"/>
      <c r="G298" s="85"/>
      <c r="H298" s="85"/>
      <c r="I298" s="85"/>
      <c r="J298" s="68"/>
      <c r="K298" s="68"/>
    </row>
    <row r="299" spans="1:11" x14ac:dyDescent="0.2">
      <c r="A299" s="63"/>
      <c r="B299" s="1"/>
      <c r="C299" s="62"/>
      <c r="D299" s="62">
        <v>1</v>
      </c>
      <c r="E299" s="62" t="s">
        <v>638</v>
      </c>
      <c r="F299" s="62"/>
      <c r="G299" s="85"/>
      <c r="H299" s="85"/>
      <c r="I299" s="85" t="e">
        <f>G299+I227</f>
        <v>#REF!</v>
      </c>
      <c r="J299" s="68"/>
      <c r="K299" s="68"/>
    </row>
    <row r="300" spans="1:11" x14ac:dyDescent="0.2">
      <c r="A300" s="63"/>
      <c r="B300" s="1"/>
      <c r="C300" s="62"/>
      <c r="D300" s="62">
        <v>2</v>
      </c>
      <c r="E300" s="62" t="s">
        <v>639</v>
      </c>
      <c r="F300" s="62"/>
      <c r="G300" s="85"/>
      <c r="H300" s="85"/>
      <c r="I300" s="85" t="e">
        <f t="shared" ref="I300:I303" si="11">G300+I228</f>
        <v>#REF!</v>
      </c>
      <c r="J300" s="68"/>
      <c r="K300" s="68"/>
    </row>
    <row r="301" spans="1:11" x14ac:dyDescent="0.2">
      <c r="A301" s="63"/>
      <c r="B301" s="1"/>
      <c r="C301" s="62"/>
      <c r="D301" s="62">
        <v>3</v>
      </c>
      <c r="E301" s="62" t="s">
        <v>640</v>
      </c>
      <c r="F301" s="62"/>
      <c r="G301" s="85"/>
      <c r="H301" s="85"/>
      <c r="I301" s="85" t="e">
        <f t="shared" si="11"/>
        <v>#REF!</v>
      </c>
      <c r="J301" s="68"/>
      <c r="K301" s="68"/>
    </row>
    <row r="302" spans="1:11" x14ac:dyDescent="0.2">
      <c r="A302" s="63"/>
      <c r="B302" s="1"/>
      <c r="C302" s="62"/>
      <c r="D302" s="62">
        <v>4</v>
      </c>
      <c r="E302" s="62" t="s">
        <v>645</v>
      </c>
      <c r="F302" s="62"/>
      <c r="G302" s="85"/>
      <c r="H302" s="85"/>
      <c r="I302" s="85">
        <f t="shared" si="11"/>
        <v>0</v>
      </c>
      <c r="J302" s="68"/>
      <c r="K302" s="68"/>
    </row>
    <row r="303" spans="1:11" x14ac:dyDescent="0.2">
      <c r="A303" s="63"/>
      <c r="B303" s="1"/>
      <c r="C303" s="62"/>
      <c r="D303" s="62">
        <v>5</v>
      </c>
      <c r="E303" s="62" t="s">
        <v>641</v>
      </c>
      <c r="F303" s="62"/>
      <c r="G303" s="85"/>
      <c r="H303" s="85"/>
      <c r="I303" s="85">
        <f t="shared" si="11"/>
        <v>0</v>
      </c>
      <c r="J303" s="68"/>
      <c r="K303" s="68"/>
    </row>
    <row r="304" spans="1:11" x14ac:dyDescent="0.2">
      <c r="A304" s="63"/>
      <c r="B304" s="1"/>
      <c r="C304" s="62"/>
      <c r="D304" s="62"/>
      <c r="E304" s="62"/>
      <c r="F304" s="62"/>
      <c r="G304" s="85"/>
      <c r="H304" s="85"/>
      <c r="I304" s="85"/>
      <c r="J304" s="68"/>
      <c r="K304" s="68"/>
    </row>
    <row r="305" spans="1:11" x14ac:dyDescent="0.2">
      <c r="A305" s="63"/>
      <c r="B305" s="1"/>
      <c r="C305" s="65"/>
      <c r="D305" s="65" t="s">
        <v>16</v>
      </c>
      <c r="E305" s="65"/>
      <c r="F305" s="62"/>
      <c r="G305" s="86">
        <f>SUM(G299:G303)</f>
        <v>0</v>
      </c>
      <c r="H305" s="85"/>
      <c r="I305" s="86" t="e">
        <f>SUM(I299:I303)</f>
        <v>#REF!</v>
      </c>
      <c r="J305" s="68"/>
      <c r="K305" s="68"/>
    </row>
    <row r="306" spans="1:11" x14ac:dyDescent="0.2">
      <c r="A306" s="63"/>
      <c r="B306" s="1"/>
      <c r="C306" s="65"/>
      <c r="D306" s="65"/>
      <c r="E306" s="65"/>
      <c r="F306" s="62"/>
      <c r="G306" s="73"/>
      <c r="H306" s="85"/>
      <c r="I306" s="73"/>
      <c r="J306" s="68"/>
      <c r="K306" s="68"/>
    </row>
    <row r="307" spans="1:11" x14ac:dyDescent="0.2">
      <c r="A307" s="63"/>
      <c r="B307" s="1"/>
      <c r="C307" s="65" t="s">
        <v>642</v>
      </c>
      <c r="D307" s="62"/>
      <c r="E307" s="62"/>
      <c r="F307" s="62"/>
      <c r="G307" s="85"/>
      <c r="H307" s="85"/>
      <c r="I307" s="85"/>
      <c r="J307" s="68"/>
      <c r="K307" s="68"/>
    </row>
    <row r="308" spans="1:11" x14ac:dyDescent="0.2">
      <c r="A308" s="63"/>
      <c r="B308" s="1"/>
      <c r="C308" s="62"/>
      <c r="D308" s="62">
        <v>1</v>
      </c>
      <c r="E308" s="87" t="s">
        <v>190</v>
      </c>
      <c r="F308" s="62"/>
      <c r="G308" s="85"/>
      <c r="H308" s="85"/>
      <c r="I308" s="85">
        <f>G308+I236</f>
        <v>0</v>
      </c>
      <c r="J308" s="68"/>
      <c r="K308" s="68"/>
    </row>
    <row r="309" spans="1:11" x14ac:dyDescent="0.2">
      <c r="A309" s="63"/>
      <c r="B309" s="1"/>
      <c r="C309" s="62"/>
      <c r="D309" s="62">
        <v>2</v>
      </c>
      <c r="E309" s="87" t="s">
        <v>191</v>
      </c>
      <c r="F309" s="62"/>
      <c r="G309" s="85"/>
      <c r="H309" s="85"/>
      <c r="I309" s="85">
        <f t="shared" ref="I309:I314" si="12">G309+I237</f>
        <v>0</v>
      </c>
      <c r="J309" s="68"/>
      <c r="K309" s="68"/>
    </row>
    <row r="310" spans="1:11" x14ac:dyDescent="0.2">
      <c r="A310" s="63"/>
      <c r="B310" s="1"/>
      <c r="C310" s="62"/>
      <c r="D310" s="62">
        <v>3</v>
      </c>
      <c r="E310" s="87" t="s">
        <v>643</v>
      </c>
      <c r="F310" s="67"/>
      <c r="G310" s="85"/>
      <c r="H310" s="85"/>
      <c r="I310" s="85">
        <f t="shared" si="12"/>
        <v>1200000</v>
      </c>
      <c r="J310" s="68"/>
      <c r="K310" s="68"/>
    </row>
    <row r="311" spans="1:11" x14ac:dyDescent="0.2">
      <c r="A311" s="63"/>
      <c r="B311" s="1"/>
      <c r="C311" s="62"/>
      <c r="D311" s="62">
        <v>4</v>
      </c>
      <c r="E311" s="87" t="s">
        <v>644</v>
      </c>
      <c r="F311" s="62"/>
      <c r="G311" s="85"/>
      <c r="H311" s="85"/>
      <c r="I311" s="85">
        <f t="shared" si="12"/>
        <v>0</v>
      </c>
      <c r="J311" s="68"/>
      <c r="K311" s="68"/>
    </row>
    <row r="312" spans="1:11" x14ac:dyDescent="0.2">
      <c r="A312" s="63"/>
      <c r="B312" s="1"/>
      <c r="C312" s="62"/>
      <c r="D312" s="62">
        <v>5</v>
      </c>
      <c r="E312" s="87" t="s">
        <v>632</v>
      </c>
      <c r="F312" s="67"/>
      <c r="G312" s="85"/>
      <c r="H312" s="85"/>
      <c r="I312" s="85">
        <f t="shared" si="12"/>
        <v>0</v>
      </c>
      <c r="J312" s="68"/>
      <c r="K312" s="68"/>
    </row>
    <row r="313" spans="1:11" x14ac:dyDescent="0.2">
      <c r="A313" s="63"/>
      <c r="B313" s="1"/>
      <c r="C313" s="62"/>
      <c r="D313" s="62">
        <v>6</v>
      </c>
      <c r="E313" s="87" t="s">
        <v>646</v>
      </c>
      <c r="F313" s="67"/>
      <c r="G313" s="85"/>
      <c r="H313" s="85"/>
      <c r="I313" s="85">
        <f t="shared" si="12"/>
        <v>0</v>
      </c>
      <c r="J313" s="68"/>
      <c r="K313" s="68"/>
    </row>
    <row r="314" spans="1:11" x14ac:dyDescent="0.2">
      <c r="A314" s="63"/>
      <c r="B314" s="1"/>
      <c r="C314" s="62"/>
      <c r="D314" s="62">
        <v>7</v>
      </c>
      <c r="E314" s="87" t="s">
        <v>647</v>
      </c>
      <c r="F314" s="67"/>
      <c r="G314" s="85"/>
      <c r="H314" s="85"/>
      <c r="I314" s="85">
        <f t="shared" si="12"/>
        <v>0</v>
      </c>
      <c r="J314" s="68"/>
      <c r="K314" s="68"/>
    </row>
    <row r="315" spans="1:11" x14ac:dyDescent="0.2">
      <c r="A315" s="63"/>
      <c r="B315" s="67"/>
      <c r="C315" s="65"/>
      <c r="D315" s="62"/>
      <c r="E315" s="87"/>
      <c r="F315" s="62"/>
      <c r="G315" s="85"/>
      <c r="H315" s="85"/>
      <c r="I315" s="85"/>
      <c r="J315" s="68"/>
      <c r="K315" s="68"/>
    </row>
    <row r="316" spans="1:11" x14ac:dyDescent="0.2">
      <c r="A316" s="63"/>
      <c r="B316" s="1"/>
      <c r="C316" s="62"/>
      <c r="D316" s="65" t="s">
        <v>17</v>
      </c>
      <c r="E316" s="64"/>
      <c r="F316" s="88"/>
      <c r="G316" s="86">
        <f>SUM(G308:G315)</f>
        <v>0</v>
      </c>
      <c r="H316" s="85"/>
      <c r="I316" s="86">
        <f>SUM(I308:I315)</f>
        <v>1200000</v>
      </c>
      <c r="J316" s="68"/>
      <c r="K316" s="68"/>
    </row>
    <row r="317" spans="1:11" x14ac:dyDescent="0.2">
      <c r="A317" s="63"/>
      <c r="B317" s="1"/>
      <c r="C317" s="62"/>
      <c r="D317" s="62"/>
      <c r="E317" s="62"/>
      <c r="F317" s="62"/>
      <c r="G317" s="85"/>
      <c r="H317" s="85"/>
      <c r="I317" s="85"/>
      <c r="J317" s="68"/>
      <c r="K317" s="68"/>
    </row>
    <row r="318" spans="1:11" x14ac:dyDescent="0.2">
      <c r="A318" s="63"/>
      <c r="B318" s="1"/>
      <c r="C318" s="65" t="s">
        <v>648</v>
      </c>
      <c r="D318" s="65"/>
      <c r="E318" s="65"/>
      <c r="F318" s="62"/>
      <c r="G318" s="304">
        <f>G305-G316</f>
        <v>0</v>
      </c>
      <c r="H318" s="85"/>
      <c r="I318" s="304" t="e">
        <f>I305-I316</f>
        <v>#REF!</v>
      </c>
      <c r="K318" s="68"/>
    </row>
    <row r="319" spans="1:11" x14ac:dyDescent="0.2">
      <c r="A319" s="63"/>
      <c r="B319" s="1"/>
      <c r="C319" s="62"/>
      <c r="D319" s="62"/>
      <c r="E319" s="62"/>
      <c r="F319" s="62"/>
      <c r="G319" s="85"/>
      <c r="H319" s="85"/>
      <c r="I319" s="85"/>
      <c r="J319" s="68"/>
      <c r="K319" s="68"/>
    </row>
    <row r="320" spans="1:11" x14ac:dyDescent="0.2">
      <c r="A320" s="63"/>
      <c r="B320" s="84" t="s">
        <v>650</v>
      </c>
      <c r="C320" s="84" t="s">
        <v>651</v>
      </c>
      <c r="D320" s="74"/>
      <c r="E320" s="67"/>
      <c r="F320" s="67"/>
      <c r="G320" s="85"/>
      <c r="H320" s="85"/>
      <c r="I320" s="85"/>
      <c r="J320" s="68"/>
      <c r="K320" s="68"/>
    </row>
    <row r="321" spans="1:11" x14ac:dyDescent="0.2">
      <c r="A321" s="63"/>
      <c r="B321" s="67"/>
      <c r="C321" s="65"/>
      <c r="D321" s="62" t="s">
        <v>652</v>
      </c>
      <c r="E321" s="62"/>
      <c r="F321" s="62"/>
      <c r="G321" s="85"/>
      <c r="H321" s="85"/>
      <c r="I321" s="85" t="e">
        <f>G321+I249</f>
        <v>#REF!</v>
      </c>
      <c r="J321" s="68"/>
      <c r="K321" s="68"/>
    </row>
    <row r="322" spans="1:11" x14ac:dyDescent="0.2">
      <c r="A322" s="63"/>
      <c r="B322" s="1"/>
      <c r="C322" s="65" t="s">
        <v>653</v>
      </c>
      <c r="D322" s="74"/>
      <c r="E322" s="74"/>
      <c r="F322" s="74"/>
      <c r="G322" s="86">
        <f>SUM(G321)</f>
        <v>0</v>
      </c>
      <c r="H322" s="73"/>
      <c r="I322" s="86" t="e">
        <f>SUM(I321)</f>
        <v>#REF!</v>
      </c>
      <c r="J322" s="68"/>
      <c r="K322" s="68"/>
    </row>
    <row r="323" spans="1:11" x14ac:dyDescent="0.2">
      <c r="A323" s="63"/>
      <c r="B323" s="1"/>
      <c r="C323" s="449"/>
      <c r="D323" s="449"/>
      <c r="E323" s="449"/>
      <c r="F323" s="62"/>
      <c r="G323" s="264"/>
      <c r="H323" s="89"/>
      <c r="I323" s="264"/>
      <c r="J323" s="68"/>
      <c r="K323" s="68"/>
    </row>
    <row r="324" spans="1:11" x14ac:dyDescent="0.2">
      <c r="A324" s="63"/>
      <c r="B324" s="84" t="s">
        <v>654</v>
      </c>
      <c r="C324" s="84" t="s">
        <v>655</v>
      </c>
      <c r="D324" s="62"/>
      <c r="E324" s="62"/>
      <c r="F324" s="62"/>
      <c r="G324" s="89"/>
      <c r="H324" s="89"/>
      <c r="I324" s="89"/>
      <c r="J324" s="68"/>
      <c r="K324" s="68"/>
    </row>
    <row r="325" spans="1:11" x14ac:dyDescent="0.2">
      <c r="A325" s="63"/>
      <c r="B325" s="80"/>
      <c r="C325" s="80"/>
      <c r="D325" s="62" t="s">
        <v>656</v>
      </c>
      <c r="E325" s="80"/>
      <c r="F325" s="67"/>
      <c r="G325" s="264"/>
      <c r="H325" s="89"/>
      <c r="I325" s="85">
        <f>G325+I254</f>
        <v>0</v>
      </c>
      <c r="J325" s="68"/>
      <c r="K325" s="68"/>
    </row>
    <row r="326" spans="1:11" x14ac:dyDescent="0.2">
      <c r="A326" s="63"/>
      <c r="B326" s="84"/>
      <c r="C326" s="62"/>
      <c r="D326" s="62" t="s">
        <v>657</v>
      </c>
      <c r="E326" s="62"/>
      <c r="F326" s="62"/>
      <c r="G326" s="85"/>
      <c r="H326" s="85"/>
      <c r="I326" s="85">
        <f t="shared" ref="I326:I328" si="13">G326+I255</f>
        <v>0</v>
      </c>
      <c r="J326" s="68"/>
      <c r="K326" s="68"/>
    </row>
    <row r="327" spans="1:11" x14ac:dyDescent="0.2">
      <c r="A327" s="63"/>
      <c r="B327" s="1"/>
      <c r="C327" s="62"/>
      <c r="D327" s="74" t="s">
        <v>658</v>
      </c>
      <c r="E327" s="67"/>
      <c r="F327" s="67"/>
      <c r="G327" s="85"/>
      <c r="H327" s="85"/>
      <c r="I327" s="85">
        <f t="shared" si="13"/>
        <v>0</v>
      </c>
      <c r="J327" s="68"/>
      <c r="K327" s="68"/>
    </row>
    <row r="328" spans="1:11" x14ac:dyDescent="0.2">
      <c r="A328" s="63"/>
      <c r="B328" s="67"/>
      <c r="C328" s="65"/>
      <c r="D328" s="62" t="s">
        <v>659</v>
      </c>
      <c r="E328" s="62"/>
      <c r="F328" s="62"/>
      <c r="G328" s="377"/>
      <c r="H328" s="85"/>
      <c r="I328" s="85">
        <f t="shared" si="13"/>
        <v>0</v>
      </c>
      <c r="J328" s="68"/>
      <c r="K328" s="68"/>
    </row>
    <row r="329" spans="1:11" x14ac:dyDescent="0.2">
      <c r="A329" s="63"/>
      <c r="B329" s="1"/>
      <c r="C329" s="65" t="s">
        <v>660</v>
      </c>
      <c r="D329" s="74"/>
      <c r="E329" s="74"/>
      <c r="F329" s="74"/>
      <c r="G329" s="379">
        <f>SUM(G325:G328)</f>
        <v>0</v>
      </c>
      <c r="H329" s="85"/>
      <c r="I329" s="379">
        <f>SUM(I325:I328)</f>
        <v>0</v>
      </c>
      <c r="J329" s="68"/>
      <c r="K329" s="68"/>
    </row>
    <row r="330" spans="1:11" x14ac:dyDescent="0.2">
      <c r="A330" s="63"/>
      <c r="B330" s="1"/>
      <c r="C330" s="62"/>
      <c r="D330" s="62"/>
      <c r="E330" s="62"/>
      <c r="F330" s="62"/>
      <c r="G330" s="377"/>
      <c r="H330" s="85"/>
      <c r="I330" s="85"/>
      <c r="J330" s="68"/>
      <c r="K330" s="68"/>
    </row>
    <row r="331" spans="1:11" x14ac:dyDescent="0.2">
      <c r="A331" s="63"/>
      <c r="B331" s="84" t="s">
        <v>661</v>
      </c>
      <c r="C331" s="84" t="s">
        <v>662</v>
      </c>
      <c r="D331" s="66"/>
      <c r="E331" s="66"/>
      <c r="F331" s="62"/>
      <c r="G331" s="73">
        <f>G318-G322+G329</f>
        <v>0</v>
      </c>
      <c r="H331" s="85"/>
      <c r="I331" s="73" t="e">
        <f>I318-I322+I329</f>
        <v>#REF!</v>
      </c>
      <c r="J331" s="68"/>
      <c r="K331" s="68"/>
    </row>
    <row r="332" spans="1:11" x14ac:dyDescent="0.2">
      <c r="A332" s="63"/>
      <c r="B332" s="1"/>
      <c r="C332" s="62"/>
      <c r="D332" s="62"/>
      <c r="E332" s="62"/>
      <c r="F332" s="62"/>
      <c r="G332" s="85"/>
      <c r="H332" s="85"/>
      <c r="I332" s="85"/>
      <c r="J332" s="68"/>
      <c r="K332" s="68"/>
    </row>
    <row r="333" spans="1:11" x14ac:dyDescent="0.2">
      <c r="A333" s="63"/>
      <c r="B333" s="84" t="s">
        <v>663</v>
      </c>
      <c r="C333" s="84" t="s">
        <v>664</v>
      </c>
      <c r="D333" s="66"/>
      <c r="E333" s="62"/>
      <c r="F333" s="62"/>
      <c r="G333" s="73" t="e">
        <f>G263</f>
        <v>#REF!</v>
      </c>
      <c r="H333" s="73"/>
      <c r="I333" s="73">
        <v>1312251855.8000002</v>
      </c>
      <c r="J333" s="68"/>
      <c r="K333" s="68"/>
    </row>
    <row r="334" spans="1:11" x14ac:dyDescent="0.2">
      <c r="A334" s="63"/>
      <c r="B334" s="1"/>
      <c r="C334" s="62"/>
      <c r="D334" s="62"/>
      <c r="E334" s="62"/>
      <c r="F334" s="62"/>
      <c r="G334" s="73"/>
      <c r="H334" s="73"/>
      <c r="I334" s="73"/>
      <c r="J334" s="68"/>
      <c r="K334" s="68"/>
    </row>
    <row r="335" spans="1:11" x14ac:dyDescent="0.2">
      <c r="A335" s="63"/>
      <c r="B335" s="67" t="s">
        <v>665</v>
      </c>
      <c r="C335" s="65" t="s">
        <v>664</v>
      </c>
      <c r="D335" s="62"/>
      <c r="E335" s="62"/>
      <c r="F335" s="62"/>
      <c r="G335" s="73" t="e">
        <f>G331+G333</f>
        <v>#REF!</v>
      </c>
      <c r="H335" s="73"/>
      <c r="I335" s="73" t="e">
        <f>I331+I333</f>
        <v>#REF!</v>
      </c>
      <c r="J335" s="68"/>
      <c r="K335" s="68"/>
    </row>
    <row r="336" spans="1:11" x14ac:dyDescent="0.2">
      <c r="A336" s="61"/>
      <c r="B336" s="60"/>
      <c r="C336" s="60"/>
      <c r="D336" s="60"/>
      <c r="E336" s="60"/>
      <c r="F336" s="60"/>
      <c r="G336" s="91"/>
      <c r="H336" s="91"/>
      <c r="I336" s="91"/>
      <c r="J336" s="378"/>
      <c r="K336" s="378"/>
    </row>
    <row r="337" spans="1:11" x14ac:dyDescent="0.2">
      <c r="A337" s="459"/>
      <c r="B337" s="459"/>
      <c r="C337" s="459"/>
      <c r="D337" s="459"/>
      <c r="E337" s="459"/>
      <c r="F337" s="62"/>
      <c r="G337" s="92" t="e">
        <f>#REF!</f>
        <v>#REF!</v>
      </c>
      <c r="H337" s="92"/>
      <c r="I337" s="92"/>
    </row>
    <row r="338" spans="1:11" x14ac:dyDescent="0.2">
      <c r="A338" s="447" t="s">
        <v>413</v>
      </c>
      <c r="B338" s="447"/>
      <c r="C338" s="447"/>
      <c r="D338" s="447"/>
      <c r="E338" s="447"/>
      <c r="F338" s="447" t="s">
        <v>410</v>
      </c>
      <c r="G338" s="447"/>
      <c r="H338" s="447"/>
      <c r="I338" s="447"/>
      <c r="J338" s="447"/>
      <c r="K338" s="447"/>
    </row>
    <row r="339" spans="1:11" x14ac:dyDescent="0.2">
      <c r="A339" s="447" t="s">
        <v>480</v>
      </c>
      <c r="B339" s="447"/>
      <c r="C339" s="447"/>
      <c r="D339" s="447"/>
      <c r="E339" s="447"/>
      <c r="F339" s="447" t="s">
        <v>481</v>
      </c>
      <c r="G339" s="447"/>
      <c r="H339" s="447"/>
      <c r="I339" s="447"/>
      <c r="J339" s="447"/>
      <c r="K339" s="447"/>
    </row>
    <row r="340" spans="1:11" x14ac:dyDescent="0.2">
      <c r="A340" s="447"/>
      <c r="B340" s="447"/>
      <c r="C340" s="447"/>
      <c r="D340" s="447"/>
      <c r="E340" s="447"/>
      <c r="F340" s="447"/>
      <c r="G340" s="447"/>
      <c r="H340" s="447"/>
      <c r="I340" s="447"/>
      <c r="J340" s="447"/>
      <c r="K340" s="447"/>
    </row>
    <row r="341" spans="1:11" x14ac:dyDescent="0.2">
      <c r="A341" s="447"/>
      <c r="B341" s="447"/>
      <c r="C341" s="447"/>
      <c r="D341" s="447"/>
      <c r="E341" s="447"/>
      <c r="F341" s="447"/>
      <c r="G341" s="447"/>
      <c r="H341" s="447"/>
      <c r="I341" s="447"/>
      <c r="J341" s="447"/>
      <c r="K341" s="447"/>
    </row>
    <row r="342" spans="1:11" x14ac:dyDescent="0.2">
      <c r="A342" s="447" t="s">
        <v>463</v>
      </c>
      <c r="B342" s="447"/>
      <c r="C342" s="447"/>
      <c r="D342" s="447"/>
      <c r="E342" s="447"/>
      <c r="F342" s="447" t="s">
        <v>411</v>
      </c>
      <c r="G342" s="447"/>
      <c r="H342" s="447"/>
      <c r="I342" s="447"/>
      <c r="J342" s="447"/>
      <c r="K342" s="447"/>
    </row>
    <row r="343" spans="1:11" x14ac:dyDescent="0.2">
      <c r="A343" s="447"/>
      <c r="B343" s="447"/>
      <c r="C343" s="447"/>
      <c r="D343" s="447"/>
      <c r="E343" s="447"/>
      <c r="F343" s="447"/>
      <c r="G343" s="447"/>
      <c r="H343" s="447"/>
      <c r="I343" s="447"/>
      <c r="J343" s="447"/>
      <c r="K343" s="447"/>
    </row>
    <row r="344" spans="1:11" x14ac:dyDescent="0.2">
      <c r="A344" s="447"/>
      <c r="B344" s="447"/>
      <c r="C344" s="447"/>
      <c r="D344" s="447"/>
      <c r="E344" s="447"/>
      <c r="F344" s="447"/>
      <c r="G344" s="447"/>
      <c r="H344" s="447"/>
      <c r="I344" s="447"/>
      <c r="J344" s="447"/>
      <c r="K344" s="447"/>
    </row>
    <row r="360" spans="1:11" x14ac:dyDescent="0.2">
      <c r="A360" s="450" t="s">
        <v>633</v>
      </c>
      <c r="B360" s="450"/>
      <c r="C360" s="374" t="s">
        <v>634</v>
      </c>
      <c r="D360" s="62"/>
      <c r="E360" s="62"/>
      <c r="F360" s="62"/>
    </row>
    <row r="361" spans="1:11" x14ac:dyDescent="0.2">
      <c r="B361" s="62"/>
      <c r="C361" s="62"/>
      <c r="D361" s="62"/>
      <c r="E361" s="62"/>
      <c r="F361" s="62"/>
    </row>
    <row r="362" spans="1:11" ht="15" x14ac:dyDescent="0.25">
      <c r="A362" s="69"/>
      <c r="B362" s="452"/>
      <c r="C362" s="452"/>
      <c r="D362" s="452"/>
      <c r="E362" s="452"/>
      <c r="F362" s="452"/>
      <c r="G362" s="452"/>
      <c r="H362" s="452"/>
      <c r="I362" s="452"/>
      <c r="J362" s="375"/>
      <c r="K362" s="375"/>
    </row>
    <row r="363" spans="1:11" ht="15" x14ac:dyDescent="0.25">
      <c r="A363" s="63"/>
      <c r="B363" s="448" t="s">
        <v>462</v>
      </c>
      <c r="C363" s="448"/>
      <c r="D363" s="448"/>
      <c r="E363" s="448"/>
      <c r="F363" s="448"/>
      <c r="G363" s="448"/>
      <c r="H363" s="448"/>
      <c r="I363" s="448"/>
      <c r="J363" s="68"/>
      <c r="K363" s="68"/>
    </row>
    <row r="364" spans="1:11" ht="15" x14ac:dyDescent="0.25">
      <c r="A364" s="63"/>
      <c r="B364" s="448" t="s">
        <v>15</v>
      </c>
      <c r="C364" s="448"/>
      <c r="D364" s="448"/>
      <c r="E364" s="448"/>
      <c r="F364" s="448"/>
      <c r="G364" s="448"/>
      <c r="H364" s="448"/>
      <c r="I364" s="448"/>
      <c r="J364" s="68"/>
      <c r="K364" s="68"/>
    </row>
    <row r="365" spans="1:11" ht="15" x14ac:dyDescent="0.25">
      <c r="A365" s="63"/>
      <c r="B365" s="451" t="s">
        <v>669</v>
      </c>
      <c r="C365" s="451"/>
      <c r="D365" s="451"/>
      <c r="E365" s="451"/>
      <c r="F365" s="451"/>
      <c r="G365" s="451"/>
      <c r="H365" s="451"/>
      <c r="I365" s="451"/>
      <c r="J365" s="68"/>
      <c r="K365" s="68"/>
    </row>
    <row r="366" spans="1:11" x14ac:dyDescent="0.2">
      <c r="A366" s="63"/>
      <c r="B366" s="62"/>
      <c r="C366" s="62"/>
      <c r="D366" s="62"/>
      <c r="E366" s="62"/>
      <c r="F366" s="62"/>
      <c r="J366" s="68"/>
      <c r="K366" s="68"/>
    </row>
    <row r="367" spans="1:11" x14ac:dyDescent="0.2">
      <c r="A367" s="63"/>
      <c r="B367" s="453" t="s">
        <v>10</v>
      </c>
      <c r="C367" s="454"/>
      <c r="D367" s="454"/>
      <c r="E367" s="455"/>
      <c r="F367" s="64"/>
      <c r="G367" s="82" t="s">
        <v>12</v>
      </c>
      <c r="H367" s="64"/>
      <c r="I367" s="82" t="s">
        <v>13</v>
      </c>
      <c r="J367" s="68"/>
      <c r="K367" s="68"/>
    </row>
    <row r="368" spans="1:11" x14ac:dyDescent="0.2">
      <c r="A368" s="63"/>
      <c r="B368" s="456"/>
      <c r="C368" s="457"/>
      <c r="D368" s="457"/>
      <c r="E368" s="458"/>
      <c r="F368" s="64"/>
      <c r="G368" s="83" t="s">
        <v>14</v>
      </c>
      <c r="H368" s="64"/>
      <c r="I368" s="83" t="s">
        <v>14</v>
      </c>
      <c r="J368" s="68"/>
      <c r="K368" s="68"/>
    </row>
    <row r="369" spans="1:11" x14ac:dyDescent="0.2">
      <c r="A369" s="63"/>
      <c r="B369" s="84" t="s">
        <v>636</v>
      </c>
      <c r="C369" s="84" t="s">
        <v>649</v>
      </c>
      <c r="D369" s="84"/>
      <c r="E369" s="62"/>
      <c r="F369" s="62"/>
      <c r="G369" s="85"/>
      <c r="H369" s="85"/>
      <c r="I369" s="85"/>
      <c r="J369" s="68"/>
      <c r="K369" s="68"/>
    </row>
    <row r="370" spans="1:11" x14ac:dyDescent="0.2">
      <c r="A370" s="63"/>
      <c r="B370" s="1"/>
      <c r="C370" s="65" t="s">
        <v>637</v>
      </c>
      <c r="D370" s="62"/>
      <c r="E370" s="62"/>
      <c r="F370" s="62"/>
      <c r="G370" s="85"/>
      <c r="H370" s="85"/>
      <c r="I370" s="85"/>
      <c r="J370" s="68"/>
      <c r="K370" s="68"/>
    </row>
    <row r="371" spans="1:11" x14ac:dyDescent="0.2">
      <c r="A371" s="63"/>
      <c r="B371" s="1"/>
      <c r="C371" s="62"/>
      <c r="D371" s="62">
        <v>1</v>
      </c>
      <c r="E371" s="62" t="s">
        <v>638</v>
      </c>
      <c r="F371" s="62"/>
      <c r="G371" s="85"/>
      <c r="H371" s="85"/>
      <c r="I371" s="85" t="e">
        <f>G371+I299</f>
        <v>#REF!</v>
      </c>
      <c r="J371" s="68"/>
      <c r="K371" s="68"/>
    </row>
    <row r="372" spans="1:11" x14ac:dyDescent="0.2">
      <c r="A372" s="63"/>
      <c r="B372" s="1"/>
      <c r="C372" s="62"/>
      <c r="D372" s="62">
        <v>2</v>
      </c>
      <c r="E372" s="62" t="s">
        <v>639</v>
      </c>
      <c r="F372" s="62"/>
      <c r="G372" s="85"/>
      <c r="H372" s="85"/>
      <c r="I372" s="85" t="e">
        <f t="shared" ref="I372:I375" si="14">G372+I300</f>
        <v>#REF!</v>
      </c>
      <c r="J372" s="68"/>
      <c r="K372" s="68"/>
    </row>
    <row r="373" spans="1:11" x14ac:dyDescent="0.2">
      <c r="A373" s="63"/>
      <c r="B373" s="1"/>
      <c r="C373" s="62"/>
      <c r="D373" s="62">
        <v>3</v>
      </c>
      <c r="E373" s="62" t="s">
        <v>640</v>
      </c>
      <c r="F373" s="62"/>
      <c r="G373" s="85"/>
      <c r="H373" s="85"/>
      <c r="I373" s="85" t="e">
        <f t="shared" si="14"/>
        <v>#REF!</v>
      </c>
      <c r="J373" s="68"/>
      <c r="K373" s="68"/>
    </row>
    <row r="374" spans="1:11" x14ac:dyDescent="0.2">
      <c r="A374" s="63"/>
      <c r="B374" s="1"/>
      <c r="C374" s="62"/>
      <c r="D374" s="62">
        <v>4</v>
      </c>
      <c r="E374" s="62" t="s">
        <v>645</v>
      </c>
      <c r="F374" s="62"/>
      <c r="G374" s="85"/>
      <c r="H374" s="85"/>
      <c r="I374" s="85">
        <f t="shared" si="14"/>
        <v>0</v>
      </c>
      <c r="J374" s="68"/>
      <c r="K374" s="68"/>
    </row>
    <row r="375" spans="1:11" x14ac:dyDescent="0.2">
      <c r="A375" s="63"/>
      <c r="B375" s="1"/>
      <c r="C375" s="62"/>
      <c r="D375" s="62">
        <v>5</v>
      </c>
      <c r="E375" s="62" t="s">
        <v>641</v>
      </c>
      <c r="F375" s="62"/>
      <c r="G375" s="85"/>
      <c r="H375" s="85"/>
      <c r="I375" s="85">
        <f t="shared" si="14"/>
        <v>0</v>
      </c>
      <c r="J375" s="68"/>
      <c r="K375" s="68"/>
    </row>
    <row r="376" spans="1:11" x14ac:dyDescent="0.2">
      <c r="A376" s="63"/>
      <c r="B376" s="1"/>
      <c r="C376" s="62"/>
      <c r="D376" s="62"/>
      <c r="E376" s="62"/>
      <c r="F376" s="62"/>
      <c r="G376" s="85"/>
      <c r="H376" s="85"/>
      <c r="I376" s="85"/>
      <c r="J376" s="68"/>
      <c r="K376" s="68"/>
    </row>
    <row r="377" spans="1:11" x14ac:dyDescent="0.2">
      <c r="A377" s="63"/>
      <c r="B377" s="1"/>
      <c r="C377" s="65"/>
      <c r="D377" s="65" t="s">
        <v>16</v>
      </c>
      <c r="E377" s="65"/>
      <c r="F377" s="62"/>
      <c r="G377" s="86">
        <f>SUM(G371:G375)</f>
        <v>0</v>
      </c>
      <c r="H377" s="85"/>
      <c r="I377" s="86" t="e">
        <f>SUM(I371:I375)</f>
        <v>#REF!</v>
      </c>
      <c r="J377" s="68"/>
      <c r="K377" s="68"/>
    </row>
    <row r="378" spans="1:11" x14ac:dyDescent="0.2">
      <c r="A378" s="63"/>
      <c r="B378" s="1"/>
      <c r="C378" s="65"/>
      <c r="D378" s="65"/>
      <c r="E378" s="65"/>
      <c r="F378" s="62"/>
      <c r="G378" s="73"/>
      <c r="H378" s="85"/>
      <c r="I378" s="73"/>
      <c r="J378" s="68"/>
      <c r="K378" s="68"/>
    </row>
    <row r="379" spans="1:11" x14ac:dyDescent="0.2">
      <c r="A379" s="63"/>
      <c r="B379" s="1"/>
      <c r="C379" s="65" t="s">
        <v>642</v>
      </c>
      <c r="D379" s="62"/>
      <c r="E379" s="62"/>
      <c r="F379" s="62"/>
      <c r="G379" s="85"/>
      <c r="H379" s="85"/>
      <c r="I379" s="85"/>
      <c r="J379" s="68"/>
      <c r="K379" s="68"/>
    </row>
    <row r="380" spans="1:11" x14ac:dyDescent="0.2">
      <c r="A380" s="63"/>
      <c r="B380" s="1"/>
      <c r="C380" s="62"/>
      <c r="D380" s="62">
        <v>1</v>
      </c>
      <c r="E380" s="87" t="s">
        <v>190</v>
      </c>
      <c r="F380" s="62"/>
      <c r="G380" s="85"/>
      <c r="H380" s="85"/>
      <c r="I380" s="85">
        <f>G380+I308</f>
        <v>0</v>
      </c>
      <c r="J380" s="68"/>
      <c r="K380" s="68"/>
    </row>
    <row r="381" spans="1:11" x14ac:dyDescent="0.2">
      <c r="A381" s="63"/>
      <c r="B381" s="1"/>
      <c r="C381" s="62"/>
      <c r="D381" s="62">
        <v>2</v>
      </c>
      <c r="E381" s="87" t="s">
        <v>191</v>
      </c>
      <c r="F381" s="62"/>
      <c r="G381" s="85"/>
      <c r="H381" s="85"/>
      <c r="I381" s="85">
        <f t="shared" ref="I381:I386" si="15">G381+I309</f>
        <v>0</v>
      </c>
      <c r="J381" s="68"/>
      <c r="K381" s="68"/>
    </row>
    <row r="382" spans="1:11" x14ac:dyDescent="0.2">
      <c r="A382" s="63"/>
      <c r="B382" s="1"/>
      <c r="C382" s="62"/>
      <c r="D382" s="62">
        <v>3</v>
      </c>
      <c r="E382" s="87" t="s">
        <v>643</v>
      </c>
      <c r="F382" s="67"/>
      <c r="G382" s="85"/>
      <c r="H382" s="85"/>
      <c r="I382" s="85">
        <f t="shared" si="15"/>
        <v>1200000</v>
      </c>
      <c r="J382" s="68"/>
      <c r="K382" s="68"/>
    </row>
    <row r="383" spans="1:11" x14ac:dyDescent="0.2">
      <c r="A383" s="63"/>
      <c r="B383" s="1"/>
      <c r="C383" s="62"/>
      <c r="D383" s="62">
        <v>4</v>
      </c>
      <c r="E383" s="87" t="s">
        <v>644</v>
      </c>
      <c r="F383" s="62"/>
      <c r="G383" s="85"/>
      <c r="H383" s="85"/>
      <c r="I383" s="85">
        <f t="shared" si="15"/>
        <v>0</v>
      </c>
      <c r="J383" s="68"/>
      <c r="K383" s="68"/>
    </row>
    <row r="384" spans="1:11" x14ac:dyDescent="0.2">
      <c r="A384" s="63"/>
      <c r="B384" s="1"/>
      <c r="C384" s="62"/>
      <c r="D384" s="62">
        <v>5</v>
      </c>
      <c r="E384" s="87" t="s">
        <v>632</v>
      </c>
      <c r="F384" s="67"/>
      <c r="G384" s="85"/>
      <c r="H384" s="85"/>
      <c r="I384" s="85">
        <f t="shared" si="15"/>
        <v>0</v>
      </c>
      <c r="J384" s="68"/>
      <c r="K384" s="68"/>
    </row>
    <row r="385" spans="1:11" x14ac:dyDescent="0.2">
      <c r="A385" s="63"/>
      <c r="B385" s="1"/>
      <c r="C385" s="62"/>
      <c r="D385" s="62">
        <v>6</v>
      </c>
      <c r="E385" s="87" t="s">
        <v>646</v>
      </c>
      <c r="F385" s="67"/>
      <c r="G385" s="85"/>
      <c r="H385" s="85"/>
      <c r="I385" s="85">
        <f t="shared" si="15"/>
        <v>0</v>
      </c>
      <c r="J385" s="68"/>
      <c r="K385" s="68"/>
    </row>
    <row r="386" spans="1:11" x14ac:dyDescent="0.2">
      <c r="A386" s="63"/>
      <c r="B386" s="1"/>
      <c r="C386" s="62"/>
      <c r="D386" s="62">
        <v>7</v>
      </c>
      <c r="E386" s="87" t="s">
        <v>647</v>
      </c>
      <c r="F386" s="67"/>
      <c r="G386" s="85"/>
      <c r="H386" s="85"/>
      <c r="I386" s="85">
        <f t="shared" si="15"/>
        <v>0</v>
      </c>
      <c r="J386" s="68"/>
      <c r="K386" s="68"/>
    </row>
    <row r="387" spans="1:11" x14ac:dyDescent="0.2">
      <c r="A387" s="63"/>
      <c r="B387" s="67"/>
      <c r="C387" s="65"/>
      <c r="D387" s="62"/>
      <c r="E387" s="87"/>
      <c r="F387" s="62"/>
      <c r="G387" s="85"/>
      <c r="H387" s="85"/>
      <c r="I387" s="85"/>
      <c r="J387" s="68"/>
      <c r="K387" s="68"/>
    </row>
    <row r="388" spans="1:11" x14ac:dyDescent="0.2">
      <c r="A388" s="63"/>
      <c r="B388" s="1"/>
      <c r="C388" s="62"/>
      <c r="D388" s="65" t="s">
        <v>17</v>
      </c>
      <c r="E388" s="64"/>
      <c r="F388" s="88"/>
      <c r="G388" s="86">
        <f>SUM(G380:G387)</f>
        <v>0</v>
      </c>
      <c r="H388" s="85"/>
      <c r="I388" s="86">
        <f>SUM(I380:I387)</f>
        <v>1200000</v>
      </c>
      <c r="J388" s="68"/>
      <c r="K388" s="68"/>
    </row>
    <row r="389" spans="1:11" x14ac:dyDescent="0.2">
      <c r="A389" s="63"/>
      <c r="B389" s="1"/>
      <c r="C389" s="62"/>
      <c r="D389" s="62"/>
      <c r="E389" s="62"/>
      <c r="F389" s="62"/>
      <c r="G389" s="85"/>
      <c r="H389" s="85"/>
      <c r="I389" s="85"/>
      <c r="J389" s="68"/>
      <c r="K389" s="68"/>
    </row>
    <row r="390" spans="1:11" x14ac:dyDescent="0.2">
      <c r="A390" s="63"/>
      <c r="B390" s="1"/>
      <c r="C390" s="65" t="s">
        <v>648</v>
      </c>
      <c r="D390" s="65"/>
      <c r="E390" s="65"/>
      <c r="F390" s="62"/>
      <c r="G390" s="304">
        <f>G377-G388</f>
        <v>0</v>
      </c>
      <c r="H390" s="85"/>
      <c r="I390" s="304" t="e">
        <f>I377-I388</f>
        <v>#REF!</v>
      </c>
      <c r="K390" s="68"/>
    </row>
    <row r="391" spans="1:11" x14ac:dyDescent="0.2">
      <c r="A391" s="63"/>
      <c r="B391" s="1"/>
      <c r="C391" s="62"/>
      <c r="D391" s="62"/>
      <c r="E391" s="62"/>
      <c r="F391" s="62"/>
      <c r="G391" s="85"/>
      <c r="H391" s="85"/>
      <c r="I391" s="85"/>
      <c r="J391" s="68"/>
      <c r="K391" s="68"/>
    </row>
    <row r="392" spans="1:11" x14ac:dyDescent="0.2">
      <c r="A392" s="63"/>
      <c r="B392" s="84" t="s">
        <v>650</v>
      </c>
      <c r="C392" s="84" t="s">
        <v>651</v>
      </c>
      <c r="D392" s="74"/>
      <c r="E392" s="67"/>
      <c r="F392" s="67"/>
      <c r="G392" s="85"/>
      <c r="H392" s="85"/>
      <c r="I392" s="85"/>
      <c r="J392" s="68"/>
      <c r="K392" s="68"/>
    </row>
    <row r="393" spans="1:11" x14ac:dyDescent="0.2">
      <c r="A393" s="63"/>
      <c r="B393" s="67"/>
      <c r="C393" s="65"/>
      <c r="D393" s="62" t="s">
        <v>652</v>
      </c>
      <c r="E393" s="62"/>
      <c r="F393" s="62"/>
      <c r="G393" s="85"/>
      <c r="H393" s="85"/>
      <c r="I393" s="85" t="e">
        <f>G393+I321</f>
        <v>#REF!</v>
      </c>
      <c r="J393" s="68"/>
      <c r="K393" s="68"/>
    </row>
    <row r="394" spans="1:11" x14ac:dyDescent="0.2">
      <c r="A394" s="63"/>
      <c r="B394" s="1"/>
      <c r="C394" s="65" t="s">
        <v>653</v>
      </c>
      <c r="D394" s="74"/>
      <c r="E394" s="74"/>
      <c r="F394" s="74"/>
      <c r="G394" s="86">
        <f>SUM(G393)</f>
        <v>0</v>
      </c>
      <c r="H394" s="73"/>
      <c r="I394" s="86" t="e">
        <f>SUM(I393)</f>
        <v>#REF!</v>
      </c>
      <c r="J394" s="68"/>
      <c r="K394" s="68"/>
    </row>
    <row r="395" spans="1:11" x14ac:dyDescent="0.2">
      <c r="A395" s="63"/>
      <c r="B395" s="1"/>
      <c r="C395" s="449"/>
      <c r="D395" s="449"/>
      <c r="E395" s="449"/>
      <c r="F395" s="62"/>
      <c r="G395" s="264"/>
      <c r="H395" s="89"/>
      <c r="I395" s="264"/>
      <c r="J395" s="68"/>
      <c r="K395" s="68"/>
    </row>
    <row r="396" spans="1:11" x14ac:dyDescent="0.2">
      <c r="A396" s="63"/>
      <c r="B396" s="84" t="s">
        <v>654</v>
      </c>
      <c r="C396" s="84" t="s">
        <v>655</v>
      </c>
      <c r="D396" s="62"/>
      <c r="E396" s="62"/>
      <c r="F396" s="62"/>
      <c r="G396" s="89"/>
      <c r="H396" s="89"/>
      <c r="I396" s="89"/>
      <c r="J396" s="68"/>
      <c r="K396" s="68"/>
    </row>
    <row r="397" spans="1:11" x14ac:dyDescent="0.2">
      <c r="A397" s="63"/>
      <c r="B397" s="80"/>
      <c r="C397" s="80"/>
      <c r="D397" s="62" t="s">
        <v>656</v>
      </c>
      <c r="E397" s="80"/>
      <c r="F397" s="67"/>
      <c r="G397" s="264"/>
      <c r="H397" s="89"/>
      <c r="I397" s="85">
        <f>G397+I326</f>
        <v>0</v>
      </c>
      <c r="J397" s="68"/>
      <c r="K397" s="68"/>
    </row>
    <row r="398" spans="1:11" x14ac:dyDescent="0.2">
      <c r="A398" s="63"/>
      <c r="B398" s="84"/>
      <c r="C398" s="62"/>
      <c r="D398" s="62" t="s">
        <v>657</v>
      </c>
      <c r="E398" s="62"/>
      <c r="F398" s="62"/>
      <c r="G398" s="85"/>
      <c r="H398" s="85"/>
      <c r="I398" s="85">
        <f t="shared" ref="I398:I400" si="16">G398+I327</f>
        <v>0</v>
      </c>
      <c r="J398" s="68"/>
      <c r="K398" s="68"/>
    </row>
    <row r="399" spans="1:11" x14ac:dyDescent="0.2">
      <c r="A399" s="63"/>
      <c r="B399" s="1"/>
      <c r="C399" s="62"/>
      <c r="D399" s="74" t="s">
        <v>658</v>
      </c>
      <c r="E399" s="67"/>
      <c r="F399" s="67"/>
      <c r="G399" s="85"/>
      <c r="H399" s="85"/>
      <c r="I399" s="85">
        <f t="shared" si="16"/>
        <v>0</v>
      </c>
      <c r="J399" s="68"/>
      <c r="K399" s="68"/>
    </row>
    <row r="400" spans="1:11" x14ac:dyDescent="0.2">
      <c r="A400" s="63"/>
      <c r="B400" s="67"/>
      <c r="C400" s="65"/>
      <c r="D400" s="62" t="s">
        <v>659</v>
      </c>
      <c r="E400" s="62"/>
      <c r="F400" s="62"/>
      <c r="G400" s="377"/>
      <c r="H400" s="85"/>
      <c r="I400" s="85">
        <f t="shared" si="16"/>
        <v>0</v>
      </c>
      <c r="J400" s="68"/>
      <c r="K400" s="68"/>
    </row>
    <row r="401" spans="1:11" x14ac:dyDescent="0.2">
      <c r="A401" s="63"/>
      <c r="B401" s="1"/>
      <c r="C401" s="65" t="s">
        <v>660</v>
      </c>
      <c r="D401" s="74"/>
      <c r="E401" s="74"/>
      <c r="F401" s="74"/>
      <c r="G401" s="379">
        <f>SUM(G397:G400)</f>
        <v>0</v>
      </c>
      <c r="H401" s="85"/>
      <c r="I401" s="379">
        <f>SUM(I397:I400)</f>
        <v>0</v>
      </c>
      <c r="J401" s="68"/>
      <c r="K401" s="68"/>
    </row>
    <row r="402" spans="1:11" x14ac:dyDescent="0.2">
      <c r="A402" s="63"/>
      <c r="B402" s="1"/>
      <c r="C402" s="62"/>
      <c r="D402" s="62"/>
      <c r="E402" s="62"/>
      <c r="F402" s="62"/>
      <c r="G402" s="377"/>
      <c r="H402" s="85"/>
      <c r="I402" s="85"/>
      <c r="J402" s="68"/>
      <c r="K402" s="68"/>
    </row>
    <row r="403" spans="1:11" x14ac:dyDescent="0.2">
      <c r="A403" s="63"/>
      <c r="B403" s="84" t="s">
        <v>661</v>
      </c>
      <c r="C403" s="84" t="s">
        <v>662</v>
      </c>
      <c r="D403" s="66"/>
      <c r="E403" s="66"/>
      <c r="F403" s="62"/>
      <c r="G403" s="73">
        <f>G390-G394+G401</f>
        <v>0</v>
      </c>
      <c r="H403" s="85"/>
      <c r="I403" s="73" t="e">
        <f>I390-I394+I401</f>
        <v>#REF!</v>
      </c>
      <c r="J403" s="68"/>
      <c r="K403" s="68"/>
    </row>
    <row r="404" spans="1:11" x14ac:dyDescent="0.2">
      <c r="A404" s="63"/>
      <c r="B404" s="1"/>
      <c r="C404" s="62"/>
      <c r="D404" s="62"/>
      <c r="E404" s="62"/>
      <c r="F404" s="62"/>
      <c r="G404" s="85"/>
      <c r="H404" s="85"/>
      <c r="I404" s="85"/>
      <c r="J404" s="68"/>
      <c r="K404" s="68"/>
    </row>
    <row r="405" spans="1:11" x14ac:dyDescent="0.2">
      <c r="A405" s="63"/>
      <c r="B405" s="84" t="s">
        <v>663</v>
      </c>
      <c r="C405" s="84" t="s">
        <v>664</v>
      </c>
      <c r="D405" s="66"/>
      <c r="E405" s="62"/>
      <c r="F405" s="62"/>
      <c r="G405" s="73" t="e">
        <f>G335</f>
        <v>#REF!</v>
      </c>
      <c r="H405" s="73"/>
      <c r="I405" s="73">
        <v>1312251855.8000002</v>
      </c>
      <c r="J405" s="68"/>
      <c r="K405" s="68"/>
    </row>
    <row r="406" spans="1:11" x14ac:dyDescent="0.2">
      <c r="A406" s="63"/>
      <c r="B406" s="1"/>
      <c r="C406" s="62"/>
      <c r="D406" s="62"/>
      <c r="E406" s="62"/>
      <c r="F406" s="62"/>
      <c r="G406" s="73"/>
      <c r="H406" s="73"/>
      <c r="I406" s="73"/>
      <c r="J406" s="68"/>
      <c r="K406" s="68"/>
    </row>
    <row r="407" spans="1:11" x14ac:dyDescent="0.2">
      <c r="A407" s="63"/>
      <c r="B407" s="67" t="s">
        <v>665</v>
      </c>
      <c r="C407" s="65" t="s">
        <v>664</v>
      </c>
      <c r="D407" s="62"/>
      <c r="E407" s="62"/>
      <c r="F407" s="62"/>
      <c r="G407" s="73" t="e">
        <f>G403+G405</f>
        <v>#REF!</v>
      </c>
      <c r="H407" s="73"/>
      <c r="I407" s="73" t="e">
        <f>I403+I405</f>
        <v>#REF!</v>
      </c>
      <c r="J407" s="68"/>
      <c r="K407" s="68"/>
    </row>
    <row r="408" spans="1:11" x14ac:dyDescent="0.2">
      <c r="A408" s="61"/>
      <c r="B408" s="60"/>
      <c r="C408" s="60"/>
      <c r="D408" s="60"/>
      <c r="E408" s="60"/>
      <c r="F408" s="60"/>
      <c r="G408" s="91"/>
      <c r="H408" s="91"/>
      <c r="I408" s="91"/>
      <c r="J408" s="378"/>
      <c r="K408" s="378"/>
    </row>
    <row r="409" spans="1:11" x14ac:dyDescent="0.2">
      <c r="A409" s="459"/>
      <c r="B409" s="459"/>
      <c r="C409" s="459"/>
      <c r="D409" s="459"/>
      <c r="E409" s="459"/>
      <c r="F409" s="62"/>
      <c r="G409" s="92" t="e">
        <f>#REF!</f>
        <v>#REF!</v>
      </c>
      <c r="H409" s="92"/>
      <c r="I409" s="92"/>
    </row>
    <row r="410" spans="1:11" x14ac:dyDescent="0.2">
      <c r="A410" s="447" t="s">
        <v>413</v>
      </c>
      <c r="B410" s="447"/>
      <c r="C410" s="447"/>
      <c r="D410" s="447"/>
      <c r="E410" s="447"/>
      <c r="F410" s="447" t="s">
        <v>410</v>
      </c>
      <c r="G410" s="447"/>
      <c r="H410" s="447"/>
      <c r="I410" s="447"/>
      <c r="J410" s="447"/>
      <c r="K410" s="447"/>
    </row>
    <row r="411" spans="1:11" x14ac:dyDescent="0.2">
      <c r="A411" s="447" t="s">
        <v>480</v>
      </c>
      <c r="B411" s="447"/>
      <c r="C411" s="447"/>
      <c r="D411" s="447"/>
      <c r="E411" s="447"/>
      <c r="F411" s="447" t="s">
        <v>481</v>
      </c>
      <c r="G411" s="447"/>
      <c r="H411" s="447"/>
      <c r="I411" s="447"/>
      <c r="J411" s="447"/>
      <c r="K411" s="447"/>
    </row>
    <row r="412" spans="1:11" x14ac:dyDescent="0.2">
      <c r="A412" s="447"/>
      <c r="B412" s="447"/>
      <c r="C412" s="447"/>
      <c r="D412" s="447"/>
      <c r="E412" s="447"/>
      <c r="F412" s="447"/>
      <c r="G412" s="447"/>
      <c r="H412" s="447"/>
      <c r="I412" s="447"/>
      <c r="J412" s="447"/>
      <c r="K412" s="447"/>
    </row>
    <row r="413" spans="1:11" x14ac:dyDescent="0.2">
      <c r="A413" s="447"/>
      <c r="B413" s="447"/>
      <c r="C413" s="447"/>
      <c r="D413" s="447"/>
      <c r="E413" s="447"/>
      <c r="F413" s="447"/>
      <c r="G413" s="447"/>
      <c r="H413" s="447"/>
      <c r="I413" s="447"/>
      <c r="J413" s="447"/>
      <c r="K413" s="447"/>
    </row>
    <row r="414" spans="1:11" x14ac:dyDescent="0.2">
      <c r="A414" s="447" t="s">
        <v>463</v>
      </c>
      <c r="B414" s="447"/>
      <c r="C414" s="447"/>
      <c r="D414" s="447"/>
      <c r="E414" s="447"/>
      <c r="F414" s="447" t="s">
        <v>411</v>
      </c>
      <c r="G414" s="447"/>
      <c r="H414" s="447"/>
      <c r="I414" s="447"/>
      <c r="J414" s="447"/>
      <c r="K414" s="447"/>
    </row>
    <row r="415" spans="1:11" x14ac:dyDescent="0.2">
      <c r="A415" s="447"/>
      <c r="B415" s="447"/>
      <c r="C415" s="447"/>
      <c r="D415" s="447"/>
      <c r="E415" s="447"/>
      <c r="F415" s="447"/>
      <c r="G415" s="447"/>
      <c r="H415" s="447"/>
      <c r="I415" s="447"/>
      <c r="J415" s="447"/>
      <c r="K415" s="447"/>
    </row>
    <row r="416" spans="1:11" x14ac:dyDescent="0.2">
      <c r="A416" s="447"/>
      <c r="B416" s="447"/>
      <c r="C416" s="447"/>
      <c r="D416" s="447"/>
      <c r="E416" s="447"/>
      <c r="F416" s="447"/>
      <c r="G416" s="447"/>
      <c r="H416" s="447"/>
      <c r="I416" s="447"/>
      <c r="J416" s="447"/>
      <c r="K416" s="447"/>
    </row>
    <row r="432" spans="1:6" x14ac:dyDescent="0.2">
      <c r="A432" s="450" t="s">
        <v>633</v>
      </c>
      <c r="B432" s="450"/>
      <c r="C432" s="374" t="s">
        <v>634</v>
      </c>
      <c r="D432" s="62"/>
      <c r="E432" s="62"/>
      <c r="F432" s="62"/>
    </row>
    <row r="433" spans="1:11" x14ac:dyDescent="0.2">
      <c r="B433" s="62"/>
      <c r="C433" s="62"/>
      <c r="D433" s="62"/>
      <c r="E433" s="62"/>
      <c r="F433" s="62"/>
    </row>
    <row r="434" spans="1:11" ht="15" x14ac:dyDescent="0.25">
      <c r="A434" s="69"/>
      <c r="B434" s="452"/>
      <c r="C434" s="452"/>
      <c r="D434" s="452"/>
      <c r="E434" s="452"/>
      <c r="F434" s="452"/>
      <c r="G434" s="452"/>
      <c r="H434" s="452"/>
      <c r="I434" s="452"/>
      <c r="J434" s="375"/>
      <c r="K434" s="375"/>
    </row>
    <row r="435" spans="1:11" ht="15" x14ac:dyDescent="0.25">
      <c r="A435" s="63"/>
      <c r="B435" s="448" t="s">
        <v>462</v>
      </c>
      <c r="C435" s="448"/>
      <c r="D435" s="448"/>
      <c r="E435" s="448"/>
      <c r="F435" s="448"/>
      <c r="G435" s="448"/>
      <c r="H435" s="448"/>
      <c r="I435" s="448"/>
      <c r="J435" s="68"/>
      <c r="K435" s="68"/>
    </row>
    <row r="436" spans="1:11" ht="15" x14ac:dyDescent="0.25">
      <c r="A436" s="63"/>
      <c r="B436" s="448" t="s">
        <v>15</v>
      </c>
      <c r="C436" s="448"/>
      <c r="D436" s="448"/>
      <c r="E436" s="448"/>
      <c r="F436" s="448"/>
      <c r="G436" s="448"/>
      <c r="H436" s="448"/>
      <c r="I436" s="448"/>
      <c r="J436" s="68"/>
      <c r="K436" s="68"/>
    </row>
    <row r="437" spans="1:11" ht="15" x14ac:dyDescent="0.25">
      <c r="A437" s="63"/>
      <c r="B437" s="451" t="s">
        <v>670</v>
      </c>
      <c r="C437" s="451"/>
      <c r="D437" s="451"/>
      <c r="E437" s="451"/>
      <c r="F437" s="451"/>
      <c r="G437" s="451"/>
      <c r="H437" s="451"/>
      <c r="I437" s="451"/>
      <c r="J437" s="68"/>
      <c r="K437" s="68"/>
    </row>
    <row r="438" spans="1:11" x14ac:dyDescent="0.2">
      <c r="A438" s="63"/>
      <c r="B438" s="62"/>
      <c r="C438" s="62"/>
      <c r="D438" s="62"/>
      <c r="E438" s="62"/>
      <c r="F438" s="62"/>
      <c r="J438" s="68"/>
      <c r="K438" s="68"/>
    </row>
    <row r="439" spans="1:11" x14ac:dyDescent="0.2">
      <c r="A439" s="63"/>
      <c r="B439" s="453" t="s">
        <v>10</v>
      </c>
      <c r="C439" s="454"/>
      <c r="D439" s="454"/>
      <c r="E439" s="455"/>
      <c r="F439" s="64"/>
      <c r="G439" s="82" t="s">
        <v>12</v>
      </c>
      <c r="H439" s="64"/>
      <c r="I439" s="82" t="s">
        <v>13</v>
      </c>
      <c r="J439" s="68"/>
      <c r="K439" s="68"/>
    </row>
    <row r="440" spans="1:11" x14ac:dyDescent="0.2">
      <c r="A440" s="63"/>
      <c r="B440" s="456"/>
      <c r="C440" s="457"/>
      <c r="D440" s="457"/>
      <c r="E440" s="458"/>
      <c r="F440" s="64"/>
      <c r="G440" s="83" t="s">
        <v>14</v>
      </c>
      <c r="H440" s="64"/>
      <c r="I440" s="83" t="s">
        <v>14</v>
      </c>
      <c r="J440" s="68"/>
      <c r="K440" s="68"/>
    </row>
    <row r="441" spans="1:11" x14ac:dyDescent="0.2">
      <c r="A441" s="63"/>
      <c r="B441" s="84" t="s">
        <v>636</v>
      </c>
      <c r="C441" s="84" t="s">
        <v>649</v>
      </c>
      <c r="D441" s="84"/>
      <c r="E441" s="62"/>
      <c r="F441" s="62"/>
      <c r="G441" s="85"/>
      <c r="H441" s="85"/>
      <c r="I441" s="85"/>
      <c r="J441" s="68"/>
      <c r="K441" s="68"/>
    </row>
    <row r="442" spans="1:11" x14ac:dyDescent="0.2">
      <c r="A442" s="63"/>
      <c r="B442" s="1"/>
      <c r="C442" s="65" t="s">
        <v>637</v>
      </c>
      <c r="D442" s="62"/>
      <c r="E442" s="62"/>
      <c r="F442" s="62"/>
      <c r="G442" s="85"/>
      <c r="H442" s="85"/>
      <c r="I442" s="85"/>
      <c r="J442" s="68"/>
      <c r="K442" s="68"/>
    </row>
    <row r="443" spans="1:11" x14ac:dyDescent="0.2">
      <c r="A443" s="63"/>
      <c r="B443" s="1"/>
      <c r="C443" s="62"/>
      <c r="D443" s="62">
        <v>1</v>
      </c>
      <c r="E443" s="62" t="s">
        <v>638</v>
      </c>
      <c r="F443" s="62"/>
      <c r="G443" s="85"/>
      <c r="H443" s="85"/>
      <c r="I443" s="85" t="e">
        <f>G443+I371</f>
        <v>#REF!</v>
      </c>
      <c r="J443" s="68"/>
      <c r="K443" s="68"/>
    </row>
    <row r="444" spans="1:11" x14ac:dyDescent="0.2">
      <c r="A444" s="63"/>
      <c r="B444" s="1"/>
      <c r="C444" s="62"/>
      <c r="D444" s="62">
        <v>2</v>
      </c>
      <c r="E444" s="62" t="s">
        <v>639</v>
      </c>
      <c r="F444" s="62"/>
      <c r="G444" s="85"/>
      <c r="H444" s="85"/>
      <c r="I444" s="85" t="e">
        <f t="shared" ref="I444:I447" si="17">G444+I372</f>
        <v>#REF!</v>
      </c>
      <c r="J444" s="68"/>
      <c r="K444" s="68"/>
    </row>
    <row r="445" spans="1:11" x14ac:dyDescent="0.2">
      <c r="A445" s="63"/>
      <c r="B445" s="1"/>
      <c r="C445" s="62"/>
      <c r="D445" s="62">
        <v>3</v>
      </c>
      <c r="E445" s="62" t="s">
        <v>640</v>
      </c>
      <c r="F445" s="62"/>
      <c r="G445" s="85"/>
      <c r="H445" s="85"/>
      <c r="I445" s="85" t="e">
        <f t="shared" si="17"/>
        <v>#REF!</v>
      </c>
      <c r="J445" s="68"/>
      <c r="K445" s="68"/>
    </row>
    <row r="446" spans="1:11" x14ac:dyDescent="0.2">
      <c r="A446" s="63"/>
      <c r="B446" s="1"/>
      <c r="C446" s="62"/>
      <c r="D446" s="62">
        <v>4</v>
      </c>
      <c r="E446" s="62" t="s">
        <v>645</v>
      </c>
      <c r="F446" s="62"/>
      <c r="G446" s="85"/>
      <c r="H446" s="85"/>
      <c r="I446" s="85">
        <f t="shared" si="17"/>
        <v>0</v>
      </c>
      <c r="J446" s="68"/>
      <c r="K446" s="68"/>
    </row>
    <row r="447" spans="1:11" x14ac:dyDescent="0.2">
      <c r="A447" s="63"/>
      <c r="B447" s="1"/>
      <c r="C447" s="62"/>
      <c r="D447" s="62">
        <v>5</v>
      </c>
      <c r="E447" s="62" t="s">
        <v>641</v>
      </c>
      <c r="F447" s="62"/>
      <c r="G447" s="85"/>
      <c r="H447" s="85"/>
      <c r="I447" s="85">
        <f t="shared" si="17"/>
        <v>0</v>
      </c>
      <c r="J447" s="68"/>
      <c r="K447" s="68"/>
    </row>
    <row r="448" spans="1:11" x14ac:dyDescent="0.2">
      <c r="A448" s="63"/>
      <c r="B448" s="1"/>
      <c r="C448" s="62"/>
      <c r="D448" s="62"/>
      <c r="E448" s="62"/>
      <c r="F448" s="62"/>
      <c r="G448" s="85"/>
      <c r="H448" s="85"/>
      <c r="I448" s="85"/>
      <c r="J448" s="68"/>
      <c r="K448" s="68"/>
    </row>
    <row r="449" spans="1:11" x14ac:dyDescent="0.2">
      <c r="A449" s="63"/>
      <c r="B449" s="1"/>
      <c r="C449" s="65"/>
      <c r="D449" s="65" t="s">
        <v>16</v>
      </c>
      <c r="E449" s="65"/>
      <c r="F449" s="62"/>
      <c r="G449" s="86">
        <f>SUM(G443:G447)</f>
        <v>0</v>
      </c>
      <c r="H449" s="85"/>
      <c r="I449" s="86" t="e">
        <f>SUM(I443:I447)</f>
        <v>#REF!</v>
      </c>
      <c r="J449" s="68"/>
      <c r="K449" s="68"/>
    </row>
    <row r="450" spans="1:11" x14ac:dyDescent="0.2">
      <c r="A450" s="63"/>
      <c r="B450" s="1"/>
      <c r="C450" s="65"/>
      <c r="D450" s="65"/>
      <c r="E450" s="65"/>
      <c r="F450" s="62"/>
      <c r="G450" s="73"/>
      <c r="H450" s="85"/>
      <c r="I450" s="73"/>
      <c r="J450" s="68"/>
      <c r="K450" s="68"/>
    </row>
    <row r="451" spans="1:11" x14ac:dyDescent="0.2">
      <c r="A451" s="63"/>
      <c r="B451" s="1"/>
      <c r="C451" s="65" t="s">
        <v>642</v>
      </c>
      <c r="D451" s="62"/>
      <c r="E451" s="62"/>
      <c r="F451" s="62"/>
      <c r="G451" s="85"/>
      <c r="H451" s="85"/>
      <c r="I451" s="85"/>
      <c r="J451" s="68"/>
      <c r="K451" s="68"/>
    </row>
    <row r="452" spans="1:11" x14ac:dyDescent="0.2">
      <c r="A452" s="63"/>
      <c r="B452" s="1"/>
      <c r="C452" s="62"/>
      <c r="D452" s="62">
        <v>1</v>
      </c>
      <c r="E452" s="87" t="s">
        <v>190</v>
      </c>
      <c r="F452" s="62"/>
      <c r="G452" s="85"/>
      <c r="H452" s="85"/>
      <c r="I452" s="85">
        <f>G452+I380</f>
        <v>0</v>
      </c>
      <c r="J452" s="68"/>
      <c r="K452" s="68"/>
    </row>
    <row r="453" spans="1:11" x14ac:dyDescent="0.2">
      <c r="A453" s="63"/>
      <c r="B453" s="1"/>
      <c r="C453" s="62"/>
      <c r="D453" s="62">
        <v>2</v>
      </c>
      <c r="E453" s="87" t="s">
        <v>191</v>
      </c>
      <c r="F453" s="62"/>
      <c r="G453" s="85"/>
      <c r="H453" s="85"/>
      <c r="I453" s="85">
        <f t="shared" ref="I453:I458" si="18">G453+I381</f>
        <v>0</v>
      </c>
      <c r="J453" s="68"/>
      <c r="K453" s="68"/>
    </row>
    <row r="454" spans="1:11" x14ac:dyDescent="0.2">
      <c r="A454" s="63"/>
      <c r="B454" s="1"/>
      <c r="C454" s="62"/>
      <c r="D454" s="62">
        <v>3</v>
      </c>
      <c r="E454" s="87" t="s">
        <v>643</v>
      </c>
      <c r="F454" s="67"/>
      <c r="G454" s="85"/>
      <c r="H454" s="85"/>
      <c r="I454" s="85">
        <f t="shared" si="18"/>
        <v>1200000</v>
      </c>
      <c r="J454" s="68"/>
      <c r="K454" s="68"/>
    </row>
    <row r="455" spans="1:11" x14ac:dyDescent="0.2">
      <c r="A455" s="63"/>
      <c r="B455" s="1"/>
      <c r="C455" s="62"/>
      <c r="D455" s="62">
        <v>4</v>
      </c>
      <c r="E455" s="87" t="s">
        <v>644</v>
      </c>
      <c r="F455" s="62"/>
      <c r="G455" s="85"/>
      <c r="H455" s="85"/>
      <c r="I455" s="85">
        <f t="shared" si="18"/>
        <v>0</v>
      </c>
      <c r="J455" s="68"/>
      <c r="K455" s="68"/>
    </row>
    <row r="456" spans="1:11" x14ac:dyDescent="0.2">
      <c r="A456" s="63"/>
      <c r="B456" s="1"/>
      <c r="C456" s="62"/>
      <c r="D456" s="62">
        <v>5</v>
      </c>
      <c r="E456" s="87" t="s">
        <v>632</v>
      </c>
      <c r="F456" s="67"/>
      <c r="G456" s="85"/>
      <c r="H456" s="85"/>
      <c r="I456" s="85">
        <f t="shared" si="18"/>
        <v>0</v>
      </c>
      <c r="J456" s="68"/>
      <c r="K456" s="68"/>
    </row>
    <row r="457" spans="1:11" x14ac:dyDescent="0.2">
      <c r="A457" s="63"/>
      <c r="B457" s="1"/>
      <c r="C457" s="62"/>
      <c r="D457" s="62">
        <v>6</v>
      </c>
      <c r="E457" s="87" t="s">
        <v>646</v>
      </c>
      <c r="F457" s="67"/>
      <c r="G457" s="85"/>
      <c r="H457" s="85"/>
      <c r="I457" s="85">
        <f t="shared" si="18"/>
        <v>0</v>
      </c>
      <c r="J457" s="68"/>
      <c r="K457" s="68"/>
    </row>
    <row r="458" spans="1:11" x14ac:dyDescent="0.2">
      <c r="A458" s="63"/>
      <c r="B458" s="1"/>
      <c r="C458" s="62"/>
      <c r="D458" s="62">
        <v>7</v>
      </c>
      <c r="E458" s="87" t="s">
        <v>647</v>
      </c>
      <c r="F458" s="67"/>
      <c r="G458" s="85"/>
      <c r="H458" s="85"/>
      <c r="I458" s="85">
        <f t="shared" si="18"/>
        <v>0</v>
      </c>
      <c r="J458" s="68"/>
      <c r="K458" s="68"/>
    </row>
    <row r="459" spans="1:11" x14ac:dyDescent="0.2">
      <c r="A459" s="63"/>
      <c r="B459" s="67"/>
      <c r="C459" s="65"/>
      <c r="D459" s="62"/>
      <c r="E459" s="87"/>
      <c r="F459" s="62"/>
      <c r="G459" s="85"/>
      <c r="H459" s="85"/>
      <c r="I459" s="85"/>
      <c r="J459" s="68"/>
      <c r="K459" s="68"/>
    </row>
    <row r="460" spans="1:11" x14ac:dyDescent="0.2">
      <c r="A460" s="63"/>
      <c r="B460" s="1"/>
      <c r="C460" s="62"/>
      <c r="D460" s="65" t="s">
        <v>17</v>
      </c>
      <c r="E460" s="64"/>
      <c r="F460" s="88"/>
      <c r="G460" s="86">
        <f>SUM(G452:G459)</f>
        <v>0</v>
      </c>
      <c r="H460" s="85"/>
      <c r="I460" s="86">
        <f>SUM(I452:I459)</f>
        <v>1200000</v>
      </c>
      <c r="J460" s="68"/>
      <c r="K460" s="68"/>
    </row>
    <row r="461" spans="1:11" x14ac:dyDescent="0.2">
      <c r="A461" s="63"/>
      <c r="B461" s="1"/>
      <c r="C461" s="62"/>
      <c r="D461" s="62"/>
      <c r="E461" s="62"/>
      <c r="F461" s="62"/>
      <c r="G461" s="85"/>
      <c r="H461" s="85"/>
      <c r="I461" s="85"/>
      <c r="J461" s="68"/>
      <c r="K461" s="68"/>
    </row>
    <row r="462" spans="1:11" x14ac:dyDescent="0.2">
      <c r="A462" s="63"/>
      <c r="B462" s="1"/>
      <c r="C462" s="65" t="s">
        <v>648</v>
      </c>
      <c r="D462" s="65"/>
      <c r="E462" s="65"/>
      <c r="F462" s="62"/>
      <c r="G462" s="304">
        <f>G449-G460</f>
        <v>0</v>
      </c>
      <c r="H462" s="85"/>
      <c r="I462" s="304" t="e">
        <f>I449-I460</f>
        <v>#REF!</v>
      </c>
      <c r="K462" s="68"/>
    </row>
    <row r="463" spans="1:11" x14ac:dyDescent="0.2">
      <c r="A463" s="63"/>
      <c r="B463" s="1"/>
      <c r="C463" s="62"/>
      <c r="D463" s="62"/>
      <c r="E463" s="62"/>
      <c r="F463" s="62"/>
      <c r="G463" s="85"/>
      <c r="H463" s="85"/>
      <c r="I463" s="85"/>
      <c r="J463" s="68"/>
      <c r="K463" s="68"/>
    </row>
    <row r="464" spans="1:11" x14ac:dyDescent="0.2">
      <c r="A464" s="63"/>
      <c r="B464" s="84" t="s">
        <v>650</v>
      </c>
      <c r="C464" s="84" t="s">
        <v>651</v>
      </c>
      <c r="D464" s="74"/>
      <c r="E464" s="67"/>
      <c r="F464" s="67"/>
      <c r="G464" s="85"/>
      <c r="H464" s="85"/>
      <c r="I464" s="85"/>
      <c r="J464" s="68"/>
      <c r="K464" s="68"/>
    </row>
    <row r="465" spans="1:11" x14ac:dyDescent="0.2">
      <c r="A465" s="63"/>
      <c r="B465" s="67"/>
      <c r="C465" s="65"/>
      <c r="D465" s="62" t="s">
        <v>652</v>
      </c>
      <c r="E465" s="62"/>
      <c r="F465" s="62"/>
      <c r="G465" s="85"/>
      <c r="H465" s="85"/>
      <c r="I465" s="85" t="e">
        <f>G465+I393</f>
        <v>#REF!</v>
      </c>
      <c r="J465" s="68"/>
      <c r="K465" s="68"/>
    </row>
    <row r="466" spans="1:11" x14ac:dyDescent="0.2">
      <c r="A466" s="63"/>
      <c r="B466" s="1"/>
      <c r="C466" s="65" t="s">
        <v>653</v>
      </c>
      <c r="D466" s="74"/>
      <c r="E466" s="74"/>
      <c r="F466" s="74"/>
      <c r="G466" s="86">
        <f>SUM(G465)</f>
        <v>0</v>
      </c>
      <c r="H466" s="73"/>
      <c r="I466" s="86" t="e">
        <f>SUM(I465)</f>
        <v>#REF!</v>
      </c>
      <c r="J466" s="68"/>
      <c r="K466" s="68"/>
    </row>
    <row r="467" spans="1:11" x14ac:dyDescent="0.2">
      <c r="A467" s="63"/>
      <c r="B467" s="1"/>
      <c r="C467" s="449"/>
      <c r="D467" s="449"/>
      <c r="E467" s="449"/>
      <c r="F467" s="62"/>
      <c r="G467" s="264"/>
      <c r="H467" s="89"/>
      <c r="I467" s="264"/>
      <c r="J467" s="68"/>
      <c r="K467" s="68"/>
    </row>
    <row r="468" spans="1:11" x14ac:dyDescent="0.2">
      <c r="A468" s="63"/>
      <c r="B468" s="84" t="s">
        <v>654</v>
      </c>
      <c r="C468" s="84" t="s">
        <v>655</v>
      </c>
      <c r="D468" s="62"/>
      <c r="E468" s="62"/>
      <c r="F468" s="62"/>
      <c r="G468" s="89"/>
      <c r="H468" s="89"/>
      <c r="I468" s="89"/>
      <c r="J468" s="68"/>
      <c r="K468" s="68"/>
    </row>
    <row r="469" spans="1:11" x14ac:dyDescent="0.2">
      <c r="A469" s="63"/>
      <c r="B469" s="80"/>
      <c r="C469" s="80"/>
      <c r="D469" s="62" t="s">
        <v>656</v>
      </c>
      <c r="E469" s="80"/>
      <c r="F469" s="67"/>
      <c r="G469" s="264"/>
      <c r="H469" s="89"/>
      <c r="I469" s="85">
        <f>G469+I398</f>
        <v>0</v>
      </c>
      <c r="J469" s="68"/>
      <c r="K469" s="68"/>
    </row>
    <row r="470" spans="1:11" x14ac:dyDescent="0.2">
      <c r="A470" s="63"/>
      <c r="B470" s="84"/>
      <c r="C470" s="62"/>
      <c r="D470" s="62" t="s">
        <v>657</v>
      </c>
      <c r="E470" s="62"/>
      <c r="F470" s="62"/>
      <c r="G470" s="85"/>
      <c r="H470" s="85"/>
      <c r="I470" s="85">
        <f t="shared" ref="I470:I472" si="19">G470+I399</f>
        <v>0</v>
      </c>
      <c r="J470" s="68"/>
      <c r="K470" s="68"/>
    </row>
    <row r="471" spans="1:11" x14ac:dyDescent="0.2">
      <c r="A471" s="63"/>
      <c r="B471" s="1"/>
      <c r="C471" s="62"/>
      <c r="D471" s="74" t="s">
        <v>658</v>
      </c>
      <c r="E471" s="67"/>
      <c r="F471" s="67"/>
      <c r="G471" s="85"/>
      <c r="H471" s="85"/>
      <c r="I471" s="85">
        <f t="shared" si="19"/>
        <v>0</v>
      </c>
      <c r="J471" s="68"/>
      <c r="K471" s="68"/>
    </row>
    <row r="472" spans="1:11" x14ac:dyDescent="0.2">
      <c r="A472" s="63"/>
      <c r="B472" s="67"/>
      <c r="C472" s="65"/>
      <c r="D472" s="62" t="s">
        <v>659</v>
      </c>
      <c r="E472" s="62"/>
      <c r="F472" s="62"/>
      <c r="G472" s="377"/>
      <c r="H472" s="85"/>
      <c r="I472" s="85">
        <f t="shared" si="19"/>
        <v>0</v>
      </c>
      <c r="J472" s="68"/>
      <c r="K472" s="68"/>
    </row>
    <row r="473" spans="1:11" x14ac:dyDescent="0.2">
      <c r="A473" s="63"/>
      <c r="B473" s="1"/>
      <c r="C473" s="65" t="s">
        <v>660</v>
      </c>
      <c r="D473" s="74"/>
      <c r="E473" s="74"/>
      <c r="F473" s="74"/>
      <c r="G473" s="379">
        <f>SUM(G469:G472)</f>
        <v>0</v>
      </c>
      <c r="H473" s="85"/>
      <c r="I473" s="379">
        <f>SUM(I469:I472)</f>
        <v>0</v>
      </c>
      <c r="J473" s="68"/>
      <c r="K473" s="68"/>
    </row>
    <row r="474" spans="1:11" x14ac:dyDescent="0.2">
      <c r="A474" s="63"/>
      <c r="B474" s="1"/>
      <c r="C474" s="62"/>
      <c r="D474" s="62"/>
      <c r="E474" s="62"/>
      <c r="F474" s="62"/>
      <c r="G474" s="377"/>
      <c r="H474" s="85"/>
      <c r="I474" s="85"/>
      <c r="J474" s="68"/>
      <c r="K474" s="68"/>
    </row>
    <row r="475" spans="1:11" x14ac:dyDescent="0.2">
      <c r="A475" s="63"/>
      <c r="B475" s="84" t="s">
        <v>661</v>
      </c>
      <c r="C475" s="84" t="s">
        <v>662</v>
      </c>
      <c r="D475" s="66"/>
      <c r="E475" s="66"/>
      <c r="F475" s="62"/>
      <c r="G475" s="73">
        <f>G462-G466+G473</f>
        <v>0</v>
      </c>
      <c r="H475" s="85"/>
      <c r="I475" s="73" t="e">
        <f>I462-I466+I473</f>
        <v>#REF!</v>
      </c>
      <c r="J475" s="68"/>
      <c r="K475" s="68"/>
    </row>
    <row r="476" spans="1:11" x14ac:dyDescent="0.2">
      <c r="A476" s="63"/>
      <c r="B476" s="1"/>
      <c r="C476" s="62"/>
      <c r="D476" s="62"/>
      <c r="E476" s="62"/>
      <c r="F476" s="62"/>
      <c r="G476" s="85"/>
      <c r="H476" s="85"/>
      <c r="I476" s="85"/>
      <c r="J476" s="68"/>
      <c r="K476" s="68"/>
    </row>
    <row r="477" spans="1:11" x14ac:dyDescent="0.2">
      <c r="A477" s="63"/>
      <c r="B477" s="84" t="s">
        <v>663</v>
      </c>
      <c r="C477" s="84" t="s">
        <v>664</v>
      </c>
      <c r="D477" s="66"/>
      <c r="E477" s="62"/>
      <c r="F477" s="62"/>
      <c r="G477" s="73" t="e">
        <f>G407</f>
        <v>#REF!</v>
      </c>
      <c r="H477" s="73"/>
      <c r="I477" s="73">
        <v>1312251855.8000002</v>
      </c>
      <c r="J477" s="68"/>
      <c r="K477" s="68"/>
    </row>
    <row r="478" spans="1:11" x14ac:dyDescent="0.2">
      <c r="A478" s="63"/>
      <c r="B478" s="1"/>
      <c r="C478" s="62"/>
      <c r="D478" s="62"/>
      <c r="E478" s="62"/>
      <c r="F478" s="62"/>
      <c r="G478" s="73"/>
      <c r="H478" s="73"/>
      <c r="I478" s="73"/>
      <c r="J478" s="68"/>
      <c r="K478" s="68"/>
    </row>
    <row r="479" spans="1:11" x14ac:dyDescent="0.2">
      <c r="A479" s="63"/>
      <c r="B479" s="67" t="s">
        <v>665</v>
      </c>
      <c r="C479" s="65" t="s">
        <v>664</v>
      </c>
      <c r="D479" s="62"/>
      <c r="E479" s="62"/>
      <c r="F479" s="62"/>
      <c r="G479" s="73" t="e">
        <f>G475+G477</f>
        <v>#REF!</v>
      </c>
      <c r="H479" s="73"/>
      <c r="I479" s="73" t="e">
        <f>I475+I477</f>
        <v>#REF!</v>
      </c>
      <c r="J479" s="68"/>
      <c r="K479" s="68"/>
    </row>
    <row r="480" spans="1:11" x14ac:dyDescent="0.2">
      <c r="A480" s="61"/>
      <c r="B480" s="60"/>
      <c r="C480" s="60"/>
      <c r="D480" s="60"/>
      <c r="E480" s="60"/>
      <c r="F480" s="60"/>
      <c r="G480" s="91"/>
      <c r="H480" s="91"/>
      <c r="I480" s="91"/>
      <c r="J480" s="378"/>
      <c r="K480" s="378"/>
    </row>
    <row r="481" spans="1:11" x14ac:dyDescent="0.2">
      <c r="A481" s="459"/>
      <c r="B481" s="459"/>
      <c r="C481" s="459"/>
      <c r="D481" s="459"/>
      <c r="E481" s="459"/>
      <c r="F481" s="62"/>
      <c r="G481" s="92" t="e">
        <f>#REF!</f>
        <v>#REF!</v>
      </c>
      <c r="H481" s="92"/>
      <c r="I481" s="92"/>
    </row>
    <row r="482" spans="1:11" x14ac:dyDescent="0.2">
      <c r="A482" s="447" t="s">
        <v>413</v>
      </c>
      <c r="B482" s="447"/>
      <c r="C482" s="447"/>
      <c r="D482" s="447"/>
      <c r="E482" s="447"/>
      <c r="F482" s="447" t="s">
        <v>410</v>
      </c>
      <c r="G482" s="447"/>
      <c r="H482" s="447"/>
      <c r="I482" s="447"/>
      <c r="J482" s="447"/>
      <c r="K482" s="447"/>
    </row>
    <row r="483" spans="1:11" x14ac:dyDescent="0.2">
      <c r="A483" s="447" t="s">
        <v>480</v>
      </c>
      <c r="B483" s="447"/>
      <c r="C483" s="447"/>
      <c r="D483" s="447"/>
      <c r="E483" s="447"/>
      <c r="F483" s="447" t="s">
        <v>481</v>
      </c>
      <c r="G483" s="447"/>
      <c r="H483" s="447"/>
      <c r="I483" s="447"/>
      <c r="J483" s="447"/>
      <c r="K483" s="447"/>
    </row>
    <row r="484" spans="1:11" x14ac:dyDescent="0.2">
      <c r="A484" s="447"/>
      <c r="B484" s="447"/>
      <c r="C484" s="447"/>
      <c r="D484" s="447"/>
      <c r="E484" s="447"/>
      <c r="F484" s="447"/>
      <c r="G484" s="447"/>
      <c r="H484" s="447"/>
      <c r="I484" s="447"/>
      <c r="J484" s="447"/>
      <c r="K484" s="447"/>
    </row>
    <row r="485" spans="1:11" x14ac:dyDescent="0.2">
      <c r="A485" s="447"/>
      <c r="B485" s="447"/>
      <c r="C485" s="447"/>
      <c r="D485" s="447"/>
      <c r="E485" s="447"/>
      <c r="F485" s="447"/>
      <c r="G485" s="447"/>
      <c r="H485" s="447"/>
      <c r="I485" s="447"/>
      <c r="J485" s="447"/>
      <c r="K485" s="447"/>
    </row>
    <row r="486" spans="1:11" x14ac:dyDescent="0.2">
      <c r="A486" s="447" t="s">
        <v>463</v>
      </c>
      <c r="B486" s="447"/>
      <c r="C486" s="447"/>
      <c r="D486" s="447"/>
      <c r="E486" s="447"/>
      <c r="F486" s="447" t="s">
        <v>411</v>
      </c>
      <c r="G486" s="447"/>
      <c r="H486" s="447"/>
      <c r="I486" s="447"/>
      <c r="J486" s="447"/>
      <c r="K486" s="447"/>
    </row>
    <row r="487" spans="1:11" x14ac:dyDescent="0.2">
      <c r="A487" s="447"/>
      <c r="B487" s="447"/>
      <c r="C487" s="447"/>
      <c r="D487" s="447"/>
      <c r="E487" s="447"/>
      <c r="F487" s="447"/>
      <c r="G487" s="447"/>
      <c r="H487" s="447"/>
      <c r="I487" s="447"/>
      <c r="J487" s="447"/>
      <c r="K487" s="447"/>
    </row>
    <row r="504" spans="1:11" x14ac:dyDescent="0.2">
      <c r="A504" s="450" t="s">
        <v>633</v>
      </c>
      <c r="B504" s="450"/>
      <c r="C504" s="374" t="s">
        <v>634</v>
      </c>
      <c r="D504" s="62"/>
      <c r="E504" s="62"/>
      <c r="F504" s="62"/>
    </row>
    <row r="505" spans="1:11" x14ac:dyDescent="0.2">
      <c r="B505" s="62"/>
      <c r="C505" s="62"/>
      <c r="D505" s="62"/>
      <c r="E505" s="62"/>
      <c r="F505" s="62"/>
    </row>
    <row r="506" spans="1:11" ht="15" x14ac:dyDescent="0.25">
      <c r="A506" s="69"/>
      <c r="B506" s="452"/>
      <c r="C506" s="452"/>
      <c r="D506" s="452"/>
      <c r="E506" s="452"/>
      <c r="F506" s="452"/>
      <c r="G506" s="452"/>
      <c r="H506" s="452"/>
      <c r="I506" s="452"/>
      <c r="J506" s="375"/>
      <c r="K506" s="375"/>
    </row>
    <row r="507" spans="1:11" ht="15" x14ac:dyDescent="0.25">
      <c r="A507" s="63"/>
      <c r="B507" s="448" t="s">
        <v>462</v>
      </c>
      <c r="C507" s="448"/>
      <c r="D507" s="448"/>
      <c r="E507" s="448"/>
      <c r="F507" s="448"/>
      <c r="G507" s="448"/>
      <c r="H507" s="448"/>
      <c r="I507" s="448"/>
      <c r="J507" s="68"/>
      <c r="K507" s="68"/>
    </row>
    <row r="508" spans="1:11" ht="15" x14ac:dyDescent="0.25">
      <c r="A508" s="63"/>
      <c r="B508" s="448" t="s">
        <v>15</v>
      </c>
      <c r="C508" s="448"/>
      <c r="D508" s="448"/>
      <c r="E508" s="448"/>
      <c r="F508" s="448"/>
      <c r="G508" s="448"/>
      <c r="H508" s="448"/>
      <c r="I508" s="448"/>
      <c r="J508" s="68"/>
      <c r="K508" s="68"/>
    </row>
    <row r="509" spans="1:11" ht="15" x14ac:dyDescent="0.25">
      <c r="A509" s="63"/>
      <c r="B509" s="451" t="s">
        <v>671</v>
      </c>
      <c r="C509" s="451"/>
      <c r="D509" s="451"/>
      <c r="E509" s="451"/>
      <c r="F509" s="451"/>
      <c r="G509" s="451"/>
      <c r="H509" s="451"/>
      <c r="I509" s="451"/>
      <c r="J509" s="68"/>
      <c r="K509" s="68"/>
    </row>
    <row r="510" spans="1:11" x14ac:dyDescent="0.2">
      <c r="A510" s="63"/>
      <c r="B510" s="62"/>
      <c r="C510" s="62"/>
      <c r="D510" s="62"/>
      <c r="E510" s="62"/>
      <c r="F510" s="62"/>
      <c r="J510" s="68"/>
      <c r="K510" s="68"/>
    </row>
    <row r="511" spans="1:11" x14ac:dyDescent="0.2">
      <c r="A511" s="63"/>
      <c r="B511" s="453" t="s">
        <v>10</v>
      </c>
      <c r="C511" s="454"/>
      <c r="D511" s="454"/>
      <c r="E511" s="455"/>
      <c r="F511" s="64"/>
      <c r="G511" s="82" t="s">
        <v>12</v>
      </c>
      <c r="H511" s="64"/>
      <c r="I511" s="82" t="s">
        <v>13</v>
      </c>
      <c r="J511" s="68"/>
      <c r="K511" s="68"/>
    </row>
    <row r="512" spans="1:11" x14ac:dyDescent="0.2">
      <c r="A512" s="63"/>
      <c r="B512" s="456"/>
      <c r="C512" s="457"/>
      <c r="D512" s="457"/>
      <c r="E512" s="458"/>
      <c r="F512" s="64"/>
      <c r="G512" s="83" t="s">
        <v>14</v>
      </c>
      <c r="H512" s="64"/>
      <c r="I512" s="83" t="s">
        <v>14</v>
      </c>
      <c r="J512" s="68"/>
      <c r="K512" s="68"/>
    </row>
    <row r="513" spans="1:11" x14ac:dyDescent="0.2">
      <c r="A513" s="63"/>
      <c r="B513" s="84" t="s">
        <v>636</v>
      </c>
      <c r="C513" s="84" t="s">
        <v>649</v>
      </c>
      <c r="D513" s="84"/>
      <c r="E513" s="62"/>
      <c r="F513" s="62"/>
      <c r="G513" s="85"/>
      <c r="H513" s="85"/>
      <c r="I513" s="85"/>
      <c r="J513" s="68"/>
      <c r="K513" s="68"/>
    </row>
    <row r="514" spans="1:11" x14ac:dyDescent="0.2">
      <c r="A514" s="63"/>
      <c r="B514" s="1"/>
      <c r="C514" s="65" t="s">
        <v>637</v>
      </c>
      <c r="D514" s="62"/>
      <c r="E514" s="62"/>
      <c r="F514" s="62"/>
      <c r="G514" s="85"/>
      <c r="H514" s="85"/>
      <c r="I514" s="85"/>
      <c r="J514" s="68"/>
      <c r="K514" s="68"/>
    </row>
    <row r="515" spans="1:11" x14ac:dyDescent="0.2">
      <c r="A515" s="63"/>
      <c r="B515" s="1"/>
      <c r="C515" s="62"/>
      <c r="D515" s="62">
        <v>1</v>
      </c>
      <c r="E515" s="62" t="s">
        <v>638</v>
      </c>
      <c r="F515" s="62"/>
      <c r="G515" s="85"/>
      <c r="H515" s="85"/>
      <c r="I515" s="85" t="e">
        <f>G515+I443</f>
        <v>#REF!</v>
      </c>
      <c r="J515" s="68"/>
      <c r="K515" s="68"/>
    </row>
    <row r="516" spans="1:11" x14ac:dyDescent="0.2">
      <c r="A516" s="63"/>
      <c r="B516" s="1"/>
      <c r="C516" s="62"/>
      <c r="D516" s="62">
        <v>2</v>
      </c>
      <c r="E516" s="62" t="s">
        <v>639</v>
      </c>
      <c r="F516" s="62"/>
      <c r="G516" s="85"/>
      <c r="H516" s="85"/>
      <c r="I516" s="85" t="e">
        <f t="shared" ref="I516:I519" si="20">G516+I444</f>
        <v>#REF!</v>
      </c>
      <c r="J516" s="68"/>
      <c r="K516" s="68"/>
    </row>
    <row r="517" spans="1:11" x14ac:dyDescent="0.2">
      <c r="A517" s="63"/>
      <c r="B517" s="1"/>
      <c r="C517" s="62"/>
      <c r="D517" s="62">
        <v>3</v>
      </c>
      <c r="E517" s="62" t="s">
        <v>640</v>
      </c>
      <c r="F517" s="62"/>
      <c r="G517" s="85"/>
      <c r="H517" s="85"/>
      <c r="I517" s="85" t="e">
        <f t="shared" si="20"/>
        <v>#REF!</v>
      </c>
      <c r="J517" s="68"/>
      <c r="K517" s="68"/>
    </row>
    <row r="518" spans="1:11" x14ac:dyDescent="0.2">
      <c r="A518" s="63"/>
      <c r="B518" s="1"/>
      <c r="C518" s="62"/>
      <c r="D518" s="62">
        <v>4</v>
      </c>
      <c r="E518" s="62" t="s">
        <v>645</v>
      </c>
      <c r="F518" s="62"/>
      <c r="G518" s="85"/>
      <c r="H518" s="85"/>
      <c r="I518" s="85">
        <f t="shared" si="20"/>
        <v>0</v>
      </c>
      <c r="J518" s="68"/>
      <c r="K518" s="68"/>
    </row>
    <row r="519" spans="1:11" x14ac:dyDescent="0.2">
      <c r="A519" s="63"/>
      <c r="B519" s="1"/>
      <c r="C519" s="62"/>
      <c r="D519" s="62">
        <v>5</v>
      </c>
      <c r="E519" s="62" t="s">
        <v>641</v>
      </c>
      <c r="F519" s="62"/>
      <c r="G519" s="85"/>
      <c r="H519" s="85"/>
      <c r="I519" s="85">
        <f t="shared" si="20"/>
        <v>0</v>
      </c>
      <c r="J519" s="68"/>
      <c r="K519" s="68"/>
    </row>
    <row r="520" spans="1:11" x14ac:dyDescent="0.2">
      <c r="A520" s="63"/>
      <c r="B520" s="1"/>
      <c r="C520" s="62"/>
      <c r="D520" s="62"/>
      <c r="E520" s="62"/>
      <c r="F520" s="62"/>
      <c r="G520" s="85"/>
      <c r="H520" s="85"/>
      <c r="I520" s="85"/>
      <c r="J520" s="68"/>
      <c r="K520" s="68"/>
    </row>
    <row r="521" spans="1:11" x14ac:dyDescent="0.2">
      <c r="A521" s="63"/>
      <c r="B521" s="1"/>
      <c r="C521" s="65"/>
      <c r="D521" s="65" t="s">
        <v>16</v>
      </c>
      <c r="E521" s="65"/>
      <c r="F521" s="62"/>
      <c r="G521" s="86">
        <f>SUM(G515:G519)</f>
        <v>0</v>
      </c>
      <c r="H521" s="85"/>
      <c r="I521" s="86" t="e">
        <f>SUM(I515:I519)</f>
        <v>#REF!</v>
      </c>
      <c r="J521" s="68"/>
      <c r="K521" s="68"/>
    </row>
    <row r="522" spans="1:11" x14ac:dyDescent="0.2">
      <c r="A522" s="63"/>
      <c r="B522" s="1"/>
      <c r="C522" s="65"/>
      <c r="D522" s="65"/>
      <c r="E522" s="65"/>
      <c r="F522" s="62"/>
      <c r="G522" s="73"/>
      <c r="H522" s="85"/>
      <c r="I522" s="73"/>
      <c r="J522" s="68"/>
      <c r="K522" s="68"/>
    </row>
    <row r="523" spans="1:11" x14ac:dyDescent="0.2">
      <c r="A523" s="63"/>
      <c r="B523" s="1"/>
      <c r="C523" s="65" t="s">
        <v>642</v>
      </c>
      <c r="D523" s="62"/>
      <c r="E523" s="62"/>
      <c r="F523" s="62"/>
      <c r="G523" s="85"/>
      <c r="H523" s="85"/>
      <c r="I523" s="85"/>
      <c r="J523" s="68"/>
      <c r="K523" s="68"/>
    </row>
    <row r="524" spans="1:11" x14ac:dyDescent="0.2">
      <c r="A524" s="63"/>
      <c r="B524" s="1"/>
      <c r="C524" s="62"/>
      <c r="D524" s="62">
        <v>1</v>
      </c>
      <c r="E524" s="87" t="s">
        <v>190</v>
      </c>
      <c r="F524" s="62"/>
      <c r="G524" s="85"/>
      <c r="H524" s="85"/>
      <c r="I524" s="85">
        <f>G524+I452</f>
        <v>0</v>
      </c>
      <c r="J524" s="68"/>
      <c r="K524" s="68"/>
    </row>
    <row r="525" spans="1:11" x14ac:dyDescent="0.2">
      <c r="A525" s="63"/>
      <c r="B525" s="1"/>
      <c r="C525" s="62"/>
      <c r="D525" s="62">
        <v>2</v>
      </c>
      <c r="E525" s="87" t="s">
        <v>191</v>
      </c>
      <c r="F525" s="62"/>
      <c r="G525" s="85"/>
      <c r="H525" s="85"/>
      <c r="I525" s="85">
        <f t="shared" ref="I525:I530" si="21">G525+I453</f>
        <v>0</v>
      </c>
      <c r="J525" s="68"/>
      <c r="K525" s="68"/>
    </row>
    <row r="526" spans="1:11" x14ac:dyDescent="0.2">
      <c r="A526" s="63"/>
      <c r="B526" s="1"/>
      <c r="C526" s="62"/>
      <c r="D526" s="62">
        <v>3</v>
      </c>
      <c r="E526" s="87" t="s">
        <v>643</v>
      </c>
      <c r="F526" s="67"/>
      <c r="G526" s="85"/>
      <c r="H526" s="85"/>
      <c r="I526" s="85">
        <f t="shared" si="21"/>
        <v>1200000</v>
      </c>
      <c r="J526" s="68"/>
      <c r="K526" s="68"/>
    </row>
    <row r="527" spans="1:11" x14ac:dyDescent="0.2">
      <c r="A527" s="63"/>
      <c r="B527" s="1"/>
      <c r="C527" s="62"/>
      <c r="D527" s="62">
        <v>4</v>
      </c>
      <c r="E527" s="87" t="s">
        <v>644</v>
      </c>
      <c r="F527" s="62"/>
      <c r="G527" s="85"/>
      <c r="H527" s="85"/>
      <c r="I527" s="85">
        <f t="shared" si="21"/>
        <v>0</v>
      </c>
      <c r="J527" s="68"/>
      <c r="K527" s="68"/>
    </row>
    <row r="528" spans="1:11" x14ac:dyDescent="0.2">
      <c r="A528" s="63"/>
      <c r="B528" s="1"/>
      <c r="C528" s="62"/>
      <c r="D528" s="62">
        <v>5</v>
      </c>
      <c r="E528" s="87" t="s">
        <v>632</v>
      </c>
      <c r="F528" s="67"/>
      <c r="G528" s="85"/>
      <c r="H528" s="85"/>
      <c r="I528" s="85">
        <f t="shared" si="21"/>
        <v>0</v>
      </c>
      <c r="J528" s="68"/>
      <c r="K528" s="68"/>
    </row>
    <row r="529" spans="1:11" x14ac:dyDescent="0.2">
      <c r="A529" s="63"/>
      <c r="B529" s="1"/>
      <c r="C529" s="62"/>
      <c r="D529" s="62">
        <v>6</v>
      </c>
      <c r="E529" s="87" t="s">
        <v>646</v>
      </c>
      <c r="F529" s="67"/>
      <c r="G529" s="85"/>
      <c r="H529" s="85"/>
      <c r="I529" s="85">
        <f t="shared" si="21"/>
        <v>0</v>
      </c>
      <c r="J529" s="68"/>
      <c r="K529" s="68"/>
    </row>
    <row r="530" spans="1:11" x14ac:dyDescent="0.2">
      <c r="A530" s="63"/>
      <c r="B530" s="1"/>
      <c r="C530" s="62"/>
      <c r="D530" s="62">
        <v>7</v>
      </c>
      <c r="E530" s="87" t="s">
        <v>647</v>
      </c>
      <c r="F530" s="67"/>
      <c r="G530" s="85"/>
      <c r="H530" s="85"/>
      <c r="I530" s="85">
        <f t="shared" si="21"/>
        <v>0</v>
      </c>
      <c r="J530" s="68"/>
      <c r="K530" s="68"/>
    </row>
    <row r="531" spans="1:11" x14ac:dyDescent="0.2">
      <c r="A531" s="63"/>
      <c r="B531" s="67"/>
      <c r="C531" s="65"/>
      <c r="D531" s="62"/>
      <c r="E531" s="87"/>
      <c r="F531" s="62"/>
      <c r="G531" s="85"/>
      <c r="H531" s="85"/>
      <c r="I531" s="85"/>
      <c r="J531" s="68"/>
      <c r="K531" s="68"/>
    </row>
    <row r="532" spans="1:11" x14ac:dyDescent="0.2">
      <c r="A532" s="63"/>
      <c r="B532" s="1"/>
      <c r="C532" s="62"/>
      <c r="D532" s="65" t="s">
        <v>17</v>
      </c>
      <c r="E532" s="64"/>
      <c r="F532" s="88"/>
      <c r="G532" s="86">
        <f>SUM(G524:G531)</f>
        <v>0</v>
      </c>
      <c r="H532" s="85"/>
      <c r="I532" s="86">
        <f>SUM(I524:I531)</f>
        <v>1200000</v>
      </c>
      <c r="J532" s="68"/>
      <c r="K532" s="68"/>
    </row>
    <row r="533" spans="1:11" x14ac:dyDescent="0.2">
      <c r="A533" s="63"/>
      <c r="B533" s="1"/>
      <c r="C533" s="62"/>
      <c r="D533" s="62"/>
      <c r="E533" s="62"/>
      <c r="F533" s="62"/>
      <c r="G533" s="85"/>
      <c r="H533" s="85"/>
      <c r="I533" s="85"/>
      <c r="J533" s="68"/>
      <c r="K533" s="68"/>
    </row>
    <row r="534" spans="1:11" x14ac:dyDescent="0.2">
      <c r="A534" s="63"/>
      <c r="B534" s="1"/>
      <c r="C534" s="65" t="s">
        <v>648</v>
      </c>
      <c r="D534" s="65"/>
      <c r="E534" s="65"/>
      <c r="F534" s="62"/>
      <c r="G534" s="304">
        <f>G521-G532</f>
        <v>0</v>
      </c>
      <c r="H534" s="85"/>
      <c r="I534" s="304" t="e">
        <f>I521-I532</f>
        <v>#REF!</v>
      </c>
      <c r="K534" s="68"/>
    </row>
    <row r="535" spans="1:11" x14ac:dyDescent="0.2">
      <c r="A535" s="63"/>
      <c r="B535" s="1"/>
      <c r="C535" s="62"/>
      <c r="D535" s="62"/>
      <c r="E535" s="62"/>
      <c r="F535" s="62"/>
      <c r="G535" s="85"/>
      <c r="H535" s="85"/>
      <c r="I535" s="85"/>
      <c r="J535" s="68"/>
      <c r="K535" s="68"/>
    </row>
    <row r="536" spans="1:11" x14ac:dyDescent="0.2">
      <c r="A536" s="63"/>
      <c r="B536" s="84" t="s">
        <v>650</v>
      </c>
      <c r="C536" s="84" t="s">
        <v>651</v>
      </c>
      <c r="D536" s="74"/>
      <c r="E536" s="67"/>
      <c r="F536" s="67"/>
      <c r="G536" s="85"/>
      <c r="H536" s="85"/>
      <c r="I536" s="85"/>
      <c r="J536" s="68"/>
      <c r="K536" s="68"/>
    </row>
    <row r="537" spans="1:11" x14ac:dyDescent="0.2">
      <c r="A537" s="63"/>
      <c r="B537" s="67"/>
      <c r="C537" s="65"/>
      <c r="D537" s="62" t="s">
        <v>652</v>
      </c>
      <c r="E537" s="62"/>
      <c r="F537" s="62"/>
      <c r="G537" s="85"/>
      <c r="H537" s="85"/>
      <c r="I537" s="85" t="e">
        <f>G537+I465</f>
        <v>#REF!</v>
      </c>
      <c r="J537" s="68"/>
      <c r="K537" s="68"/>
    </row>
    <row r="538" spans="1:11" x14ac:dyDescent="0.2">
      <c r="A538" s="63"/>
      <c r="B538" s="1"/>
      <c r="C538" s="65" t="s">
        <v>653</v>
      </c>
      <c r="D538" s="74"/>
      <c r="E538" s="74"/>
      <c r="F538" s="74"/>
      <c r="G538" s="86">
        <f>SUM(G537)</f>
        <v>0</v>
      </c>
      <c r="H538" s="73"/>
      <c r="I538" s="86" t="e">
        <f>SUM(I537)</f>
        <v>#REF!</v>
      </c>
      <c r="J538" s="68"/>
      <c r="K538" s="68"/>
    </row>
    <row r="539" spans="1:11" x14ac:dyDescent="0.2">
      <c r="A539" s="63"/>
      <c r="B539" s="1"/>
      <c r="C539" s="449"/>
      <c r="D539" s="449"/>
      <c r="E539" s="449"/>
      <c r="F539" s="62"/>
      <c r="G539" s="264"/>
      <c r="H539" s="89"/>
      <c r="I539" s="264"/>
      <c r="J539" s="68"/>
      <c r="K539" s="68"/>
    </row>
    <row r="540" spans="1:11" x14ac:dyDescent="0.2">
      <c r="A540" s="63"/>
      <c r="B540" s="84" t="s">
        <v>654</v>
      </c>
      <c r="C540" s="84" t="s">
        <v>655</v>
      </c>
      <c r="D540" s="62"/>
      <c r="E540" s="62"/>
      <c r="F540" s="62"/>
      <c r="G540" s="89"/>
      <c r="H540" s="89"/>
      <c r="I540" s="89"/>
      <c r="J540" s="68"/>
      <c r="K540" s="68"/>
    </row>
    <row r="541" spans="1:11" x14ac:dyDescent="0.2">
      <c r="A541" s="63"/>
      <c r="B541" s="80"/>
      <c r="C541" s="80"/>
      <c r="D541" s="62" t="s">
        <v>656</v>
      </c>
      <c r="E541" s="80"/>
      <c r="F541" s="67"/>
      <c r="G541" s="264"/>
      <c r="H541" s="89"/>
      <c r="I541" s="85">
        <f>G541+I470</f>
        <v>0</v>
      </c>
      <c r="J541" s="68"/>
      <c r="K541" s="68"/>
    </row>
    <row r="542" spans="1:11" x14ac:dyDescent="0.2">
      <c r="A542" s="63"/>
      <c r="B542" s="84"/>
      <c r="C542" s="62"/>
      <c r="D542" s="62" t="s">
        <v>657</v>
      </c>
      <c r="E542" s="62"/>
      <c r="F542" s="62"/>
      <c r="G542" s="85"/>
      <c r="H542" s="85"/>
      <c r="I542" s="85">
        <f t="shared" ref="I542:I544" si="22">G542+I471</f>
        <v>0</v>
      </c>
      <c r="J542" s="68"/>
      <c r="K542" s="68"/>
    </row>
    <row r="543" spans="1:11" x14ac:dyDescent="0.2">
      <c r="A543" s="63"/>
      <c r="B543" s="1"/>
      <c r="C543" s="62"/>
      <c r="D543" s="74" t="s">
        <v>658</v>
      </c>
      <c r="E543" s="67"/>
      <c r="F543" s="67"/>
      <c r="G543" s="85"/>
      <c r="H543" s="85"/>
      <c r="I543" s="85">
        <f t="shared" si="22"/>
        <v>0</v>
      </c>
      <c r="J543" s="68"/>
      <c r="K543" s="68"/>
    </row>
    <row r="544" spans="1:11" x14ac:dyDescent="0.2">
      <c r="A544" s="63"/>
      <c r="B544" s="67"/>
      <c r="C544" s="65"/>
      <c r="D544" s="62" t="s">
        <v>659</v>
      </c>
      <c r="E544" s="62"/>
      <c r="F544" s="62"/>
      <c r="G544" s="377"/>
      <c r="H544" s="85"/>
      <c r="I544" s="85">
        <f t="shared" si="22"/>
        <v>0</v>
      </c>
      <c r="J544" s="68"/>
      <c r="K544" s="68"/>
    </row>
    <row r="545" spans="1:11" x14ac:dyDescent="0.2">
      <c r="A545" s="63"/>
      <c r="B545" s="1"/>
      <c r="C545" s="65" t="s">
        <v>660</v>
      </c>
      <c r="D545" s="74"/>
      <c r="E545" s="74"/>
      <c r="F545" s="74"/>
      <c r="G545" s="379">
        <f>SUM(G541:G544)</f>
        <v>0</v>
      </c>
      <c r="H545" s="85"/>
      <c r="I545" s="379">
        <f>SUM(I541:I544)</f>
        <v>0</v>
      </c>
      <c r="J545" s="68"/>
      <c r="K545" s="68"/>
    </row>
    <row r="546" spans="1:11" x14ac:dyDescent="0.2">
      <c r="A546" s="63"/>
      <c r="B546" s="1"/>
      <c r="C546" s="62"/>
      <c r="D546" s="62"/>
      <c r="E546" s="62"/>
      <c r="F546" s="62"/>
      <c r="G546" s="377"/>
      <c r="H546" s="85"/>
      <c r="I546" s="85"/>
      <c r="J546" s="68"/>
      <c r="K546" s="68"/>
    </row>
    <row r="547" spans="1:11" x14ac:dyDescent="0.2">
      <c r="A547" s="63"/>
      <c r="B547" s="84" t="s">
        <v>661</v>
      </c>
      <c r="C547" s="84" t="s">
        <v>662</v>
      </c>
      <c r="D547" s="66"/>
      <c r="E547" s="66"/>
      <c r="F547" s="62"/>
      <c r="G547" s="73">
        <f>G534-G538+G545</f>
        <v>0</v>
      </c>
      <c r="H547" s="85"/>
      <c r="I547" s="73" t="e">
        <f>I534-I538+I545</f>
        <v>#REF!</v>
      </c>
      <c r="J547" s="68"/>
      <c r="K547" s="68"/>
    </row>
    <row r="548" spans="1:11" x14ac:dyDescent="0.2">
      <c r="A548" s="63"/>
      <c r="B548" s="1"/>
      <c r="C548" s="62"/>
      <c r="D548" s="62"/>
      <c r="E548" s="62"/>
      <c r="F548" s="62"/>
      <c r="G548" s="85"/>
      <c r="H548" s="85"/>
      <c r="I548" s="85"/>
      <c r="J548" s="68"/>
      <c r="K548" s="68"/>
    </row>
    <row r="549" spans="1:11" x14ac:dyDescent="0.2">
      <c r="A549" s="63"/>
      <c r="B549" s="84" t="s">
        <v>663</v>
      </c>
      <c r="C549" s="84" t="s">
        <v>664</v>
      </c>
      <c r="D549" s="66"/>
      <c r="E549" s="62"/>
      <c r="F549" s="62"/>
      <c r="G549" s="73" t="e">
        <f>G479</f>
        <v>#REF!</v>
      </c>
      <c r="H549" s="73"/>
      <c r="I549" s="73">
        <v>1312251855.8000002</v>
      </c>
      <c r="J549" s="68"/>
      <c r="K549" s="68"/>
    </row>
    <row r="550" spans="1:11" x14ac:dyDescent="0.2">
      <c r="A550" s="63"/>
      <c r="B550" s="1"/>
      <c r="C550" s="62"/>
      <c r="D550" s="62"/>
      <c r="E550" s="62"/>
      <c r="F550" s="62"/>
      <c r="G550" s="73"/>
      <c r="H550" s="73"/>
      <c r="I550" s="73"/>
      <c r="J550" s="68"/>
      <c r="K550" s="68"/>
    </row>
    <row r="551" spans="1:11" x14ac:dyDescent="0.2">
      <c r="A551" s="63"/>
      <c r="B551" s="67" t="s">
        <v>665</v>
      </c>
      <c r="C551" s="65" t="s">
        <v>664</v>
      </c>
      <c r="D551" s="62"/>
      <c r="E551" s="62"/>
      <c r="F551" s="62"/>
      <c r="G551" s="73" t="e">
        <f>G547+G549</f>
        <v>#REF!</v>
      </c>
      <c r="H551" s="73"/>
      <c r="I551" s="73" t="e">
        <f>I547+I549</f>
        <v>#REF!</v>
      </c>
      <c r="J551" s="68"/>
      <c r="K551" s="68"/>
    </row>
    <row r="552" spans="1:11" x14ac:dyDescent="0.2">
      <c r="A552" s="61"/>
      <c r="B552" s="60"/>
      <c r="C552" s="60"/>
      <c r="D552" s="60"/>
      <c r="E552" s="60"/>
      <c r="F552" s="60"/>
      <c r="G552" s="91"/>
      <c r="H552" s="91"/>
      <c r="I552" s="91"/>
      <c r="J552" s="378"/>
      <c r="K552" s="378"/>
    </row>
    <row r="553" spans="1:11" x14ac:dyDescent="0.2">
      <c r="A553" s="459"/>
      <c r="B553" s="459"/>
      <c r="C553" s="459"/>
      <c r="D553" s="459"/>
      <c r="E553" s="459"/>
      <c r="F553" s="62"/>
      <c r="G553" s="92" t="e">
        <f>#REF!</f>
        <v>#REF!</v>
      </c>
      <c r="H553" s="92"/>
      <c r="I553" s="92"/>
    </row>
    <row r="554" spans="1:11" x14ac:dyDescent="0.2">
      <c r="A554" s="447" t="s">
        <v>413</v>
      </c>
      <c r="B554" s="447"/>
      <c r="C554" s="447"/>
      <c r="D554" s="447"/>
      <c r="E554" s="447"/>
      <c r="F554" s="447" t="s">
        <v>410</v>
      </c>
      <c r="G554" s="447"/>
      <c r="H554" s="447"/>
      <c r="I554" s="447"/>
      <c r="J554" s="447"/>
      <c r="K554" s="447"/>
    </row>
    <row r="555" spans="1:11" x14ac:dyDescent="0.2">
      <c r="A555" s="447" t="s">
        <v>480</v>
      </c>
      <c r="B555" s="447"/>
      <c r="C555" s="447"/>
      <c r="D555" s="447"/>
      <c r="E555" s="447"/>
      <c r="F555" s="447" t="s">
        <v>481</v>
      </c>
      <c r="G555" s="447"/>
      <c r="H555" s="447"/>
      <c r="I555" s="447"/>
      <c r="J555" s="447"/>
      <c r="K555" s="447"/>
    </row>
    <row r="556" spans="1:11" x14ac:dyDescent="0.2">
      <c r="A556" s="447"/>
      <c r="B556" s="447"/>
      <c r="C556" s="447"/>
      <c r="D556" s="447"/>
      <c r="E556" s="447"/>
      <c r="F556" s="447"/>
      <c r="G556" s="447"/>
      <c r="H556" s="447"/>
      <c r="I556" s="447"/>
      <c r="J556" s="447"/>
      <c r="K556" s="447"/>
    </row>
    <row r="557" spans="1:11" x14ac:dyDescent="0.2">
      <c r="A557" s="447"/>
      <c r="B557" s="447"/>
      <c r="C557" s="447"/>
      <c r="D557" s="447"/>
      <c r="E557" s="447"/>
      <c r="F557" s="447"/>
      <c r="G557" s="447"/>
      <c r="H557" s="447"/>
      <c r="I557" s="447"/>
      <c r="J557" s="447"/>
      <c r="K557" s="447"/>
    </row>
    <row r="558" spans="1:11" x14ac:dyDescent="0.2">
      <c r="A558" s="447" t="s">
        <v>463</v>
      </c>
      <c r="B558" s="447"/>
      <c r="C558" s="447"/>
      <c r="D558" s="447"/>
      <c r="E558" s="447"/>
      <c r="F558" s="447" t="s">
        <v>411</v>
      </c>
      <c r="G558" s="447"/>
      <c r="H558" s="447"/>
      <c r="I558" s="447"/>
      <c r="J558" s="447"/>
      <c r="K558" s="447"/>
    </row>
    <row r="559" spans="1:11" x14ac:dyDescent="0.2">
      <c r="A559" s="447"/>
      <c r="B559" s="447"/>
      <c r="C559" s="447"/>
      <c r="D559" s="447"/>
      <c r="E559" s="447"/>
      <c r="F559" s="447"/>
      <c r="G559" s="447"/>
      <c r="H559" s="447"/>
      <c r="I559" s="447"/>
      <c r="J559" s="447"/>
      <c r="K559" s="447"/>
    </row>
    <row r="576" spans="1:6" x14ac:dyDescent="0.2">
      <c r="A576" s="450" t="s">
        <v>633</v>
      </c>
      <c r="B576" s="450"/>
      <c r="C576" s="374" t="s">
        <v>634</v>
      </c>
      <c r="D576" s="62"/>
      <c r="E576" s="62"/>
      <c r="F576" s="62"/>
    </row>
    <row r="577" spans="1:11" x14ac:dyDescent="0.2">
      <c r="B577" s="62"/>
      <c r="C577" s="62"/>
      <c r="D577" s="62"/>
      <c r="E577" s="62"/>
      <c r="F577" s="62"/>
    </row>
    <row r="578" spans="1:11" ht="15" x14ac:dyDescent="0.25">
      <c r="A578" s="69"/>
      <c r="B578" s="452"/>
      <c r="C578" s="452"/>
      <c r="D578" s="452"/>
      <c r="E578" s="452"/>
      <c r="F578" s="452"/>
      <c r="G578" s="452"/>
      <c r="H578" s="452"/>
      <c r="I578" s="452"/>
      <c r="J578" s="375"/>
      <c r="K578" s="375"/>
    </row>
    <row r="579" spans="1:11" ht="15" x14ac:dyDescent="0.25">
      <c r="A579" s="63"/>
      <c r="B579" s="448" t="s">
        <v>462</v>
      </c>
      <c r="C579" s="448"/>
      <c r="D579" s="448"/>
      <c r="E579" s="448"/>
      <c r="F579" s="448"/>
      <c r="G579" s="448"/>
      <c r="H579" s="448"/>
      <c r="I579" s="448"/>
      <c r="J579" s="68"/>
      <c r="K579" s="68"/>
    </row>
    <row r="580" spans="1:11" ht="15" x14ac:dyDescent="0.25">
      <c r="A580" s="63"/>
      <c r="B580" s="448" t="s">
        <v>15</v>
      </c>
      <c r="C580" s="448"/>
      <c r="D580" s="448"/>
      <c r="E580" s="448"/>
      <c r="F580" s="448"/>
      <c r="G580" s="448"/>
      <c r="H580" s="448"/>
      <c r="I580" s="448"/>
      <c r="J580" s="68"/>
      <c r="K580" s="68"/>
    </row>
    <row r="581" spans="1:11" ht="15" x14ac:dyDescent="0.25">
      <c r="A581" s="63"/>
      <c r="B581" s="451" t="s">
        <v>672</v>
      </c>
      <c r="C581" s="451"/>
      <c r="D581" s="451"/>
      <c r="E581" s="451"/>
      <c r="F581" s="451"/>
      <c r="G581" s="451"/>
      <c r="H581" s="451"/>
      <c r="I581" s="451"/>
      <c r="J581" s="68"/>
      <c r="K581" s="68"/>
    </row>
    <row r="582" spans="1:11" x14ac:dyDescent="0.2">
      <c r="A582" s="63"/>
      <c r="B582" s="62"/>
      <c r="C582" s="62"/>
      <c r="D582" s="62"/>
      <c r="E582" s="62"/>
      <c r="F582" s="62"/>
      <c r="J582" s="68"/>
      <c r="K582" s="68"/>
    </row>
    <row r="583" spans="1:11" x14ac:dyDescent="0.2">
      <c r="A583" s="63"/>
      <c r="B583" s="453" t="s">
        <v>10</v>
      </c>
      <c r="C583" s="454"/>
      <c r="D583" s="454"/>
      <c r="E583" s="455"/>
      <c r="F583" s="64"/>
      <c r="G583" s="82" t="s">
        <v>12</v>
      </c>
      <c r="H583" s="64"/>
      <c r="I583" s="82" t="s">
        <v>13</v>
      </c>
      <c r="J583" s="68"/>
      <c r="K583" s="68"/>
    </row>
    <row r="584" spans="1:11" x14ac:dyDescent="0.2">
      <c r="A584" s="63"/>
      <c r="B584" s="456"/>
      <c r="C584" s="457"/>
      <c r="D584" s="457"/>
      <c r="E584" s="458"/>
      <c r="F584" s="64"/>
      <c r="G584" s="83" t="s">
        <v>14</v>
      </c>
      <c r="H584" s="64"/>
      <c r="I584" s="83" t="s">
        <v>14</v>
      </c>
      <c r="J584" s="68"/>
      <c r="K584" s="68"/>
    </row>
    <row r="585" spans="1:11" x14ac:dyDescent="0.2">
      <c r="A585" s="63"/>
      <c r="B585" s="84" t="s">
        <v>636</v>
      </c>
      <c r="C585" s="84" t="s">
        <v>649</v>
      </c>
      <c r="D585" s="84"/>
      <c r="E585" s="62"/>
      <c r="F585" s="62"/>
      <c r="G585" s="85"/>
      <c r="H585" s="85"/>
      <c r="I585" s="85"/>
      <c r="J585" s="68"/>
      <c r="K585" s="68"/>
    </row>
    <row r="586" spans="1:11" x14ac:dyDescent="0.2">
      <c r="A586" s="63"/>
      <c r="B586" s="1"/>
      <c r="C586" s="65" t="s">
        <v>637</v>
      </c>
      <c r="D586" s="62"/>
      <c r="E586" s="62"/>
      <c r="F586" s="62"/>
      <c r="G586" s="85"/>
      <c r="H586" s="85"/>
      <c r="I586" s="85"/>
      <c r="J586" s="68"/>
      <c r="K586" s="68"/>
    </row>
    <row r="587" spans="1:11" x14ac:dyDescent="0.2">
      <c r="A587" s="63"/>
      <c r="B587" s="1"/>
      <c r="C587" s="62"/>
      <c r="D587" s="62">
        <v>1</v>
      </c>
      <c r="E587" s="62" t="s">
        <v>638</v>
      </c>
      <c r="F587" s="62"/>
      <c r="G587" s="85"/>
      <c r="H587" s="85"/>
      <c r="I587" s="85" t="e">
        <f>G587+I515</f>
        <v>#REF!</v>
      </c>
      <c r="J587" s="68"/>
      <c r="K587" s="68"/>
    </row>
    <row r="588" spans="1:11" x14ac:dyDescent="0.2">
      <c r="A588" s="63"/>
      <c r="B588" s="1"/>
      <c r="C588" s="62"/>
      <c r="D588" s="62">
        <v>2</v>
      </c>
      <c r="E588" s="62" t="s">
        <v>639</v>
      </c>
      <c r="F588" s="62"/>
      <c r="G588" s="85"/>
      <c r="H588" s="85"/>
      <c r="I588" s="85" t="e">
        <f t="shared" ref="I588:I591" si="23">G588+I516</f>
        <v>#REF!</v>
      </c>
      <c r="J588" s="68"/>
      <c r="K588" s="68"/>
    </row>
    <row r="589" spans="1:11" x14ac:dyDescent="0.2">
      <c r="A589" s="63"/>
      <c r="B589" s="1"/>
      <c r="C589" s="62"/>
      <c r="D589" s="62">
        <v>3</v>
      </c>
      <c r="E589" s="62" t="s">
        <v>640</v>
      </c>
      <c r="F589" s="62"/>
      <c r="G589" s="85"/>
      <c r="H589" s="85"/>
      <c r="I589" s="85" t="e">
        <f t="shared" si="23"/>
        <v>#REF!</v>
      </c>
      <c r="J589" s="68"/>
      <c r="K589" s="68"/>
    </row>
    <row r="590" spans="1:11" x14ac:dyDescent="0.2">
      <c r="A590" s="63"/>
      <c r="B590" s="1"/>
      <c r="C590" s="62"/>
      <c r="D590" s="62">
        <v>4</v>
      </c>
      <c r="E590" s="62" t="s">
        <v>645</v>
      </c>
      <c r="F590" s="62"/>
      <c r="G590" s="85"/>
      <c r="H590" s="85"/>
      <c r="I590" s="85">
        <f t="shared" si="23"/>
        <v>0</v>
      </c>
      <c r="J590" s="68"/>
      <c r="K590" s="68"/>
    </row>
    <row r="591" spans="1:11" x14ac:dyDescent="0.2">
      <c r="A591" s="63"/>
      <c r="B591" s="1"/>
      <c r="C591" s="62"/>
      <c r="D591" s="62">
        <v>5</v>
      </c>
      <c r="E591" s="62" t="s">
        <v>641</v>
      </c>
      <c r="F591" s="62"/>
      <c r="G591" s="85"/>
      <c r="H591" s="85"/>
      <c r="I591" s="85">
        <f t="shared" si="23"/>
        <v>0</v>
      </c>
      <c r="J591" s="68"/>
      <c r="K591" s="68"/>
    </row>
    <row r="592" spans="1:11" x14ac:dyDescent="0.2">
      <c r="A592" s="63"/>
      <c r="B592" s="1"/>
      <c r="C592" s="62"/>
      <c r="D592" s="62"/>
      <c r="E592" s="62"/>
      <c r="F592" s="62"/>
      <c r="G592" s="85"/>
      <c r="H592" s="85"/>
      <c r="I592" s="85"/>
      <c r="J592" s="68"/>
      <c r="K592" s="68"/>
    </row>
    <row r="593" spans="1:11" x14ac:dyDescent="0.2">
      <c r="A593" s="63"/>
      <c r="B593" s="1"/>
      <c r="C593" s="65"/>
      <c r="D593" s="65" t="s">
        <v>16</v>
      </c>
      <c r="E593" s="65"/>
      <c r="F593" s="62"/>
      <c r="G593" s="86">
        <f>SUM(G587:G591)</f>
        <v>0</v>
      </c>
      <c r="H593" s="85"/>
      <c r="I593" s="86" t="e">
        <f>SUM(I587:I591)</f>
        <v>#REF!</v>
      </c>
      <c r="J593" s="68"/>
      <c r="K593" s="68"/>
    </row>
    <row r="594" spans="1:11" x14ac:dyDescent="0.2">
      <c r="A594" s="63"/>
      <c r="B594" s="1"/>
      <c r="C594" s="65"/>
      <c r="D594" s="65"/>
      <c r="E594" s="65"/>
      <c r="F594" s="62"/>
      <c r="G594" s="73"/>
      <c r="H594" s="85"/>
      <c r="I594" s="73"/>
      <c r="J594" s="68"/>
      <c r="K594" s="68"/>
    </row>
    <row r="595" spans="1:11" x14ac:dyDescent="0.2">
      <c r="A595" s="63"/>
      <c r="B595" s="1"/>
      <c r="C595" s="65" t="s">
        <v>642</v>
      </c>
      <c r="D595" s="62"/>
      <c r="E595" s="62"/>
      <c r="F595" s="62"/>
      <c r="G595" s="85"/>
      <c r="H595" s="85"/>
      <c r="I595" s="85"/>
      <c r="J595" s="68"/>
      <c r="K595" s="68"/>
    </row>
    <row r="596" spans="1:11" x14ac:dyDescent="0.2">
      <c r="A596" s="63"/>
      <c r="B596" s="1"/>
      <c r="C596" s="62"/>
      <c r="D596" s="62">
        <v>1</v>
      </c>
      <c r="E596" s="87" t="s">
        <v>190</v>
      </c>
      <c r="F596" s="62"/>
      <c r="G596" s="85"/>
      <c r="H596" s="85"/>
      <c r="I596" s="85">
        <f>G596+I524</f>
        <v>0</v>
      </c>
      <c r="J596" s="68"/>
      <c r="K596" s="68"/>
    </row>
    <row r="597" spans="1:11" x14ac:dyDescent="0.2">
      <c r="A597" s="63"/>
      <c r="B597" s="1"/>
      <c r="C597" s="62"/>
      <c r="D597" s="62">
        <v>2</v>
      </c>
      <c r="E597" s="87" t="s">
        <v>191</v>
      </c>
      <c r="F597" s="62"/>
      <c r="G597" s="85"/>
      <c r="H597" s="85"/>
      <c r="I597" s="85">
        <f t="shared" ref="I597:I602" si="24">G597+I525</f>
        <v>0</v>
      </c>
      <c r="J597" s="68"/>
      <c r="K597" s="68"/>
    </row>
    <row r="598" spans="1:11" x14ac:dyDescent="0.2">
      <c r="A598" s="63"/>
      <c r="B598" s="1"/>
      <c r="C598" s="62"/>
      <c r="D598" s="62">
        <v>3</v>
      </c>
      <c r="E598" s="87" t="s">
        <v>643</v>
      </c>
      <c r="F598" s="67"/>
      <c r="G598" s="85"/>
      <c r="H598" s="85"/>
      <c r="I598" s="85">
        <f t="shared" si="24"/>
        <v>1200000</v>
      </c>
      <c r="J598" s="68"/>
      <c r="K598" s="68"/>
    </row>
    <row r="599" spans="1:11" x14ac:dyDescent="0.2">
      <c r="A599" s="63"/>
      <c r="B599" s="1"/>
      <c r="C599" s="62"/>
      <c r="D599" s="62">
        <v>4</v>
      </c>
      <c r="E599" s="87" t="s">
        <v>644</v>
      </c>
      <c r="F599" s="62"/>
      <c r="G599" s="85"/>
      <c r="H599" s="85"/>
      <c r="I599" s="85">
        <f t="shared" si="24"/>
        <v>0</v>
      </c>
      <c r="J599" s="68"/>
      <c r="K599" s="68"/>
    </row>
    <row r="600" spans="1:11" x14ac:dyDescent="0.2">
      <c r="A600" s="63"/>
      <c r="B600" s="1"/>
      <c r="C600" s="62"/>
      <c r="D600" s="62">
        <v>5</v>
      </c>
      <c r="E600" s="87" t="s">
        <v>632</v>
      </c>
      <c r="F600" s="67"/>
      <c r="G600" s="85"/>
      <c r="H600" s="85"/>
      <c r="I600" s="85">
        <f t="shared" si="24"/>
        <v>0</v>
      </c>
      <c r="J600" s="68"/>
      <c r="K600" s="68"/>
    </row>
    <row r="601" spans="1:11" x14ac:dyDescent="0.2">
      <c r="A601" s="63"/>
      <c r="B601" s="1"/>
      <c r="C601" s="62"/>
      <c r="D601" s="62">
        <v>6</v>
      </c>
      <c r="E601" s="87" t="s">
        <v>646</v>
      </c>
      <c r="F601" s="67"/>
      <c r="G601" s="85"/>
      <c r="H601" s="85"/>
      <c r="I601" s="85">
        <f t="shared" si="24"/>
        <v>0</v>
      </c>
      <c r="J601" s="68"/>
      <c r="K601" s="68"/>
    </row>
    <row r="602" spans="1:11" x14ac:dyDescent="0.2">
      <c r="A602" s="63"/>
      <c r="B602" s="1"/>
      <c r="C602" s="62"/>
      <c r="D602" s="62">
        <v>7</v>
      </c>
      <c r="E602" s="87" t="s">
        <v>647</v>
      </c>
      <c r="F602" s="67"/>
      <c r="G602" s="85"/>
      <c r="H602" s="85"/>
      <c r="I602" s="85">
        <f t="shared" si="24"/>
        <v>0</v>
      </c>
      <c r="J602" s="68"/>
      <c r="K602" s="68"/>
    </row>
    <row r="603" spans="1:11" x14ac:dyDescent="0.2">
      <c r="A603" s="63"/>
      <c r="B603" s="67"/>
      <c r="C603" s="65"/>
      <c r="D603" s="62"/>
      <c r="E603" s="87"/>
      <c r="F603" s="62"/>
      <c r="G603" s="85"/>
      <c r="H603" s="85"/>
      <c r="I603" s="85"/>
      <c r="J603" s="68"/>
      <c r="K603" s="68"/>
    </row>
    <row r="604" spans="1:11" x14ac:dyDescent="0.2">
      <c r="A604" s="63"/>
      <c r="B604" s="1"/>
      <c r="C604" s="62"/>
      <c r="D604" s="65" t="s">
        <v>17</v>
      </c>
      <c r="E604" s="64"/>
      <c r="F604" s="88"/>
      <c r="G604" s="86">
        <f>SUM(G596:G603)</f>
        <v>0</v>
      </c>
      <c r="H604" s="85"/>
      <c r="I604" s="86">
        <f>SUM(I596:I603)</f>
        <v>1200000</v>
      </c>
      <c r="J604" s="68"/>
      <c r="K604" s="68"/>
    </row>
    <row r="605" spans="1:11" x14ac:dyDescent="0.2">
      <c r="A605" s="63"/>
      <c r="B605" s="1"/>
      <c r="C605" s="62"/>
      <c r="D605" s="62"/>
      <c r="E605" s="62"/>
      <c r="F605" s="62"/>
      <c r="G605" s="85"/>
      <c r="H605" s="85"/>
      <c r="I605" s="85"/>
      <c r="J605" s="68"/>
      <c r="K605" s="68"/>
    </row>
    <row r="606" spans="1:11" x14ac:dyDescent="0.2">
      <c r="A606" s="63"/>
      <c r="B606" s="1"/>
      <c r="C606" s="65" t="s">
        <v>648</v>
      </c>
      <c r="D606" s="65"/>
      <c r="E606" s="65"/>
      <c r="F606" s="62"/>
      <c r="G606" s="304">
        <f>G593-G604</f>
        <v>0</v>
      </c>
      <c r="H606" s="85"/>
      <c r="I606" s="304" t="e">
        <f>I593-I604</f>
        <v>#REF!</v>
      </c>
      <c r="K606" s="68"/>
    </row>
    <row r="607" spans="1:11" x14ac:dyDescent="0.2">
      <c r="A607" s="63"/>
      <c r="B607" s="1"/>
      <c r="C607" s="62"/>
      <c r="D607" s="62"/>
      <c r="E607" s="62"/>
      <c r="F607" s="62"/>
      <c r="G607" s="85"/>
      <c r="H607" s="85"/>
      <c r="I607" s="85"/>
      <c r="J607" s="68"/>
      <c r="K607" s="68"/>
    </row>
    <row r="608" spans="1:11" x14ac:dyDescent="0.2">
      <c r="A608" s="63"/>
      <c r="B608" s="84" t="s">
        <v>650</v>
      </c>
      <c r="C608" s="84" t="s">
        <v>651</v>
      </c>
      <c r="D608" s="74"/>
      <c r="E608" s="67"/>
      <c r="F608" s="67"/>
      <c r="G608" s="85"/>
      <c r="H608" s="85"/>
      <c r="I608" s="85"/>
      <c r="J608" s="68"/>
      <c r="K608" s="68"/>
    </row>
    <row r="609" spans="1:11" x14ac:dyDescent="0.2">
      <c r="A609" s="63"/>
      <c r="B609" s="67"/>
      <c r="C609" s="65"/>
      <c r="D609" s="62" t="s">
        <v>652</v>
      </c>
      <c r="E609" s="62"/>
      <c r="F609" s="62"/>
      <c r="G609" s="85"/>
      <c r="H609" s="85"/>
      <c r="I609" s="85" t="e">
        <f>G609+I537</f>
        <v>#REF!</v>
      </c>
      <c r="J609" s="68"/>
      <c r="K609" s="68"/>
    </row>
    <row r="610" spans="1:11" x14ac:dyDescent="0.2">
      <c r="A610" s="63"/>
      <c r="B610" s="1"/>
      <c r="C610" s="65" t="s">
        <v>653</v>
      </c>
      <c r="D610" s="74"/>
      <c r="E610" s="74"/>
      <c r="F610" s="74"/>
      <c r="G610" s="86">
        <f>SUM(G609)</f>
        <v>0</v>
      </c>
      <c r="H610" s="73"/>
      <c r="I610" s="86" t="e">
        <f>SUM(I609)</f>
        <v>#REF!</v>
      </c>
      <c r="J610" s="68"/>
      <c r="K610" s="68"/>
    </row>
    <row r="611" spans="1:11" x14ac:dyDescent="0.2">
      <c r="A611" s="63"/>
      <c r="B611" s="1"/>
      <c r="C611" s="449"/>
      <c r="D611" s="449"/>
      <c r="E611" s="449"/>
      <c r="F611" s="62"/>
      <c r="G611" s="264"/>
      <c r="H611" s="89"/>
      <c r="I611" s="264"/>
      <c r="J611" s="68"/>
      <c r="K611" s="68"/>
    </row>
    <row r="612" spans="1:11" x14ac:dyDescent="0.2">
      <c r="A612" s="63"/>
      <c r="B612" s="84" t="s">
        <v>654</v>
      </c>
      <c r="C612" s="84" t="s">
        <v>655</v>
      </c>
      <c r="D612" s="62"/>
      <c r="E612" s="62"/>
      <c r="F612" s="62"/>
      <c r="G612" s="89"/>
      <c r="H612" s="89"/>
      <c r="I612" s="89"/>
      <c r="J612" s="68"/>
      <c r="K612" s="68"/>
    </row>
    <row r="613" spans="1:11" x14ac:dyDescent="0.2">
      <c r="A613" s="63"/>
      <c r="B613" s="80"/>
      <c r="C613" s="80"/>
      <c r="D613" s="62" t="s">
        <v>656</v>
      </c>
      <c r="E613" s="80"/>
      <c r="F613" s="67"/>
      <c r="G613" s="264"/>
      <c r="H613" s="89"/>
      <c r="I613" s="85">
        <f>G613+I542</f>
        <v>0</v>
      </c>
      <c r="J613" s="68"/>
      <c r="K613" s="68"/>
    </row>
    <row r="614" spans="1:11" x14ac:dyDescent="0.2">
      <c r="A614" s="63"/>
      <c r="B614" s="84"/>
      <c r="C614" s="62"/>
      <c r="D614" s="62" t="s">
        <v>657</v>
      </c>
      <c r="E614" s="62"/>
      <c r="F614" s="62"/>
      <c r="G614" s="85"/>
      <c r="H614" s="85"/>
      <c r="I614" s="85">
        <f t="shared" ref="I614:I616" si="25">G614+I543</f>
        <v>0</v>
      </c>
      <c r="J614" s="68"/>
      <c r="K614" s="68"/>
    </row>
    <row r="615" spans="1:11" x14ac:dyDescent="0.2">
      <c r="A615" s="63"/>
      <c r="B615" s="1"/>
      <c r="C615" s="62"/>
      <c r="D615" s="74" t="s">
        <v>658</v>
      </c>
      <c r="E615" s="67"/>
      <c r="F615" s="67"/>
      <c r="G615" s="85"/>
      <c r="H615" s="85"/>
      <c r="I615" s="85">
        <f t="shared" si="25"/>
        <v>0</v>
      </c>
      <c r="J615" s="68"/>
      <c r="K615" s="68"/>
    </row>
    <row r="616" spans="1:11" x14ac:dyDescent="0.2">
      <c r="A616" s="63"/>
      <c r="B616" s="67"/>
      <c r="C616" s="65"/>
      <c r="D616" s="62" t="s">
        <v>659</v>
      </c>
      <c r="E616" s="62"/>
      <c r="F616" s="62"/>
      <c r="G616" s="377"/>
      <c r="H616" s="85"/>
      <c r="I616" s="85">
        <f t="shared" si="25"/>
        <v>0</v>
      </c>
      <c r="J616" s="68"/>
      <c r="K616" s="68"/>
    </row>
    <row r="617" spans="1:11" x14ac:dyDescent="0.2">
      <c r="A617" s="63"/>
      <c r="B617" s="1"/>
      <c r="C617" s="65" t="s">
        <v>660</v>
      </c>
      <c r="D617" s="74"/>
      <c r="E617" s="74"/>
      <c r="F617" s="74"/>
      <c r="G617" s="379">
        <f>SUM(G613:G616)</f>
        <v>0</v>
      </c>
      <c r="H617" s="85"/>
      <c r="I617" s="379">
        <f>SUM(I613:I616)</f>
        <v>0</v>
      </c>
      <c r="J617" s="68"/>
      <c r="K617" s="68"/>
    </row>
    <row r="618" spans="1:11" x14ac:dyDescent="0.2">
      <c r="A618" s="63"/>
      <c r="B618" s="1"/>
      <c r="C618" s="62"/>
      <c r="D618" s="62"/>
      <c r="E618" s="62"/>
      <c r="F618" s="62"/>
      <c r="G618" s="377"/>
      <c r="H618" s="85"/>
      <c r="I618" s="85"/>
      <c r="J618" s="68"/>
      <c r="K618" s="68"/>
    </row>
    <row r="619" spans="1:11" x14ac:dyDescent="0.2">
      <c r="A619" s="63"/>
      <c r="B619" s="84" t="s">
        <v>661</v>
      </c>
      <c r="C619" s="84" t="s">
        <v>662</v>
      </c>
      <c r="D619" s="66"/>
      <c r="E619" s="66"/>
      <c r="F619" s="62"/>
      <c r="G619" s="73">
        <f>G606-G610+G617</f>
        <v>0</v>
      </c>
      <c r="H619" s="85"/>
      <c r="I619" s="73" t="e">
        <f>I606-I610+I617</f>
        <v>#REF!</v>
      </c>
      <c r="J619" s="68"/>
      <c r="K619" s="68"/>
    </row>
    <row r="620" spans="1:11" x14ac:dyDescent="0.2">
      <c r="A620" s="63"/>
      <c r="B620" s="1"/>
      <c r="C620" s="62"/>
      <c r="D620" s="62"/>
      <c r="E620" s="62"/>
      <c r="F620" s="62"/>
      <c r="G620" s="85"/>
      <c r="H620" s="85"/>
      <c r="I620" s="85"/>
      <c r="J620" s="68"/>
      <c r="K620" s="68"/>
    </row>
    <row r="621" spans="1:11" x14ac:dyDescent="0.2">
      <c r="A621" s="63"/>
      <c r="B621" s="84" t="s">
        <v>663</v>
      </c>
      <c r="C621" s="84" t="s">
        <v>664</v>
      </c>
      <c r="D621" s="66"/>
      <c r="E621" s="62"/>
      <c r="F621" s="62"/>
      <c r="G621" s="73" t="e">
        <f>G551</f>
        <v>#REF!</v>
      </c>
      <c r="H621" s="73"/>
      <c r="I621" s="73">
        <v>1312251855.8000002</v>
      </c>
      <c r="J621" s="68"/>
      <c r="K621" s="68"/>
    </row>
    <row r="622" spans="1:11" x14ac:dyDescent="0.2">
      <c r="A622" s="63"/>
      <c r="B622" s="1"/>
      <c r="C622" s="62"/>
      <c r="D622" s="62"/>
      <c r="E622" s="62"/>
      <c r="F622" s="62"/>
      <c r="G622" s="73"/>
      <c r="H622" s="73"/>
      <c r="I622" s="73"/>
      <c r="J622" s="68"/>
      <c r="K622" s="68"/>
    </row>
    <row r="623" spans="1:11" x14ac:dyDescent="0.2">
      <c r="A623" s="63"/>
      <c r="B623" s="67" t="s">
        <v>665</v>
      </c>
      <c r="C623" s="65" t="s">
        <v>664</v>
      </c>
      <c r="D623" s="62"/>
      <c r="E623" s="62"/>
      <c r="F623" s="62"/>
      <c r="G623" s="73" t="e">
        <f>G619+G621</f>
        <v>#REF!</v>
      </c>
      <c r="H623" s="73"/>
      <c r="I623" s="73" t="e">
        <f>I619+I621</f>
        <v>#REF!</v>
      </c>
      <c r="J623" s="68"/>
      <c r="K623" s="68"/>
    </row>
    <row r="624" spans="1:11" x14ac:dyDescent="0.2">
      <c r="A624" s="61"/>
      <c r="B624" s="60"/>
      <c r="C624" s="60"/>
      <c r="D624" s="60"/>
      <c r="E624" s="60"/>
      <c r="F624" s="60"/>
      <c r="G624" s="91"/>
      <c r="H624" s="91"/>
      <c r="I624" s="91"/>
      <c r="J624" s="378"/>
      <c r="K624" s="378"/>
    </row>
    <row r="625" spans="1:11" x14ac:dyDescent="0.2">
      <c r="A625" s="459"/>
      <c r="B625" s="459"/>
      <c r="C625" s="459"/>
      <c r="D625" s="459"/>
      <c r="E625" s="459"/>
      <c r="F625" s="62"/>
      <c r="G625" s="92"/>
      <c r="H625" s="92"/>
      <c r="I625" s="92"/>
    </row>
    <row r="626" spans="1:11" x14ac:dyDescent="0.2">
      <c r="A626" s="447" t="s">
        <v>413</v>
      </c>
      <c r="B626" s="447"/>
      <c r="C626" s="447"/>
      <c r="D626" s="447"/>
      <c r="E626" s="447"/>
      <c r="F626" s="447" t="s">
        <v>410</v>
      </c>
      <c r="G626" s="447"/>
      <c r="H626" s="447"/>
      <c r="I626" s="447"/>
      <c r="J626" s="447"/>
      <c r="K626" s="447"/>
    </row>
    <row r="627" spans="1:11" x14ac:dyDescent="0.2">
      <c r="A627" s="447" t="s">
        <v>480</v>
      </c>
      <c r="B627" s="447"/>
      <c r="C627" s="447"/>
      <c r="D627" s="447"/>
      <c r="E627" s="447"/>
      <c r="F627" s="447" t="s">
        <v>481</v>
      </c>
      <c r="G627" s="447"/>
      <c r="H627" s="447"/>
      <c r="I627" s="447"/>
      <c r="J627" s="447"/>
      <c r="K627" s="447"/>
    </row>
    <row r="628" spans="1:11" x14ac:dyDescent="0.2">
      <c r="A628" s="447"/>
      <c r="B628" s="447"/>
      <c r="C628" s="447"/>
      <c r="D628" s="447"/>
      <c r="E628" s="447"/>
      <c r="F628" s="447"/>
      <c r="G628" s="447"/>
      <c r="H628" s="447"/>
      <c r="I628" s="447"/>
      <c r="J628" s="447"/>
      <c r="K628" s="447"/>
    </row>
    <row r="629" spans="1:11" x14ac:dyDescent="0.2">
      <c r="A629" s="447"/>
      <c r="B629" s="447"/>
      <c r="C629" s="447"/>
      <c r="D629" s="447"/>
      <c r="E629" s="447"/>
      <c r="F629" s="447"/>
      <c r="G629" s="447"/>
      <c r="H629" s="447"/>
      <c r="I629" s="447"/>
      <c r="J629" s="447"/>
      <c r="K629" s="447"/>
    </row>
    <row r="630" spans="1:11" x14ac:dyDescent="0.2">
      <c r="A630" s="447" t="s">
        <v>463</v>
      </c>
      <c r="B630" s="447"/>
      <c r="C630" s="447"/>
      <c r="D630" s="447"/>
      <c r="E630" s="447"/>
      <c r="F630" s="447" t="s">
        <v>411</v>
      </c>
      <c r="G630" s="447"/>
      <c r="H630" s="447"/>
      <c r="I630" s="447"/>
      <c r="J630" s="447"/>
      <c r="K630" s="447"/>
    </row>
    <row r="631" spans="1:11" x14ac:dyDescent="0.2">
      <c r="A631" s="447"/>
      <c r="B631" s="447"/>
      <c r="C631" s="447"/>
      <c r="D631" s="447"/>
      <c r="E631" s="447"/>
      <c r="F631" s="447"/>
      <c r="G631" s="447"/>
      <c r="H631" s="447"/>
      <c r="I631" s="447"/>
      <c r="J631" s="447"/>
      <c r="K631" s="447"/>
    </row>
    <row r="648" spans="1:11" x14ac:dyDescent="0.2">
      <c r="A648" s="450" t="s">
        <v>633</v>
      </c>
      <c r="B648" s="450"/>
      <c r="C648" s="374" t="s">
        <v>634</v>
      </c>
      <c r="D648" s="62"/>
      <c r="E648" s="62"/>
      <c r="F648" s="62"/>
    </row>
    <row r="649" spans="1:11" x14ac:dyDescent="0.2">
      <c r="B649" s="62"/>
      <c r="C649" s="62"/>
      <c r="D649" s="62"/>
      <c r="E649" s="62"/>
      <c r="F649" s="62"/>
    </row>
    <row r="650" spans="1:11" ht="15" x14ac:dyDescent="0.25">
      <c r="A650" s="69"/>
      <c r="B650" s="452"/>
      <c r="C650" s="452"/>
      <c r="D650" s="452"/>
      <c r="E650" s="452"/>
      <c r="F650" s="452"/>
      <c r="G650" s="452"/>
      <c r="H650" s="452"/>
      <c r="I650" s="452"/>
      <c r="J650" s="375"/>
      <c r="K650" s="375"/>
    </row>
    <row r="651" spans="1:11" ht="15" x14ac:dyDescent="0.25">
      <c r="A651" s="63"/>
      <c r="B651" s="448" t="s">
        <v>462</v>
      </c>
      <c r="C651" s="448"/>
      <c r="D651" s="448"/>
      <c r="E651" s="448"/>
      <c r="F651" s="448"/>
      <c r="G651" s="448"/>
      <c r="H651" s="448"/>
      <c r="I651" s="448"/>
      <c r="J651" s="68"/>
      <c r="K651" s="68"/>
    </row>
    <row r="652" spans="1:11" ht="15" x14ac:dyDescent="0.25">
      <c r="A652" s="63"/>
      <c r="B652" s="448" t="s">
        <v>15</v>
      </c>
      <c r="C652" s="448"/>
      <c r="D652" s="448"/>
      <c r="E652" s="448"/>
      <c r="F652" s="448"/>
      <c r="G652" s="448"/>
      <c r="H652" s="448"/>
      <c r="I652" s="448"/>
      <c r="J652" s="68"/>
      <c r="K652" s="68"/>
    </row>
    <row r="653" spans="1:11" ht="15" x14ac:dyDescent="0.25">
      <c r="A653" s="63"/>
      <c r="B653" s="451" t="s">
        <v>673</v>
      </c>
      <c r="C653" s="451"/>
      <c r="D653" s="451"/>
      <c r="E653" s="451"/>
      <c r="F653" s="451"/>
      <c r="G653" s="451"/>
      <c r="H653" s="451"/>
      <c r="I653" s="451"/>
      <c r="J653" s="68"/>
      <c r="K653" s="68"/>
    </row>
    <row r="654" spans="1:11" x14ac:dyDescent="0.2">
      <c r="A654" s="63"/>
      <c r="B654" s="62"/>
      <c r="C654" s="62"/>
      <c r="D654" s="62"/>
      <c r="E654" s="62"/>
      <c r="F654" s="62"/>
      <c r="J654" s="68"/>
      <c r="K654" s="68"/>
    </row>
    <row r="655" spans="1:11" x14ac:dyDescent="0.2">
      <c r="A655" s="63"/>
      <c r="B655" s="453" t="s">
        <v>10</v>
      </c>
      <c r="C655" s="454"/>
      <c r="D655" s="454"/>
      <c r="E655" s="455"/>
      <c r="F655" s="64"/>
      <c r="G655" s="82" t="s">
        <v>12</v>
      </c>
      <c r="H655" s="64"/>
      <c r="I655" s="82" t="s">
        <v>13</v>
      </c>
      <c r="J655" s="68"/>
      <c r="K655" s="68"/>
    </row>
    <row r="656" spans="1:11" x14ac:dyDescent="0.2">
      <c r="A656" s="63"/>
      <c r="B656" s="456"/>
      <c r="C656" s="457"/>
      <c r="D656" s="457"/>
      <c r="E656" s="458"/>
      <c r="F656" s="64"/>
      <c r="G656" s="83" t="s">
        <v>14</v>
      </c>
      <c r="H656" s="64"/>
      <c r="I656" s="83" t="s">
        <v>14</v>
      </c>
      <c r="J656" s="68"/>
      <c r="K656" s="68"/>
    </row>
    <row r="657" spans="1:11" x14ac:dyDescent="0.2">
      <c r="A657" s="63"/>
      <c r="B657" s="84" t="s">
        <v>636</v>
      </c>
      <c r="C657" s="84" t="s">
        <v>649</v>
      </c>
      <c r="D657" s="84"/>
      <c r="E657" s="62"/>
      <c r="F657" s="62"/>
      <c r="G657" s="85"/>
      <c r="H657" s="85"/>
      <c r="I657" s="85"/>
      <c r="J657" s="68"/>
      <c r="K657" s="68"/>
    </row>
    <row r="658" spans="1:11" x14ac:dyDescent="0.2">
      <c r="A658" s="63"/>
      <c r="B658" s="1"/>
      <c r="C658" s="65" t="s">
        <v>637</v>
      </c>
      <c r="D658" s="62"/>
      <c r="E658" s="62"/>
      <c r="F658" s="62"/>
      <c r="G658" s="85"/>
      <c r="H658" s="85"/>
      <c r="I658" s="85"/>
      <c r="J658" s="68"/>
      <c r="K658" s="68"/>
    </row>
    <row r="659" spans="1:11" x14ac:dyDescent="0.2">
      <c r="A659" s="63"/>
      <c r="B659" s="1"/>
      <c r="C659" s="62"/>
      <c r="D659" s="62">
        <v>1</v>
      </c>
      <c r="E659" s="62" t="s">
        <v>638</v>
      </c>
      <c r="F659" s="62"/>
      <c r="G659" s="85"/>
      <c r="H659" s="85"/>
      <c r="I659" s="85" t="e">
        <f>G659+I587</f>
        <v>#REF!</v>
      </c>
      <c r="J659" s="68"/>
      <c r="K659" s="68"/>
    </row>
    <row r="660" spans="1:11" x14ac:dyDescent="0.2">
      <c r="A660" s="63"/>
      <c r="B660" s="1"/>
      <c r="C660" s="62"/>
      <c r="D660" s="62">
        <v>2</v>
      </c>
      <c r="E660" s="62" t="s">
        <v>639</v>
      </c>
      <c r="F660" s="62"/>
      <c r="G660" s="85"/>
      <c r="H660" s="85"/>
      <c r="I660" s="85" t="e">
        <f t="shared" ref="I660:I663" si="26">G660+I588</f>
        <v>#REF!</v>
      </c>
      <c r="J660" s="68"/>
      <c r="K660" s="68"/>
    </row>
    <row r="661" spans="1:11" x14ac:dyDescent="0.2">
      <c r="A661" s="63"/>
      <c r="B661" s="1"/>
      <c r="C661" s="62"/>
      <c r="D661" s="62">
        <v>3</v>
      </c>
      <c r="E661" s="62" t="s">
        <v>640</v>
      </c>
      <c r="F661" s="62"/>
      <c r="G661" s="85"/>
      <c r="H661" s="85"/>
      <c r="I661" s="85" t="e">
        <f t="shared" si="26"/>
        <v>#REF!</v>
      </c>
      <c r="J661" s="68"/>
      <c r="K661" s="68"/>
    </row>
    <row r="662" spans="1:11" x14ac:dyDescent="0.2">
      <c r="A662" s="63"/>
      <c r="B662" s="1"/>
      <c r="C662" s="62"/>
      <c r="D662" s="62">
        <v>4</v>
      </c>
      <c r="E662" s="62" t="s">
        <v>645</v>
      </c>
      <c r="F662" s="62"/>
      <c r="G662" s="85"/>
      <c r="H662" s="85"/>
      <c r="I662" s="85">
        <f t="shared" si="26"/>
        <v>0</v>
      </c>
      <c r="J662" s="68"/>
      <c r="K662" s="68"/>
    </row>
    <row r="663" spans="1:11" x14ac:dyDescent="0.2">
      <c r="A663" s="63"/>
      <c r="B663" s="1"/>
      <c r="C663" s="62"/>
      <c r="D663" s="62">
        <v>5</v>
      </c>
      <c r="E663" s="62" t="s">
        <v>641</v>
      </c>
      <c r="F663" s="62"/>
      <c r="G663" s="85"/>
      <c r="H663" s="85"/>
      <c r="I663" s="85">
        <f t="shared" si="26"/>
        <v>0</v>
      </c>
      <c r="J663" s="68"/>
      <c r="K663" s="68"/>
    </row>
    <row r="664" spans="1:11" x14ac:dyDescent="0.2">
      <c r="A664" s="63"/>
      <c r="B664" s="1"/>
      <c r="C664" s="62"/>
      <c r="D664" s="62"/>
      <c r="E664" s="62"/>
      <c r="F664" s="62"/>
      <c r="G664" s="85"/>
      <c r="H664" s="85"/>
      <c r="I664" s="85"/>
      <c r="J664" s="68"/>
      <c r="K664" s="68"/>
    </row>
    <row r="665" spans="1:11" x14ac:dyDescent="0.2">
      <c r="A665" s="63"/>
      <c r="B665" s="1"/>
      <c r="C665" s="65"/>
      <c r="D665" s="65" t="s">
        <v>16</v>
      </c>
      <c r="E665" s="65"/>
      <c r="F665" s="62"/>
      <c r="G665" s="86">
        <f>SUM(G659:G663)</f>
        <v>0</v>
      </c>
      <c r="H665" s="85"/>
      <c r="I665" s="86" t="e">
        <f>SUM(I659:I663)</f>
        <v>#REF!</v>
      </c>
      <c r="J665" s="68"/>
      <c r="K665" s="68"/>
    </row>
    <row r="666" spans="1:11" x14ac:dyDescent="0.2">
      <c r="A666" s="63"/>
      <c r="B666" s="1"/>
      <c r="C666" s="65"/>
      <c r="D666" s="65"/>
      <c r="E666" s="65"/>
      <c r="F666" s="62"/>
      <c r="G666" s="73"/>
      <c r="H666" s="85"/>
      <c r="I666" s="73"/>
      <c r="J666" s="68"/>
      <c r="K666" s="68"/>
    </row>
    <row r="667" spans="1:11" x14ac:dyDescent="0.2">
      <c r="A667" s="63"/>
      <c r="B667" s="1"/>
      <c r="C667" s="65" t="s">
        <v>642</v>
      </c>
      <c r="D667" s="62"/>
      <c r="E667" s="62"/>
      <c r="F667" s="62"/>
      <c r="G667" s="85"/>
      <c r="H667" s="85"/>
      <c r="I667" s="85"/>
      <c r="J667" s="68"/>
      <c r="K667" s="68"/>
    </row>
    <row r="668" spans="1:11" x14ac:dyDescent="0.2">
      <c r="A668" s="63"/>
      <c r="B668" s="1"/>
      <c r="C668" s="62"/>
      <c r="D668" s="62">
        <v>1</v>
      </c>
      <c r="E668" s="87" t="s">
        <v>190</v>
      </c>
      <c r="F668" s="62"/>
      <c r="G668" s="85"/>
      <c r="H668" s="85"/>
      <c r="I668" s="85">
        <f>G668+I596</f>
        <v>0</v>
      </c>
      <c r="J668" s="68"/>
      <c r="K668" s="68"/>
    </row>
    <row r="669" spans="1:11" x14ac:dyDescent="0.2">
      <c r="A669" s="63"/>
      <c r="B669" s="1"/>
      <c r="C669" s="62"/>
      <c r="D669" s="62">
        <v>2</v>
      </c>
      <c r="E669" s="87" t="s">
        <v>191</v>
      </c>
      <c r="F669" s="62"/>
      <c r="G669" s="85"/>
      <c r="H669" s="85"/>
      <c r="I669" s="85">
        <f t="shared" ref="I669:I674" si="27">G669+I597</f>
        <v>0</v>
      </c>
      <c r="J669" s="68"/>
      <c r="K669" s="68"/>
    </row>
    <row r="670" spans="1:11" x14ac:dyDescent="0.2">
      <c r="A670" s="63"/>
      <c r="B670" s="1"/>
      <c r="C670" s="62"/>
      <c r="D670" s="62">
        <v>3</v>
      </c>
      <c r="E670" s="87" t="s">
        <v>643</v>
      </c>
      <c r="F670" s="67"/>
      <c r="G670" s="85"/>
      <c r="H670" s="85"/>
      <c r="I670" s="85">
        <f t="shared" si="27"/>
        <v>1200000</v>
      </c>
      <c r="J670" s="68"/>
      <c r="K670" s="68"/>
    </row>
    <row r="671" spans="1:11" x14ac:dyDescent="0.2">
      <c r="A671" s="63"/>
      <c r="B671" s="1"/>
      <c r="C671" s="62"/>
      <c r="D671" s="62">
        <v>4</v>
      </c>
      <c r="E671" s="87" t="s">
        <v>644</v>
      </c>
      <c r="F671" s="62"/>
      <c r="G671" s="85"/>
      <c r="H671" s="85"/>
      <c r="I671" s="85">
        <f t="shared" si="27"/>
        <v>0</v>
      </c>
      <c r="J671" s="68"/>
      <c r="K671" s="68"/>
    </row>
    <row r="672" spans="1:11" x14ac:dyDescent="0.2">
      <c r="A672" s="63"/>
      <c r="B672" s="1"/>
      <c r="C672" s="62"/>
      <c r="D672" s="62">
        <v>5</v>
      </c>
      <c r="E672" s="87" t="s">
        <v>632</v>
      </c>
      <c r="F672" s="67"/>
      <c r="G672" s="85"/>
      <c r="H672" s="85"/>
      <c r="I672" s="85">
        <f t="shared" si="27"/>
        <v>0</v>
      </c>
      <c r="J672" s="68"/>
      <c r="K672" s="68"/>
    </row>
    <row r="673" spans="1:11" x14ac:dyDescent="0.2">
      <c r="A673" s="63"/>
      <c r="B673" s="1"/>
      <c r="C673" s="62"/>
      <c r="D673" s="62">
        <v>6</v>
      </c>
      <c r="E673" s="87" t="s">
        <v>646</v>
      </c>
      <c r="F673" s="67"/>
      <c r="G673" s="85"/>
      <c r="H673" s="85"/>
      <c r="I673" s="85">
        <f t="shared" si="27"/>
        <v>0</v>
      </c>
      <c r="J673" s="68"/>
      <c r="K673" s="68"/>
    </row>
    <row r="674" spans="1:11" x14ac:dyDescent="0.2">
      <c r="A674" s="63"/>
      <c r="B674" s="1"/>
      <c r="C674" s="62"/>
      <c r="D674" s="62">
        <v>7</v>
      </c>
      <c r="E674" s="87" t="s">
        <v>647</v>
      </c>
      <c r="F674" s="67"/>
      <c r="G674" s="85"/>
      <c r="H674" s="85"/>
      <c r="I674" s="85">
        <f t="shared" si="27"/>
        <v>0</v>
      </c>
      <c r="J674" s="68"/>
      <c r="K674" s="68"/>
    </row>
    <row r="675" spans="1:11" x14ac:dyDescent="0.2">
      <c r="A675" s="63"/>
      <c r="B675" s="67"/>
      <c r="C675" s="65"/>
      <c r="D675" s="62"/>
      <c r="E675" s="87"/>
      <c r="F675" s="62"/>
      <c r="G675" s="85"/>
      <c r="H675" s="85"/>
      <c r="I675" s="85"/>
      <c r="J675" s="68"/>
      <c r="K675" s="68"/>
    </row>
    <row r="676" spans="1:11" x14ac:dyDescent="0.2">
      <c r="A676" s="63"/>
      <c r="B676" s="1"/>
      <c r="C676" s="62"/>
      <c r="D676" s="65" t="s">
        <v>17</v>
      </c>
      <c r="E676" s="64"/>
      <c r="F676" s="88"/>
      <c r="G676" s="86">
        <f>SUM(G668:G675)</f>
        <v>0</v>
      </c>
      <c r="H676" s="85"/>
      <c r="I676" s="86">
        <f>SUM(I668:I675)</f>
        <v>1200000</v>
      </c>
      <c r="J676" s="68"/>
      <c r="K676" s="68"/>
    </row>
    <row r="677" spans="1:11" x14ac:dyDescent="0.2">
      <c r="A677" s="63"/>
      <c r="B677" s="1"/>
      <c r="C677" s="62"/>
      <c r="D677" s="62"/>
      <c r="E677" s="62"/>
      <c r="F677" s="62"/>
      <c r="G677" s="85"/>
      <c r="H677" s="85"/>
      <c r="I677" s="85"/>
      <c r="J677" s="68"/>
      <c r="K677" s="68"/>
    </row>
    <row r="678" spans="1:11" x14ac:dyDescent="0.2">
      <c r="A678" s="63"/>
      <c r="B678" s="1"/>
      <c r="C678" s="65" t="s">
        <v>648</v>
      </c>
      <c r="D678" s="65"/>
      <c r="E678" s="65"/>
      <c r="F678" s="62"/>
      <c r="G678" s="304">
        <f>G665-G676</f>
        <v>0</v>
      </c>
      <c r="H678" s="85"/>
      <c r="I678" s="304" t="e">
        <f>I665-I676</f>
        <v>#REF!</v>
      </c>
      <c r="K678" s="68"/>
    </row>
    <row r="679" spans="1:11" x14ac:dyDescent="0.2">
      <c r="A679" s="63"/>
      <c r="B679" s="1"/>
      <c r="C679" s="62"/>
      <c r="D679" s="62"/>
      <c r="E679" s="62"/>
      <c r="F679" s="62"/>
      <c r="G679" s="85"/>
      <c r="H679" s="85"/>
      <c r="I679" s="85"/>
      <c r="J679" s="68"/>
      <c r="K679" s="68"/>
    </row>
    <row r="680" spans="1:11" x14ac:dyDescent="0.2">
      <c r="A680" s="63"/>
      <c r="B680" s="84" t="s">
        <v>650</v>
      </c>
      <c r="C680" s="84" t="s">
        <v>651</v>
      </c>
      <c r="D680" s="74"/>
      <c r="E680" s="67"/>
      <c r="F680" s="67"/>
      <c r="G680" s="85"/>
      <c r="H680" s="85"/>
      <c r="I680" s="85"/>
      <c r="J680" s="68"/>
      <c r="K680" s="68"/>
    </row>
    <row r="681" spans="1:11" x14ac:dyDescent="0.2">
      <c r="A681" s="63"/>
      <c r="B681" s="67"/>
      <c r="C681" s="65"/>
      <c r="D681" s="62" t="s">
        <v>652</v>
      </c>
      <c r="E681" s="62"/>
      <c r="F681" s="62"/>
      <c r="G681" s="85"/>
      <c r="H681" s="85"/>
      <c r="I681" s="85" t="e">
        <f>G681+I609</f>
        <v>#REF!</v>
      </c>
      <c r="J681" s="68"/>
      <c r="K681" s="68"/>
    </row>
    <row r="682" spans="1:11" x14ac:dyDescent="0.2">
      <c r="A682" s="63"/>
      <c r="B682" s="1"/>
      <c r="C682" s="65" t="s">
        <v>653</v>
      </c>
      <c r="D682" s="74"/>
      <c r="E682" s="74"/>
      <c r="F682" s="74"/>
      <c r="G682" s="86">
        <f>SUM(G681)</f>
        <v>0</v>
      </c>
      <c r="H682" s="73"/>
      <c r="I682" s="86" t="e">
        <f>SUM(I681)</f>
        <v>#REF!</v>
      </c>
      <c r="J682" s="68"/>
      <c r="K682" s="68"/>
    </row>
    <row r="683" spans="1:11" x14ac:dyDescent="0.2">
      <c r="A683" s="63"/>
      <c r="B683" s="1"/>
      <c r="C683" s="449"/>
      <c r="D683" s="449"/>
      <c r="E683" s="449"/>
      <c r="F683" s="62"/>
      <c r="G683" s="264"/>
      <c r="H683" s="89"/>
      <c r="I683" s="264"/>
      <c r="J683" s="68"/>
      <c r="K683" s="68"/>
    </row>
    <row r="684" spans="1:11" x14ac:dyDescent="0.2">
      <c r="A684" s="63"/>
      <c r="B684" s="84" t="s">
        <v>654</v>
      </c>
      <c r="C684" s="84" t="s">
        <v>655</v>
      </c>
      <c r="D684" s="62"/>
      <c r="E684" s="62"/>
      <c r="F684" s="62"/>
      <c r="G684" s="89"/>
      <c r="H684" s="89"/>
      <c r="I684" s="89"/>
      <c r="J684" s="68"/>
      <c r="K684" s="68"/>
    </row>
    <row r="685" spans="1:11" x14ac:dyDescent="0.2">
      <c r="A685" s="63"/>
      <c r="B685" s="80"/>
      <c r="C685" s="80"/>
      <c r="D685" s="62" t="s">
        <v>656</v>
      </c>
      <c r="E685" s="80"/>
      <c r="F685" s="67"/>
      <c r="G685" s="264"/>
      <c r="H685" s="89"/>
      <c r="I685" s="85">
        <f>G685+I614</f>
        <v>0</v>
      </c>
      <c r="J685" s="68"/>
      <c r="K685" s="68"/>
    </row>
    <row r="686" spans="1:11" x14ac:dyDescent="0.2">
      <c r="A686" s="63"/>
      <c r="B686" s="84"/>
      <c r="C686" s="62"/>
      <c r="D686" s="62" t="s">
        <v>657</v>
      </c>
      <c r="E686" s="62"/>
      <c r="F686" s="62"/>
      <c r="G686" s="85"/>
      <c r="H686" s="85"/>
      <c r="I686" s="85">
        <f t="shared" ref="I686:I688" si="28">G686+I615</f>
        <v>0</v>
      </c>
      <c r="J686" s="68"/>
      <c r="K686" s="68"/>
    </row>
    <row r="687" spans="1:11" x14ac:dyDescent="0.2">
      <c r="A687" s="63"/>
      <c r="B687" s="1"/>
      <c r="C687" s="62"/>
      <c r="D687" s="74" t="s">
        <v>658</v>
      </c>
      <c r="E687" s="67"/>
      <c r="F687" s="67"/>
      <c r="G687" s="85"/>
      <c r="H687" s="85"/>
      <c r="I687" s="85">
        <f t="shared" si="28"/>
        <v>0</v>
      </c>
      <c r="J687" s="68"/>
      <c r="K687" s="68"/>
    </row>
    <row r="688" spans="1:11" x14ac:dyDescent="0.2">
      <c r="A688" s="63"/>
      <c r="B688" s="67"/>
      <c r="C688" s="65"/>
      <c r="D688" s="62" t="s">
        <v>659</v>
      </c>
      <c r="E688" s="62"/>
      <c r="F688" s="62"/>
      <c r="G688" s="377"/>
      <c r="H688" s="85"/>
      <c r="I688" s="85">
        <f t="shared" si="28"/>
        <v>0</v>
      </c>
      <c r="J688" s="68"/>
      <c r="K688" s="68"/>
    </row>
    <row r="689" spans="1:11" x14ac:dyDescent="0.2">
      <c r="A689" s="63"/>
      <c r="B689" s="1"/>
      <c r="C689" s="65" t="s">
        <v>660</v>
      </c>
      <c r="D689" s="74"/>
      <c r="E689" s="74"/>
      <c r="F689" s="74"/>
      <c r="G689" s="379">
        <f>SUM(G685:G688)</f>
        <v>0</v>
      </c>
      <c r="H689" s="85"/>
      <c r="I689" s="379">
        <f>SUM(I685:I688)</f>
        <v>0</v>
      </c>
      <c r="J689" s="68"/>
      <c r="K689" s="68"/>
    </row>
    <row r="690" spans="1:11" x14ac:dyDescent="0.2">
      <c r="A690" s="63"/>
      <c r="B690" s="1"/>
      <c r="C690" s="62"/>
      <c r="D690" s="62"/>
      <c r="E690" s="62"/>
      <c r="F690" s="62"/>
      <c r="G690" s="377"/>
      <c r="H690" s="85"/>
      <c r="I690" s="85"/>
      <c r="J690" s="68"/>
      <c r="K690" s="68"/>
    </row>
    <row r="691" spans="1:11" x14ac:dyDescent="0.2">
      <c r="A691" s="63"/>
      <c r="B691" s="84" t="s">
        <v>661</v>
      </c>
      <c r="C691" s="84" t="s">
        <v>662</v>
      </c>
      <c r="D691" s="66"/>
      <c r="E691" s="66"/>
      <c r="F691" s="62"/>
      <c r="G691" s="73">
        <f>G678-G682+G689</f>
        <v>0</v>
      </c>
      <c r="H691" s="85"/>
      <c r="I691" s="73" t="e">
        <f>I678-I682+I689</f>
        <v>#REF!</v>
      </c>
      <c r="J691" s="68"/>
      <c r="K691" s="68"/>
    </row>
    <row r="692" spans="1:11" x14ac:dyDescent="0.2">
      <c r="A692" s="63"/>
      <c r="B692" s="1"/>
      <c r="C692" s="62"/>
      <c r="D692" s="62"/>
      <c r="E692" s="62"/>
      <c r="F692" s="62"/>
      <c r="G692" s="85"/>
      <c r="H692" s="85"/>
      <c r="I692" s="85"/>
      <c r="J692" s="68"/>
      <c r="K692" s="68"/>
    </row>
    <row r="693" spans="1:11" x14ac:dyDescent="0.2">
      <c r="A693" s="63"/>
      <c r="B693" s="84" t="s">
        <v>663</v>
      </c>
      <c r="C693" s="84" t="s">
        <v>664</v>
      </c>
      <c r="D693" s="66"/>
      <c r="E693" s="62"/>
      <c r="F693" s="62"/>
      <c r="G693" s="73" t="e">
        <f>G623</f>
        <v>#REF!</v>
      </c>
      <c r="H693" s="73"/>
      <c r="I693" s="73">
        <v>1312251855.8000002</v>
      </c>
      <c r="J693" s="68"/>
      <c r="K693" s="68"/>
    </row>
    <row r="694" spans="1:11" x14ac:dyDescent="0.2">
      <c r="A694" s="63"/>
      <c r="B694" s="1"/>
      <c r="C694" s="62"/>
      <c r="D694" s="62"/>
      <c r="E694" s="62"/>
      <c r="F694" s="62"/>
      <c r="G694" s="73"/>
      <c r="H694" s="73"/>
      <c r="I694" s="73"/>
      <c r="J694" s="68"/>
      <c r="K694" s="68"/>
    </row>
    <row r="695" spans="1:11" x14ac:dyDescent="0.2">
      <c r="A695" s="63"/>
      <c r="B695" s="67" t="s">
        <v>665</v>
      </c>
      <c r="C695" s="65" t="s">
        <v>664</v>
      </c>
      <c r="D695" s="62"/>
      <c r="E695" s="62"/>
      <c r="F695" s="62"/>
      <c r="G695" s="73" t="e">
        <f>G691+G693</f>
        <v>#REF!</v>
      </c>
      <c r="H695" s="73"/>
      <c r="I695" s="73" t="e">
        <f>I691+I693</f>
        <v>#REF!</v>
      </c>
      <c r="J695" s="68"/>
      <c r="K695" s="68"/>
    </row>
    <row r="696" spans="1:11" x14ac:dyDescent="0.2">
      <c r="A696" s="61"/>
      <c r="B696" s="60"/>
      <c r="C696" s="60"/>
      <c r="D696" s="60"/>
      <c r="E696" s="60"/>
      <c r="F696" s="60"/>
      <c r="G696" s="91"/>
      <c r="H696" s="91"/>
      <c r="I696" s="91"/>
      <c r="J696" s="378"/>
      <c r="K696" s="378"/>
    </row>
    <row r="697" spans="1:11" x14ac:dyDescent="0.2">
      <c r="A697" s="459"/>
      <c r="B697" s="459"/>
      <c r="C697" s="459"/>
      <c r="D697" s="459"/>
      <c r="E697" s="459"/>
      <c r="F697" s="62"/>
      <c r="G697" s="92"/>
      <c r="H697" s="92"/>
      <c r="I697" s="92"/>
    </row>
    <row r="698" spans="1:11" x14ac:dyDescent="0.2">
      <c r="A698" s="447" t="s">
        <v>413</v>
      </c>
      <c r="B698" s="447"/>
      <c r="C698" s="447"/>
      <c r="D698" s="447"/>
      <c r="E698" s="447"/>
      <c r="F698" s="447" t="s">
        <v>410</v>
      </c>
      <c r="G698" s="447"/>
      <c r="H698" s="447"/>
      <c r="I698" s="447"/>
      <c r="J698" s="447"/>
      <c r="K698" s="447"/>
    </row>
    <row r="699" spans="1:11" x14ac:dyDescent="0.2">
      <c r="A699" s="447" t="s">
        <v>480</v>
      </c>
      <c r="B699" s="447"/>
      <c r="C699" s="447"/>
      <c r="D699" s="447"/>
      <c r="E699" s="447"/>
      <c r="F699" s="447" t="s">
        <v>481</v>
      </c>
      <c r="G699" s="447"/>
      <c r="H699" s="447"/>
      <c r="I699" s="447"/>
      <c r="J699" s="447"/>
      <c r="K699" s="447"/>
    </row>
    <row r="700" spans="1:11" x14ac:dyDescent="0.2">
      <c r="A700" s="447"/>
      <c r="B700" s="447"/>
      <c r="C700" s="447"/>
      <c r="D700" s="447"/>
      <c r="E700" s="447"/>
      <c r="F700" s="447"/>
      <c r="G700" s="447"/>
      <c r="H700" s="447"/>
      <c r="I700" s="447"/>
      <c r="J700" s="447"/>
      <c r="K700" s="447"/>
    </row>
    <row r="701" spans="1:11" x14ac:dyDescent="0.2">
      <c r="A701" s="447"/>
      <c r="B701" s="447"/>
      <c r="C701" s="447"/>
      <c r="D701" s="447"/>
      <c r="E701" s="447"/>
      <c r="F701" s="447"/>
      <c r="G701" s="447"/>
      <c r="H701" s="447"/>
      <c r="I701" s="447"/>
      <c r="J701" s="447"/>
      <c r="K701" s="447"/>
    </row>
    <row r="702" spans="1:11" x14ac:dyDescent="0.2">
      <c r="A702" s="447" t="s">
        <v>463</v>
      </c>
      <c r="B702" s="447"/>
      <c r="C702" s="447"/>
      <c r="D702" s="447"/>
      <c r="E702" s="447"/>
      <c r="F702" s="447" t="s">
        <v>411</v>
      </c>
      <c r="G702" s="447"/>
      <c r="H702" s="447"/>
      <c r="I702" s="447"/>
      <c r="J702" s="447"/>
      <c r="K702" s="447"/>
    </row>
    <row r="703" spans="1:11" x14ac:dyDescent="0.2">
      <c r="A703" s="447"/>
      <c r="B703" s="447"/>
      <c r="C703" s="447"/>
      <c r="D703" s="447"/>
      <c r="E703" s="447"/>
      <c r="F703" s="447"/>
      <c r="G703" s="447"/>
      <c r="H703" s="447"/>
      <c r="I703" s="447"/>
      <c r="J703" s="447"/>
      <c r="K703" s="447"/>
    </row>
    <row r="720" spans="1:6" x14ac:dyDescent="0.2">
      <c r="A720" s="450" t="s">
        <v>633</v>
      </c>
      <c r="B720" s="450"/>
      <c r="C720" s="374" t="s">
        <v>634</v>
      </c>
      <c r="D720" s="62"/>
      <c r="E720" s="62"/>
      <c r="F720" s="62"/>
    </row>
    <row r="721" spans="1:11" x14ac:dyDescent="0.2">
      <c r="B721" s="62"/>
      <c r="C721" s="62"/>
      <c r="D721" s="62"/>
      <c r="E721" s="62"/>
      <c r="F721" s="62"/>
    </row>
    <row r="722" spans="1:11" ht="15" x14ac:dyDescent="0.25">
      <c r="A722" s="69"/>
      <c r="B722" s="452"/>
      <c r="C722" s="452"/>
      <c r="D722" s="452"/>
      <c r="E722" s="452"/>
      <c r="F722" s="452"/>
      <c r="G722" s="452"/>
      <c r="H722" s="452"/>
      <c r="I722" s="452"/>
      <c r="J722" s="375"/>
      <c r="K722" s="375"/>
    </row>
    <row r="723" spans="1:11" ht="15" x14ac:dyDescent="0.25">
      <c r="A723" s="63"/>
      <c r="B723" s="448" t="s">
        <v>462</v>
      </c>
      <c r="C723" s="448"/>
      <c r="D723" s="448"/>
      <c r="E723" s="448"/>
      <c r="F723" s="448"/>
      <c r="G723" s="448"/>
      <c r="H723" s="448"/>
      <c r="I723" s="448"/>
      <c r="J723" s="68"/>
      <c r="K723" s="68"/>
    </row>
    <row r="724" spans="1:11" ht="15" x14ac:dyDescent="0.25">
      <c r="A724" s="63"/>
      <c r="B724" s="448" t="s">
        <v>15</v>
      </c>
      <c r="C724" s="448"/>
      <c r="D724" s="448"/>
      <c r="E724" s="448"/>
      <c r="F724" s="448"/>
      <c r="G724" s="448"/>
      <c r="H724" s="448"/>
      <c r="I724" s="448"/>
      <c r="J724" s="68"/>
      <c r="K724" s="68"/>
    </row>
    <row r="725" spans="1:11" ht="15" x14ac:dyDescent="0.25">
      <c r="A725" s="63"/>
      <c r="B725" s="451" t="s">
        <v>674</v>
      </c>
      <c r="C725" s="451"/>
      <c r="D725" s="451"/>
      <c r="E725" s="451"/>
      <c r="F725" s="451"/>
      <c r="G725" s="451"/>
      <c r="H725" s="451"/>
      <c r="I725" s="451"/>
      <c r="J725" s="68"/>
      <c r="K725" s="68"/>
    </row>
    <row r="726" spans="1:11" x14ac:dyDescent="0.2">
      <c r="A726" s="63"/>
      <c r="B726" s="62"/>
      <c r="C726" s="62"/>
      <c r="D726" s="62"/>
      <c r="E726" s="62"/>
      <c r="F726" s="62"/>
      <c r="J726" s="68"/>
      <c r="K726" s="68"/>
    </row>
    <row r="727" spans="1:11" x14ac:dyDescent="0.2">
      <c r="A727" s="63"/>
      <c r="B727" s="453" t="s">
        <v>10</v>
      </c>
      <c r="C727" s="454"/>
      <c r="D727" s="454"/>
      <c r="E727" s="455"/>
      <c r="F727" s="64"/>
      <c r="G727" s="82" t="s">
        <v>12</v>
      </c>
      <c r="H727" s="64"/>
      <c r="I727" s="82" t="s">
        <v>13</v>
      </c>
      <c r="J727" s="68"/>
      <c r="K727" s="68"/>
    </row>
    <row r="728" spans="1:11" x14ac:dyDescent="0.2">
      <c r="A728" s="63"/>
      <c r="B728" s="456"/>
      <c r="C728" s="457"/>
      <c r="D728" s="457"/>
      <c r="E728" s="458"/>
      <c r="F728" s="64"/>
      <c r="G728" s="83" t="s">
        <v>14</v>
      </c>
      <c r="H728" s="64"/>
      <c r="I728" s="83" t="s">
        <v>14</v>
      </c>
      <c r="J728" s="68"/>
      <c r="K728" s="68"/>
    </row>
    <row r="729" spans="1:11" x14ac:dyDescent="0.2">
      <c r="A729" s="63"/>
      <c r="B729" s="84" t="s">
        <v>636</v>
      </c>
      <c r="C729" s="84" t="s">
        <v>649</v>
      </c>
      <c r="D729" s="84"/>
      <c r="E729" s="62"/>
      <c r="F729" s="62"/>
      <c r="G729" s="85"/>
      <c r="H729" s="85"/>
      <c r="I729" s="85"/>
      <c r="J729" s="68"/>
      <c r="K729" s="68"/>
    </row>
    <row r="730" spans="1:11" x14ac:dyDescent="0.2">
      <c r="A730" s="63"/>
      <c r="B730" s="1"/>
      <c r="C730" s="65" t="s">
        <v>637</v>
      </c>
      <c r="D730" s="62"/>
      <c r="E730" s="62"/>
      <c r="F730" s="62"/>
      <c r="G730" s="85"/>
      <c r="H730" s="85"/>
      <c r="I730" s="85"/>
      <c r="J730" s="68"/>
      <c r="K730" s="68"/>
    </row>
    <row r="731" spans="1:11" x14ac:dyDescent="0.2">
      <c r="A731" s="63"/>
      <c r="B731" s="1"/>
      <c r="C731" s="62"/>
      <c r="D731" s="62">
        <v>1</v>
      </c>
      <c r="E731" s="62" t="s">
        <v>638</v>
      </c>
      <c r="F731" s="62"/>
      <c r="G731" s="85"/>
      <c r="H731" s="85"/>
      <c r="I731" s="85" t="e">
        <f>G731+I659</f>
        <v>#REF!</v>
      </c>
      <c r="J731" s="68"/>
      <c r="K731" s="68"/>
    </row>
    <row r="732" spans="1:11" x14ac:dyDescent="0.2">
      <c r="A732" s="63"/>
      <c r="B732" s="1"/>
      <c r="C732" s="62"/>
      <c r="D732" s="62">
        <v>2</v>
      </c>
      <c r="E732" s="62" t="s">
        <v>639</v>
      </c>
      <c r="F732" s="62"/>
      <c r="G732" s="85"/>
      <c r="H732" s="85"/>
      <c r="I732" s="85" t="e">
        <f t="shared" ref="I732:I735" si="29">G732+I660</f>
        <v>#REF!</v>
      </c>
      <c r="J732" s="68"/>
      <c r="K732" s="68"/>
    </row>
    <row r="733" spans="1:11" x14ac:dyDescent="0.2">
      <c r="A733" s="63"/>
      <c r="B733" s="1"/>
      <c r="C733" s="62"/>
      <c r="D733" s="62">
        <v>3</v>
      </c>
      <c r="E733" s="62" t="s">
        <v>640</v>
      </c>
      <c r="F733" s="62"/>
      <c r="G733" s="85"/>
      <c r="H733" s="85"/>
      <c r="I733" s="85" t="e">
        <f t="shared" si="29"/>
        <v>#REF!</v>
      </c>
      <c r="J733" s="68"/>
      <c r="K733" s="68"/>
    </row>
    <row r="734" spans="1:11" x14ac:dyDescent="0.2">
      <c r="A734" s="63"/>
      <c r="B734" s="1"/>
      <c r="C734" s="62"/>
      <c r="D734" s="62">
        <v>4</v>
      </c>
      <c r="E734" s="62" t="s">
        <v>645</v>
      </c>
      <c r="F734" s="62"/>
      <c r="G734" s="85"/>
      <c r="H734" s="85"/>
      <c r="I734" s="85">
        <f t="shared" si="29"/>
        <v>0</v>
      </c>
      <c r="J734" s="68"/>
      <c r="K734" s="68"/>
    </row>
    <row r="735" spans="1:11" x14ac:dyDescent="0.2">
      <c r="A735" s="63"/>
      <c r="B735" s="1"/>
      <c r="C735" s="62"/>
      <c r="D735" s="62">
        <v>5</v>
      </c>
      <c r="E735" s="62" t="s">
        <v>641</v>
      </c>
      <c r="F735" s="62"/>
      <c r="G735" s="85"/>
      <c r="H735" s="85"/>
      <c r="I735" s="85">
        <f t="shared" si="29"/>
        <v>0</v>
      </c>
      <c r="J735" s="68"/>
      <c r="K735" s="68"/>
    </row>
    <row r="736" spans="1:11" x14ac:dyDescent="0.2">
      <c r="A736" s="63"/>
      <c r="B736" s="1"/>
      <c r="C736" s="62"/>
      <c r="D736" s="62"/>
      <c r="E736" s="62"/>
      <c r="F736" s="62"/>
      <c r="G736" s="85"/>
      <c r="H736" s="85"/>
      <c r="I736" s="85"/>
      <c r="J736" s="68"/>
      <c r="K736" s="68"/>
    </row>
    <row r="737" spans="1:11" x14ac:dyDescent="0.2">
      <c r="A737" s="63"/>
      <c r="B737" s="1"/>
      <c r="C737" s="65"/>
      <c r="D737" s="65" t="s">
        <v>16</v>
      </c>
      <c r="E737" s="65"/>
      <c r="F737" s="62"/>
      <c r="G737" s="86">
        <f>SUM(G731:G735)</f>
        <v>0</v>
      </c>
      <c r="H737" s="85"/>
      <c r="I737" s="86" t="e">
        <f>SUM(I731:I735)</f>
        <v>#REF!</v>
      </c>
      <c r="J737" s="68"/>
      <c r="K737" s="68"/>
    </row>
    <row r="738" spans="1:11" x14ac:dyDescent="0.2">
      <c r="A738" s="63"/>
      <c r="B738" s="1"/>
      <c r="C738" s="65"/>
      <c r="D738" s="65"/>
      <c r="E738" s="65"/>
      <c r="F738" s="62"/>
      <c r="G738" s="73"/>
      <c r="H738" s="85"/>
      <c r="I738" s="73"/>
      <c r="J738" s="68"/>
      <c r="K738" s="68"/>
    </row>
    <row r="739" spans="1:11" x14ac:dyDescent="0.2">
      <c r="A739" s="63"/>
      <c r="B739" s="1"/>
      <c r="C739" s="65" t="s">
        <v>642</v>
      </c>
      <c r="D739" s="62"/>
      <c r="E739" s="62"/>
      <c r="F739" s="62"/>
      <c r="G739" s="85"/>
      <c r="H739" s="85"/>
      <c r="I739" s="85"/>
      <c r="J739" s="68"/>
      <c r="K739" s="68"/>
    </row>
    <row r="740" spans="1:11" x14ac:dyDescent="0.2">
      <c r="A740" s="63"/>
      <c r="B740" s="1"/>
      <c r="C740" s="62"/>
      <c r="D740" s="62">
        <v>1</v>
      </c>
      <c r="E740" s="87" t="s">
        <v>190</v>
      </c>
      <c r="F740" s="62"/>
      <c r="G740" s="85"/>
      <c r="H740" s="85"/>
      <c r="I740" s="85">
        <f>G740+I668</f>
        <v>0</v>
      </c>
      <c r="J740" s="68"/>
      <c r="K740" s="68"/>
    </row>
    <row r="741" spans="1:11" x14ac:dyDescent="0.2">
      <c r="A741" s="63"/>
      <c r="B741" s="1"/>
      <c r="C741" s="62"/>
      <c r="D741" s="62">
        <v>2</v>
      </c>
      <c r="E741" s="87" t="s">
        <v>191</v>
      </c>
      <c r="F741" s="62"/>
      <c r="G741" s="85"/>
      <c r="H741" s="85"/>
      <c r="I741" s="85">
        <f t="shared" ref="I741:I746" si="30">G741+I669</f>
        <v>0</v>
      </c>
      <c r="J741" s="68"/>
      <c r="K741" s="68"/>
    </row>
    <row r="742" spans="1:11" x14ac:dyDescent="0.2">
      <c r="A742" s="63"/>
      <c r="B742" s="1"/>
      <c r="C742" s="62"/>
      <c r="D742" s="62">
        <v>3</v>
      </c>
      <c r="E742" s="87" t="s">
        <v>643</v>
      </c>
      <c r="F742" s="67"/>
      <c r="G742" s="85"/>
      <c r="H742" s="85"/>
      <c r="I742" s="85">
        <f t="shared" si="30"/>
        <v>1200000</v>
      </c>
      <c r="J742" s="68"/>
      <c r="K742" s="68"/>
    </row>
    <row r="743" spans="1:11" x14ac:dyDescent="0.2">
      <c r="A743" s="63"/>
      <c r="B743" s="1"/>
      <c r="C743" s="62"/>
      <c r="D743" s="62">
        <v>4</v>
      </c>
      <c r="E743" s="87" t="s">
        <v>644</v>
      </c>
      <c r="F743" s="62"/>
      <c r="G743" s="85"/>
      <c r="H743" s="85"/>
      <c r="I743" s="85">
        <f t="shared" si="30"/>
        <v>0</v>
      </c>
      <c r="J743" s="68"/>
      <c r="K743" s="68"/>
    </row>
    <row r="744" spans="1:11" x14ac:dyDescent="0.2">
      <c r="A744" s="63"/>
      <c r="B744" s="1"/>
      <c r="C744" s="62"/>
      <c r="D744" s="62">
        <v>5</v>
      </c>
      <c r="E744" s="87" t="s">
        <v>632</v>
      </c>
      <c r="F744" s="67"/>
      <c r="G744" s="85"/>
      <c r="H744" s="85"/>
      <c r="I744" s="85">
        <f t="shared" si="30"/>
        <v>0</v>
      </c>
      <c r="J744" s="68"/>
      <c r="K744" s="68"/>
    </row>
    <row r="745" spans="1:11" x14ac:dyDescent="0.2">
      <c r="A745" s="63"/>
      <c r="B745" s="1"/>
      <c r="C745" s="62"/>
      <c r="D745" s="62">
        <v>6</v>
      </c>
      <c r="E745" s="87" t="s">
        <v>646</v>
      </c>
      <c r="F745" s="67"/>
      <c r="G745" s="85"/>
      <c r="H745" s="85"/>
      <c r="I745" s="85">
        <f t="shared" si="30"/>
        <v>0</v>
      </c>
      <c r="J745" s="68"/>
      <c r="K745" s="68"/>
    </row>
    <row r="746" spans="1:11" x14ac:dyDescent="0.2">
      <c r="A746" s="63"/>
      <c r="B746" s="1"/>
      <c r="C746" s="62"/>
      <c r="D746" s="62">
        <v>7</v>
      </c>
      <c r="E746" s="87" t="s">
        <v>647</v>
      </c>
      <c r="F746" s="67"/>
      <c r="G746" s="85"/>
      <c r="H746" s="85"/>
      <c r="I746" s="85">
        <f t="shared" si="30"/>
        <v>0</v>
      </c>
      <c r="J746" s="68"/>
      <c r="K746" s="68"/>
    </row>
    <row r="747" spans="1:11" x14ac:dyDescent="0.2">
      <c r="A747" s="63"/>
      <c r="B747" s="67"/>
      <c r="C747" s="65"/>
      <c r="D747" s="62"/>
      <c r="E747" s="87"/>
      <c r="F747" s="62"/>
      <c r="G747" s="85"/>
      <c r="H747" s="85"/>
      <c r="I747" s="85"/>
      <c r="J747" s="68"/>
      <c r="K747" s="68"/>
    </row>
    <row r="748" spans="1:11" x14ac:dyDescent="0.2">
      <c r="A748" s="63"/>
      <c r="B748" s="1"/>
      <c r="C748" s="62"/>
      <c r="D748" s="65" t="s">
        <v>17</v>
      </c>
      <c r="E748" s="64"/>
      <c r="F748" s="88"/>
      <c r="G748" s="86">
        <f>SUM(G740:G747)</f>
        <v>0</v>
      </c>
      <c r="H748" s="85"/>
      <c r="I748" s="86">
        <f>SUM(I740:I747)</f>
        <v>1200000</v>
      </c>
      <c r="J748" s="68"/>
      <c r="K748" s="68"/>
    </row>
    <row r="749" spans="1:11" x14ac:dyDescent="0.2">
      <c r="A749" s="63"/>
      <c r="B749" s="1"/>
      <c r="C749" s="62"/>
      <c r="D749" s="62"/>
      <c r="E749" s="62"/>
      <c r="F749" s="62"/>
      <c r="G749" s="85"/>
      <c r="H749" s="85"/>
      <c r="I749" s="85"/>
      <c r="J749" s="68"/>
      <c r="K749" s="68"/>
    </row>
    <row r="750" spans="1:11" x14ac:dyDescent="0.2">
      <c r="A750" s="63"/>
      <c r="B750" s="1"/>
      <c r="C750" s="65" t="s">
        <v>648</v>
      </c>
      <c r="D750" s="65"/>
      <c r="E750" s="65"/>
      <c r="F750" s="62"/>
      <c r="G750" s="304">
        <f>G737-G748</f>
        <v>0</v>
      </c>
      <c r="H750" s="85"/>
      <c r="I750" s="304" t="e">
        <f>I737-I748</f>
        <v>#REF!</v>
      </c>
      <c r="K750" s="68"/>
    </row>
    <row r="751" spans="1:11" x14ac:dyDescent="0.2">
      <c r="A751" s="63"/>
      <c r="B751" s="1"/>
      <c r="C751" s="62"/>
      <c r="D751" s="62"/>
      <c r="E751" s="62"/>
      <c r="F751" s="62"/>
      <c r="G751" s="85"/>
      <c r="H751" s="85"/>
      <c r="I751" s="85"/>
      <c r="J751" s="68"/>
      <c r="K751" s="68"/>
    </row>
    <row r="752" spans="1:11" x14ac:dyDescent="0.2">
      <c r="A752" s="63"/>
      <c r="B752" s="84" t="s">
        <v>650</v>
      </c>
      <c r="C752" s="84" t="s">
        <v>651</v>
      </c>
      <c r="D752" s="74"/>
      <c r="E752" s="67"/>
      <c r="F752" s="67"/>
      <c r="G752" s="85"/>
      <c r="H752" s="85"/>
      <c r="I752" s="85"/>
      <c r="J752" s="68"/>
      <c r="K752" s="68"/>
    </row>
    <row r="753" spans="1:11" x14ac:dyDescent="0.2">
      <c r="A753" s="63"/>
      <c r="B753" s="67"/>
      <c r="C753" s="65"/>
      <c r="D753" s="62" t="s">
        <v>652</v>
      </c>
      <c r="E753" s="62"/>
      <c r="F753" s="62"/>
      <c r="G753" s="85"/>
      <c r="H753" s="85"/>
      <c r="I753" s="85" t="e">
        <f>G753+I681</f>
        <v>#REF!</v>
      </c>
      <c r="J753" s="68"/>
      <c r="K753" s="68"/>
    </row>
    <row r="754" spans="1:11" x14ac:dyDescent="0.2">
      <c r="A754" s="63"/>
      <c r="B754" s="1"/>
      <c r="C754" s="65" t="s">
        <v>653</v>
      </c>
      <c r="D754" s="74"/>
      <c r="E754" s="74"/>
      <c r="F754" s="74"/>
      <c r="G754" s="86">
        <f>SUM(G753)</f>
        <v>0</v>
      </c>
      <c r="H754" s="73"/>
      <c r="I754" s="86" t="e">
        <f>SUM(I753)</f>
        <v>#REF!</v>
      </c>
      <c r="J754" s="68"/>
      <c r="K754" s="68"/>
    </row>
    <row r="755" spans="1:11" x14ac:dyDescent="0.2">
      <c r="A755" s="63"/>
      <c r="B755" s="1"/>
      <c r="C755" s="449"/>
      <c r="D755" s="449"/>
      <c r="E755" s="449"/>
      <c r="F755" s="62"/>
      <c r="G755" s="264"/>
      <c r="H755" s="89"/>
      <c r="I755" s="264"/>
      <c r="J755" s="68"/>
      <c r="K755" s="68"/>
    </row>
    <row r="756" spans="1:11" x14ac:dyDescent="0.2">
      <c r="A756" s="63"/>
      <c r="B756" s="84" t="s">
        <v>654</v>
      </c>
      <c r="C756" s="84" t="s">
        <v>655</v>
      </c>
      <c r="D756" s="62"/>
      <c r="E756" s="62"/>
      <c r="F756" s="62"/>
      <c r="G756" s="89"/>
      <c r="H756" s="89"/>
      <c r="I756" s="89"/>
      <c r="J756" s="68"/>
      <c r="K756" s="68"/>
    </row>
    <row r="757" spans="1:11" x14ac:dyDescent="0.2">
      <c r="A757" s="63"/>
      <c r="B757" s="80"/>
      <c r="C757" s="80"/>
      <c r="D757" s="62" t="s">
        <v>656</v>
      </c>
      <c r="E757" s="80"/>
      <c r="F757" s="67"/>
      <c r="G757" s="264"/>
      <c r="H757" s="89"/>
      <c r="I757" s="85">
        <f>G757+I686</f>
        <v>0</v>
      </c>
      <c r="J757" s="68"/>
      <c r="K757" s="68"/>
    </row>
    <row r="758" spans="1:11" x14ac:dyDescent="0.2">
      <c r="A758" s="63"/>
      <c r="B758" s="84"/>
      <c r="C758" s="62"/>
      <c r="D758" s="62" t="s">
        <v>657</v>
      </c>
      <c r="E758" s="62"/>
      <c r="F758" s="62"/>
      <c r="G758" s="85"/>
      <c r="H758" s="85"/>
      <c r="I758" s="85">
        <f t="shared" ref="I758:I760" si="31">G758+I687</f>
        <v>0</v>
      </c>
      <c r="J758" s="68"/>
      <c r="K758" s="68"/>
    </row>
    <row r="759" spans="1:11" x14ac:dyDescent="0.2">
      <c r="A759" s="63"/>
      <c r="B759" s="1"/>
      <c r="C759" s="62"/>
      <c r="D759" s="74" t="s">
        <v>658</v>
      </c>
      <c r="E759" s="67"/>
      <c r="F759" s="67"/>
      <c r="G759" s="85"/>
      <c r="H759" s="85"/>
      <c r="I759" s="85">
        <f t="shared" si="31"/>
        <v>0</v>
      </c>
      <c r="J759" s="68"/>
      <c r="K759" s="68"/>
    </row>
    <row r="760" spans="1:11" x14ac:dyDescent="0.2">
      <c r="A760" s="63"/>
      <c r="B760" s="67"/>
      <c r="C760" s="65"/>
      <c r="D760" s="62" t="s">
        <v>659</v>
      </c>
      <c r="E760" s="62"/>
      <c r="F760" s="62"/>
      <c r="G760" s="377"/>
      <c r="H760" s="85"/>
      <c r="I760" s="85">
        <f t="shared" si="31"/>
        <v>0</v>
      </c>
      <c r="J760" s="68"/>
      <c r="K760" s="68"/>
    </row>
    <row r="761" spans="1:11" x14ac:dyDescent="0.2">
      <c r="A761" s="63"/>
      <c r="B761" s="1"/>
      <c r="C761" s="65" t="s">
        <v>660</v>
      </c>
      <c r="D761" s="74"/>
      <c r="E761" s="74"/>
      <c r="F761" s="74"/>
      <c r="G761" s="379">
        <f>SUM(G757:G760)</f>
        <v>0</v>
      </c>
      <c r="H761" s="85"/>
      <c r="I761" s="379">
        <f>SUM(I757:I760)</f>
        <v>0</v>
      </c>
      <c r="J761" s="68"/>
      <c r="K761" s="68"/>
    </row>
    <row r="762" spans="1:11" x14ac:dyDescent="0.2">
      <c r="A762" s="63"/>
      <c r="B762" s="1"/>
      <c r="C762" s="62"/>
      <c r="D762" s="62"/>
      <c r="E762" s="62"/>
      <c r="F762" s="62"/>
      <c r="G762" s="377"/>
      <c r="H762" s="85"/>
      <c r="I762" s="85"/>
      <c r="J762" s="68"/>
      <c r="K762" s="68"/>
    </row>
    <row r="763" spans="1:11" x14ac:dyDescent="0.2">
      <c r="A763" s="63"/>
      <c r="B763" s="84" t="s">
        <v>661</v>
      </c>
      <c r="C763" s="84" t="s">
        <v>662</v>
      </c>
      <c r="D763" s="66"/>
      <c r="E763" s="66"/>
      <c r="F763" s="62"/>
      <c r="G763" s="73">
        <f>G750-G754+G761</f>
        <v>0</v>
      </c>
      <c r="H763" s="85"/>
      <c r="I763" s="73" t="e">
        <f>I750-I754+I761</f>
        <v>#REF!</v>
      </c>
      <c r="J763" s="68"/>
      <c r="K763" s="68"/>
    </row>
    <row r="764" spans="1:11" x14ac:dyDescent="0.2">
      <c r="A764" s="63"/>
      <c r="B764" s="1"/>
      <c r="C764" s="62"/>
      <c r="D764" s="62"/>
      <c r="E764" s="62"/>
      <c r="F764" s="62"/>
      <c r="G764" s="85"/>
      <c r="H764" s="85"/>
      <c r="I764" s="85"/>
      <c r="J764" s="68"/>
      <c r="K764" s="68"/>
    </row>
    <row r="765" spans="1:11" x14ac:dyDescent="0.2">
      <c r="A765" s="63"/>
      <c r="B765" s="84" t="s">
        <v>663</v>
      </c>
      <c r="C765" s="84" t="s">
        <v>664</v>
      </c>
      <c r="D765" s="66"/>
      <c r="E765" s="62"/>
      <c r="F765" s="62"/>
      <c r="G765" s="73" t="e">
        <f>G695</f>
        <v>#REF!</v>
      </c>
      <c r="H765" s="73"/>
      <c r="I765" s="73">
        <v>1312251855.8000002</v>
      </c>
      <c r="J765" s="68"/>
      <c r="K765" s="68"/>
    </row>
    <row r="766" spans="1:11" x14ac:dyDescent="0.2">
      <c r="A766" s="63"/>
      <c r="B766" s="1"/>
      <c r="C766" s="62"/>
      <c r="D766" s="62"/>
      <c r="E766" s="62"/>
      <c r="F766" s="62"/>
      <c r="G766" s="73"/>
      <c r="H766" s="73"/>
      <c r="I766" s="73"/>
      <c r="J766" s="68"/>
      <c r="K766" s="68"/>
    </row>
    <row r="767" spans="1:11" x14ac:dyDescent="0.2">
      <c r="A767" s="63"/>
      <c r="B767" s="67" t="s">
        <v>665</v>
      </c>
      <c r="C767" s="65" t="s">
        <v>664</v>
      </c>
      <c r="D767" s="62"/>
      <c r="E767" s="62"/>
      <c r="F767" s="62"/>
      <c r="G767" s="73" t="e">
        <f>G763+G765</f>
        <v>#REF!</v>
      </c>
      <c r="H767" s="73"/>
      <c r="I767" s="73" t="e">
        <f>I763+I765</f>
        <v>#REF!</v>
      </c>
      <c r="J767" s="68"/>
      <c r="K767" s="68"/>
    </row>
    <row r="768" spans="1:11" x14ac:dyDescent="0.2">
      <c r="A768" s="61"/>
      <c r="B768" s="60"/>
      <c r="C768" s="60"/>
      <c r="D768" s="60"/>
      <c r="E768" s="60"/>
      <c r="F768" s="60"/>
      <c r="G768" s="91"/>
      <c r="H768" s="91"/>
      <c r="I768" s="91"/>
      <c r="J768" s="378"/>
      <c r="K768" s="378"/>
    </row>
    <row r="769" spans="1:11" x14ac:dyDescent="0.2">
      <c r="A769" s="459"/>
      <c r="B769" s="459"/>
      <c r="C769" s="459"/>
      <c r="D769" s="459"/>
      <c r="E769" s="459"/>
      <c r="F769" s="62"/>
      <c r="G769" s="92"/>
      <c r="H769" s="92"/>
      <c r="I769" s="92"/>
    </row>
    <row r="770" spans="1:11" x14ac:dyDescent="0.2">
      <c r="A770" s="447" t="s">
        <v>413</v>
      </c>
      <c r="B770" s="447"/>
      <c r="C770" s="447"/>
      <c r="D770" s="447"/>
      <c r="E770" s="447"/>
      <c r="F770" s="447" t="s">
        <v>410</v>
      </c>
      <c r="G770" s="447"/>
      <c r="H770" s="447"/>
      <c r="I770" s="447"/>
      <c r="J770" s="447"/>
      <c r="K770" s="447"/>
    </row>
    <row r="771" spans="1:11" x14ac:dyDescent="0.2">
      <c r="A771" s="447" t="s">
        <v>480</v>
      </c>
      <c r="B771" s="447"/>
      <c r="C771" s="447"/>
      <c r="D771" s="447"/>
      <c r="E771" s="447"/>
      <c r="F771" s="447" t="s">
        <v>481</v>
      </c>
      <c r="G771" s="447"/>
      <c r="H771" s="447"/>
      <c r="I771" s="447"/>
      <c r="J771" s="447"/>
      <c r="K771" s="447"/>
    </row>
    <row r="772" spans="1:11" x14ac:dyDescent="0.2">
      <c r="A772" s="447"/>
      <c r="B772" s="447"/>
      <c r="C772" s="447"/>
      <c r="D772" s="447"/>
      <c r="E772" s="447"/>
      <c r="F772" s="447"/>
      <c r="G772" s="447"/>
      <c r="H772" s="447"/>
      <c r="I772" s="447"/>
      <c r="J772" s="447"/>
      <c r="K772" s="447"/>
    </row>
    <row r="773" spans="1:11" x14ac:dyDescent="0.2">
      <c r="A773" s="447"/>
      <c r="B773" s="447"/>
      <c r="C773" s="447"/>
      <c r="D773" s="447"/>
      <c r="E773" s="447"/>
      <c r="F773" s="447"/>
      <c r="G773" s="447"/>
      <c r="H773" s="447"/>
      <c r="I773" s="447"/>
      <c r="J773" s="447"/>
      <c r="K773" s="447"/>
    </row>
    <row r="774" spans="1:11" x14ac:dyDescent="0.2">
      <c r="A774" s="447" t="s">
        <v>463</v>
      </c>
      <c r="B774" s="447"/>
      <c r="C774" s="447"/>
      <c r="D774" s="447"/>
      <c r="E774" s="447"/>
      <c r="F774" s="447" t="s">
        <v>411</v>
      </c>
      <c r="G774" s="447"/>
      <c r="H774" s="447"/>
      <c r="I774" s="447"/>
      <c r="J774" s="447"/>
      <c r="K774" s="447"/>
    </row>
    <row r="775" spans="1:11" x14ac:dyDescent="0.2">
      <c r="A775" s="447"/>
      <c r="B775" s="447"/>
      <c r="C775" s="447"/>
      <c r="D775" s="447"/>
      <c r="E775" s="447"/>
      <c r="F775" s="447"/>
      <c r="G775" s="447"/>
      <c r="H775" s="447"/>
      <c r="I775" s="447"/>
      <c r="J775" s="447"/>
      <c r="K775" s="447"/>
    </row>
    <row r="792" spans="1:11" x14ac:dyDescent="0.2">
      <c r="A792" s="450" t="s">
        <v>633</v>
      </c>
      <c r="B792" s="450"/>
      <c r="C792" s="374" t="s">
        <v>634</v>
      </c>
      <c r="D792" s="62"/>
      <c r="E792" s="62"/>
      <c r="F792" s="62"/>
    </row>
    <row r="793" spans="1:11" x14ac:dyDescent="0.2">
      <c r="B793" s="62"/>
      <c r="C793" s="62"/>
      <c r="D793" s="62"/>
      <c r="E793" s="62"/>
      <c r="F793" s="62"/>
    </row>
    <row r="794" spans="1:11" ht="15" x14ac:dyDescent="0.25">
      <c r="A794" s="69"/>
      <c r="B794" s="452"/>
      <c r="C794" s="452"/>
      <c r="D794" s="452"/>
      <c r="E794" s="452"/>
      <c r="F794" s="452"/>
      <c r="G794" s="452"/>
      <c r="H794" s="452"/>
      <c r="I794" s="452"/>
      <c r="J794" s="375"/>
      <c r="K794" s="375"/>
    </row>
    <row r="795" spans="1:11" ht="15" x14ac:dyDescent="0.25">
      <c r="A795" s="63"/>
      <c r="B795" s="448" t="s">
        <v>462</v>
      </c>
      <c r="C795" s="448"/>
      <c r="D795" s="448"/>
      <c r="E795" s="448"/>
      <c r="F795" s="448"/>
      <c r="G795" s="448"/>
      <c r="H795" s="448"/>
      <c r="I795" s="448"/>
      <c r="J795" s="68"/>
      <c r="K795" s="68"/>
    </row>
    <row r="796" spans="1:11" ht="15" x14ac:dyDescent="0.25">
      <c r="A796" s="63"/>
      <c r="B796" s="448" t="s">
        <v>15</v>
      </c>
      <c r="C796" s="448"/>
      <c r="D796" s="448"/>
      <c r="E796" s="448"/>
      <c r="F796" s="448"/>
      <c r="G796" s="448"/>
      <c r="H796" s="448"/>
      <c r="I796" s="448"/>
      <c r="J796" s="68"/>
      <c r="K796" s="68"/>
    </row>
    <row r="797" spans="1:11" ht="15" x14ac:dyDescent="0.25">
      <c r="A797" s="63"/>
      <c r="B797" s="451" t="s">
        <v>675</v>
      </c>
      <c r="C797" s="451"/>
      <c r="D797" s="451"/>
      <c r="E797" s="451"/>
      <c r="F797" s="451"/>
      <c r="G797" s="451"/>
      <c r="H797" s="451"/>
      <c r="I797" s="451"/>
      <c r="J797" s="68"/>
      <c r="K797" s="68"/>
    </row>
    <row r="798" spans="1:11" x14ac:dyDescent="0.2">
      <c r="A798" s="63"/>
      <c r="B798" s="62"/>
      <c r="C798" s="62"/>
      <c r="D798" s="62"/>
      <c r="E798" s="62"/>
      <c r="F798" s="62"/>
      <c r="J798" s="68"/>
      <c r="K798" s="68"/>
    </row>
    <row r="799" spans="1:11" x14ac:dyDescent="0.2">
      <c r="A799" s="63"/>
      <c r="B799" s="453" t="s">
        <v>10</v>
      </c>
      <c r="C799" s="454"/>
      <c r="D799" s="454"/>
      <c r="E799" s="455"/>
      <c r="F799" s="64"/>
      <c r="G799" s="82" t="s">
        <v>12</v>
      </c>
      <c r="H799" s="64"/>
      <c r="I799" s="82" t="s">
        <v>13</v>
      </c>
      <c r="J799" s="68"/>
      <c r="K799" s="68"/>
    </row>
    <row r="800" spans="1:11" x14ac:dyDescent="0.2">
      <c r="A800" s="63"/>
      <c r="B800" s="456"/>
      <c r="C800" s="457"/>
      <c r="D800" s="457"/>
      <c r="E800" s="458"/>
      <c r="F800" s="64"/>
      <c r="G800" s="83" t="s">
        <v>14</v>
      </c>
      <c r="H800" s="64"/>
      <c r="I800" s="83" t="s">
        <v>14</v>
      </c>
      <c r="J800" s="68"/>
      <c r="K800" s="68"/>
    </row>
    <row r="801" spans="1:11" x14ac:dyDescent="0.2">
      <c r="A801" s="63"/>
      <c r="B801" s="84" t="s">
        <v>636</v>
      </c>
      <c r="C801" s="84" t="s">
        <v>649</v>
      </c>
      <c r="D801" s="84"/>
      <c r="E801" s="62"/>
      <c r="F801" s="62"/>
      <c r="G801" s="85"/>
      <c r="H801" s="85"/>
      <c r="I801" s="85"/>
      <c r="J801" s="68"/>
      <c r="K801" s="68"/>
    </row>
    <row r="802" spans="1:11" x14ac:dyDescent="0.2">
      <c r="A802" s="63"/>
      <c r="B802" s="1"/>
      <c r="C802" s="65" t="s">
        <v>637</v>
      </c>
      <c r="D802" s="62"/>
      <c r="E802" s="62"/>
      <c r="F802" s="62"/>
      <c r="G802" s="85"/>
      <c r="H802" s="85"/>
      <c r="I802" s="85"/>
      <c r="J802" s="68"/>
      <c r="K802" s="68"/>
    </row>
    <row r="803" spans="1:11" x14ac:dyDescent="0.2">
      <c r="A803" s="63"/>
      <c r="B803" s="1"/>
      <c r="C803" s="62"/>
      <c r="D803" s="62">
        <v>1</v>
      </c>
      <c r="E803" s="62" t="s">
        <v>638</v>
      </c>
      <c r="F803" s="62"/>
      <c r="G803" s="85"/>
      <c r="H803" s="85"/>
      <c r="I803" s="85" t="e">
        <f>G803+I731</f>
        <v>#REF!</v>
      </c>
      <c r="J803" s="68"/>
      <c r="K803" s="68"/>
    </row>
    <row r="804" spans="1:11" x14ac:dyDescent="0.2">
      <c r="A804" s="63"/>
      <c r="B804" s="1"/>
      <c r="C804" s="62"/>
      <c r="D804" s="62">
        <v>2</v>
      </c>
      <c r="E804" s="62" t="s">
        <v>639</v>
      </c>
      <c r="F804" s="62"/>
      <c r="G804" s="85"/>
      <c r="H804" s="85"/>
      <c r="I804" s="85" t="e">
        <f t="shared" ref="I804:I807" si="32">G804+I732</f>
        <v>#REF!</v>
      </c>
      <c r="J804" s="68"/>
      <c r="K804" s="68"/>
    </row>
    <row r="805" spans="1:11" x14ac:dyDescent="0.2">
      <c r="A805" s="63"/>
      <c r="B805" s="1"/>
      <c r="C805" s="62"/>
      <c r="D805" s="62">
        <v>3</v>
      </c>
      <c r="E805" s="62" t="s">
        <v>640</v>
      </c>
      <c r="F805" s="62"/>
      <c r="G805" s="85"/>
      <c r="H805" s="85"/>
      <c r="I805" s="85" t="e">
        <f t="shared" si="32"/>
        <v>#REF!</v>
      </c>
      <c r="J805" s="68"/>
      <c r="K805" s="68"/>
    </row>
    <row r="806" spans="1:11" x14ac:dyDescent="0.2">
      <c r="A806" s="63"/>
      <c r="B806" s="1"/>
      <c r="C806" s="62"/>
      <c r="D806" s="62">
        <v>4</v>
      </c>
      <c r="E806" s="62" t="s">
        <v>645</v>
      </c>
      <c r="F806" s="62"/>
      <c r="G806" s="85"/>
      <c r="H806" s="85"/>
      <c r="I806" s="85">
        <f t="shared" si="32"/>
        <v>0</v>
      </c>
      <c r="J806" s="68"/>
      <c r="K806" s="68"/>
    </row>
    <row r="807" spans="1:11" x14ac:dyDescent="0.2">
      <c r="A807" s="63"/>
      <c r="B807" s="1"/>
      <c r="C807" s="62"/>
      <c r="D807" s="62">
        <v>5</v>
      </c>
      <c r="E807" s="62" t="s">
        <v>641</v>
      </c>
      <c r="F807" s="62"/>
      <c r="G807" s="85"/>
      <c r="H807" s="85"/>
      <c r="I807" s="85">
        <f t="shared" si="32"/>
        <v>0</v>
      </c>
      <c r="J807" s="68"/>
      <c r="K807" s="68"/>
    </row>
    <row r="808" spans="1:11" x14ac:dyDescent="0.2">
      <c r="A808" s="63"/>
      <c r="B808" s="1"/>
      <c r="C808" s="62"/>
      <c r="D808" s="62"/>
      <c r="E808" s="62"/>
      <c r="F808" s="62"/>
      <c r="G808" s="85"/>
      <c r="H808" s="85"/>
      <c r="I808" s="85"/>
      <c r="J808" s="68"/>
      <c r="K808" s="68"/>
    </row>
    <row r="809" spans="1:11" x14ac:dyDescent="0.2">
      <c r="A809" s="63"/>
      <c r="B809" s="1"/>
      <c r="C809" s="65"/>
      <c r="D809" s="65" t="s">
        <v>16</v>
      </c>
      <c r="E809" s="65"/>
      <c r="F809" s="62"/>
      <c r="G809" s="86">
        <f>SUM(G803:G807)</f>
        <v>0</v>
      </c>
      <c r="H809" s="85"/>
      <c r="I809" s="86" t="e">
        <f>SUM(I803:I807)</f>
        <v>#REF!</v>
      </c>
      <c r="J809" s="68"/>
      <c r="K809" s="68"/>
    </row>
    <row r="810" spans="1:11" x14ac:dyDescent="0.2">
      <c r="A810" s="63"/>
      <c r="B810" s="1"/>
      <c r="C810" s="65"/>
      <c r="D810" s="65"/>
      <c r="E810" s="65"/>
      <c r="F810" s="62"/>
      <c r="G810" s="73"/>
      <c r="H810" s="85"/>
      <c r="I810" s="73"/>
      <c r="J810" s="68"/>
      <c r="K810" s="68"/>
    </row>
    <row r="811" spans="1:11" x14ac:dyDescent="0.2">
      <c r="A811" s="63"/>
      <c r="B811" s="1"/>
      <c r="C811" s="65" t="s">
        <v>642</v>
      </c>
      <c r="D811" s="62"/>
      <c r="E811" s="62"/>
      <c r="F811" s="62"/>
      <c r="G811" s="85"/>
      <c r="H811" s="85"/>
      <c r="I811" s="85"/>
      <c r="J811" s="68"/>
      <c r="K811" s="68"/>
    </row>
    <row r="812" spans="1:11" x14ac:dyDescent="0.2">
      <c r="A812" s="63"/>
      <c r="B812" s="1"/>
      <c r="C812" s="62"/>
      <c r="D812" s="62">
        <v>1</v>
      </c>
      <c r="E812" s="87" t="s">
        <v>190</v>
      </c>
      <c r="F812" s="62"/>
      <c r="G812" s="85"/>
      <c r="H812" s="85"/>
      <c r="I812" s="85">
        <f>G812+I740</f>
        <v>0</v>
      </c>
      <c r="J812" s="68"/>
      <c r="K812" s="68"/>
    </row>
    <row r="813" spans="1:11" x14ac:dyDescent="0.2">
      <c r="A813" s="63"/>
      <c r="B813" s="1"/>
      <c r="C813" s="62"/>
      <c r="D813" s="62">
        <v>2</v>
      </c>
      <c r="E813" s="87" t="s">
        <v>191</v>
      </c>
      <c r="F813" s="62"/>
      <c r="G813" s="85"/>
      <c r="H813" s="85"/>
      <c r="I813" s="85">
        <f t="shared" ref="I813:I818" si="33">G813+I741</f>
        <v>0</v>
      </c>
      <c r="J813" s="68"/>
      <c r="K813" s="68"/>
    </row>
    <row r="814" spans="1:11" x14ac:dyDescent="0.2">
      <c r="A814" s="63"/>
      <c r="B814" s="1"/>
      <c r="C814" s="62"/>
      <c r="D814" s="62">
        <v>3</v>
      </c>
      <c r="E814" s="87" t="s">
        <v>643</v>
      </c>
      <c r="F814" s="67"/>
      <c r="G814" s="85"/>
      <c r="H814" s="85"/>
      <c r="I814" s="85">
        <f t="shared" si="33"/>
        <v>1200000</v>
      </c>
      <c r="J814" s="68"/>
      <c r="K814" s="68"/>
    </row>
    <row r="815" spans="1:11" x14ac:dyDescent="0.2">
      <c r="A815" s="63"/>
      <c r="B815" s="1"/>
      <c r="C815" s="62"/>
      <c r="D815" s="62">
        <v>4</v>
      </c>
      <c r="E815" s="87" t="s">
        <v>644</v>
      </c>
      <c r="F815" s="62"/>
      <c r="G815" s="85"/>
      <c r="H815" s="85"/>
      <c r="I815" s="85">
        <f t="shared" si="33"/>
        <v>0</v>
      </c>
      <c r="J815" s="68"/>
      <c r="K815" s="68"/>
    </row>
    <row r="816" spans="1:11" x14ac:dyDescent="0.2">
      <c r="A816" s="63"/>
      <c r="B816" s="1"/>
      <c r="C816" s="62"/>
      <c r="D816" s="62">
        <v>5</v>
      </c>
      <c r="E816" s="87" t="s">
        <v>632</v>
      </c>
      <c r="F816" s="67"/>
      <c r="G816" s="85"/>
      <c r="H816" s="85"/>
      <c r="I816" s="85">
        <f t="shared" si="33"/>
        <v>0</v>
      </c>
      <c r="J816" s="68"/>
      <c r="K816" s="68"/>
    </row>
    <row r="817" spans="1:11" x14ac:dyDescent="0.2">
      <c r="A817" s="63"/>
      <c r="B817" s="1"/>
      <c r="C817" s="62"/>
      <c r="D817" s="62">
        <v>6</v>
      </c>
      <c r="E817" s="87" t="s">
        <v>646</v>
      </c>
      <c r="F817" s="67"/>
      <c r="G817" s="85"/>
      <c r="H817" s="85"/>
      <c r="I817" s="85">
        <f t="shared" si="33"/>
        <v>0</v>
      </c>
      <c r="J817" s="68"/>
      <c r="K817" s="68"/>
    </row>
    <row r="818" spans="1:11" x14ac:dyDescent="0.2">
      <c r="A818" s="63"/>
      <c r="B818" s="1"/>
      <c r="C818" s="62"/>
      <c r="D818" s="62">
        <v>7</v>
      </c>
      <c r="E818" s="87" t="s">
        <v>647</v>
      </c>
      <c r="F818" s="67"/>
      <c r="G818" s="85"/>
      <c r="H818" s="85"/>
      <c r="I818" s="85">
        <f t="shared" si="33"/>
        <v>0</v>
      </c>
      <c r="J818" s="68"/>
      <c r="K818" s="68"/>
    </row>
    <row r="819" spans="1:11" x14ac:dyDescent="0.2">
      <c r="A819" s="63"/>
      <c r="B819" s="67"/>
      <c r="C819" s="65"/>
      <c r="D819" s="62"/>
      <c r="E819" s="87"/>
      <c r="F819" s="62"/>
      <c r="G819" s="85"/>
      <c r="H819" s="85"/>
      <c r="I819" s="85"/>
      <c r="J819" s="68"/>
      <c r="K819" s="68"/>
    </row>
    <row r="820" spans="1:11" x14ac:dyDescent="0.2">
      <c r="A820" s="63"/>
      <c r="B820" s="1"/>
      <c r="C820" s="62"/>
      <c r="D820" s="65" t="s">
        <v>17</v>
      </c>
      <c r="E820" s="64"/>
      <c r="F820" s="88"/>
      <c r="G820" s="86">
        <f>SUM(G812:G819)</f>
        <v>0</v>
      </c>
      <c r="H820" s="85"/>
      <c r="I820" s="86">
        <f>SUM(I812:I819)</f>
        <v>1200000</v>
      </c>
      <c r="J820" s="68"/>
      <c r="K820" s="68"/>
    </row>
    <row r="821" spans="1:11" x14ac:dyDescent="0.2">
      <c r="A821" s="63"/>
      <c r="B821" s="1"/>
      <c r="C821" s="62"/>
      <c r="D821" s="62"/>
      <c r="E821" s="62"/>
      <c r="F821" s="62"/>
      <c r="G821" s="85"/>
      <c r="H821" s="85"/>
      <c r="I821" s="85"/>
      <c r="J821" s="68"/>
      <c r="K821" s="68"/>
    </row>
    <row r="822" spans="1:11" x14ac:dyDescent="0.2">
      <c r="A822" s="63"/>
      <c r="B822" s="1"/>
      <c r="C822" s="65" t="s">
        <v>648</v>
      </c>
      <c r="D822" s="65"/>
      <c r="E822" s="65"/>
      <c r="F822" s="62"/>
      <c r="G822" s="304">
        <f>G809-G820</f>
        <v>0</v>
      </c>
      <c r="H822" s="85"/>
      <c r="I822" s="304" t="e">
        <f>I809-I820</f>
        <v>#REF!</v>
      </c>
      <c r="K822" s="68"/>
    </row>
    <row r="823" spans="1:11" x14ac:dyDescent="0.2">
      <c r="A823" s="63"/>
      <c r="B823" s="1"/>
      <c r="C823" s="62"/>
      <c r="D823" s="62"/>
      <c r="E823" s="62"/>
      <c r="F823" s="62"/>
      <c r="G823" s="85"/>
      <c r="H823" s="85"/>
      <c r="I823" s="85"/>
      <c r="J823" s="68"/>
      <c r="K823" s="68"/>
    </row>
    <row r="824" spans="1:11" x14ac:dyDescent="0.2">
      <c r="A824" s="63"/>
      <c r="B824" s="84" t="s">
        <v>650</v>
      </c>
      <c r="C824" s="84" t="s">
        <v>651</v>
      </c>
      <c r="D824" s="74"/>
      <c r="E824" s="67"/>
      <c r="F824" s="67"/>
      <c r="G824" s="85"/>
      <c r="H824" s="85"/>
      <c r="I824" s="85"/>
      <c r="J824" s="68"/>
      <c r="K824" s="68"/>
    </row>
    <row r="825" spans="1:11" x14ac:dyDescent="0.2">
      <c r="A825" s="63"/>
      <c r="B825" s="67"/>
      <c r="C825" s="65"/>
      <c r="D825" s="62" t="s">
        <v>652</v>
      </c>
      <c r="E825" s="62"/>
      <c r="F825" s="62"/>
      <c r="G825" s="85"/>
      <c r="H825" s="85"/>
      <c r="I825" s="85" t="e">
        <f>G825+I753</f>
        <v>#REF!</v>
      </c>
      <c r="J825" s="68"/>
      <c r="K825" s="68"/>
    </row>
    <row r="826" spans="1:11" x14ac:dyDescent="0.2">
      <c r="A826" s="63"/>
      <c r="B826" s="1"/>
      <c r="C826" s="65" t="s">
        <v>653</v>
      </c>
      <c r="D826" s="74"/>
      <c r="E826" s="74"/>
      <c r="F826" s="74"/>
      <c r="G826" s="86">
        <f>SUM(G825)</f>
        <v>0</v>
      </c>
      <c r="H826" s="73"/>
      <c r="I826" s="86" t="e">
        <f>SUM(I825)</f>
        <v>#REF!</v>
      </c>
      <c r="J826" s="68"/>
      <c r="K826" s="68"/>
    </row>
    <row r="827" spans="1:11" x14ac:dyDescent="0.2">
      <c r="A827" s="63"/>
      <c r="B827" s="1"/>
      <c r="C827" s="449"/>
      <c r="D827" s="449"/>
      <c r="E827" s="449"/>
      <c r="F827" s="62"/>
      <c r="G827" s="264"/>
      <c r="H827" s="89"/>
      <c r="I827" s="264"/>
      <c r="J827" s="68"/>
      <c r="K827" s="68"/>
    </row>
    <row r="828" spans="1:11" x14ac:dyDescent="0.2">
      <c r="A828" s="63"/>
      <c r="B828" s="84" t="s">
        <v>654</v>
      </c>
      <c r="C828" s="84" t="s">
        <v>655</v>
      </c>
      <c r="D828" s="62"/>
      <c r="E828" s="62"/>
      <c r="F828" s="62"/>
      <c r="G828" s="89"/>
      <c r="H828" s="89"/>
      <c r="I828" s="89"/>
      <c r="J828" s="68"/>
      <c r="K828" s="68"/>
    </row>
    <row r="829" spans="1:11" x14ac:dyDescent="0.2">
      <c r="A829" s="63"/>
      <c r="B829" s="80"/>
      <c r="C829" s="80"/>
      <c r="D829" s="62" t="s">
        <v>656</v>
      </c>
      <c r="E829" s="80"/>
      <c r="F829" s="67"/>
      <c r="G829" s="264"/>
      <c r="H829" s="89"/>
      <c r="I829" s="85">
        <f>G829+I758</f>
        <v>0</v>
      </c>
      <c r="J829" s="68"/>
      <c r="K829" s="68"/>
    </row>
    <row r="830" spans="1:11" x14ac:dyDescent="0.2">
      <c r="A830" s="63"/>
      <c r="B830" s="84"/>
      <c r="C830" s="62"/>
      <c r="D830" s="62" t="s">
        <v>657</v>
      </c>
      <c r="E830" s="62"/>
      <c r="F830" s="62"/>
      <c r="G830" s="85"/>
      <c r="H830" s="85"/>
      <c r="I830" s="85">
        <f t="shared" ref="I830:I832" si="34">G830+I759</f>
        <v>0</v>
      </c>
      <c r="J830" s="68"/>
      <c r="K830" s="68"/>
    </row>
    <row r="831" spans="1:11" x14ac:dyDescent="0.2">
      <c r="A831" s="63"/>
      <c r="B831" s="1"/>
      <c r="C831" s="62"/>
      <c r="D831" s="74" t="s">
        <v>658</v>
      </c>
      <c r="E831" s="67"/>
      <c r="F831" s="67"/>
      <c r="G831" s="85"/>
      <c r="H831" s="85"/>
      <c r="I831" s="85">
        <f t="shared" si="34"/>
        <v>0</v>
      </c>
      <c r="J831" s="68"/>
      <c r="K831" s="68"/>
    </row>
    <row r="832" spans="1:11" x14ac:dyDescent="0.2">
      <c r="A832" s="63"/>
      <c r="B832" s="67"/>
      <c r="C832" s="65"/>
      <c r="D832" s="62" t="s">
        <v>659</v>
      </c>
      <c r="E832" s="62"/>
      <c r="F832" s="62"/>
      <c r="G832" s="377"/>
      <c r="H832" s="85"/>
      <c r="I832" s="85">
        <f t="shared" si="34"/>
        <v>0</v>
      </c>
      <c r="J832" s="68"/>
      <c r="K832" s="68"/>
    </row>
    <row r="833" spans="1:11" x14ac:dyDescent="0.2">
      <c r="A833" s="63"/>
      <c r="B833" s="1"/>
      <c r="C833" s="65" t="s">
        <v>660</v>
      </c>
      <c r="D833" s="74"/>
      <c r="E833" s="74"/>
      <c r="F833" s="74"/>
      <c r="G833" s="379">
        <f>SUM(G829:G832)</f>
        <v>0</v>
      </c>
      <c r="H833" s="85"/>
      <c r="I833" s="379">
        <f>SUM(I829:I832)</f>
        <v>0</v>
      </c>
      <c r="J833" s="68"/>
      <c r="K833" s="68"/>
    </row>
    <row r="834" spans="1:11" x14ac:dyDescent="0.2">
      <c r="A834" s="63"/>
      <c r="B834" s="1"/>
      <c r="C834" s="62"/>
      <c r="D834" s="62"/>
      <c r="E834" s="62"/>
      <c r="F834" s="62"/>
      <c r="G834" s="377"/>
      <c r="H834" s="85"/>
      <c r="I834" s="85"/>
      <c r="J834" s="68"/>
      <c r="K834" s="68"/>
    </row>
    <row r="835" spans="1:11" x14ac:dyDescent="0.2">
      <c r="A835" s="63"/>
      <c r="B835" s="84" t="s">
        <v>661</v>
      </c>
      <c r="C835" s="84" t="s">
        <v>662</v>
      </c>
      <c r="D835" s="66"/>
      <c r="E835" s="66"/>
      <c r="F835" s="62"/>
      <c r="G835" s="73">
        <f>G822-G826+G833</f>
        <v>0</v>
      </c>
      <c r="H835" s="85"/>
      <c r="I835" s="73" t="e">
        <f>I822-I826+I833</f>
        <v>#REF!</v>
      </c>
      <c r="J835" s="68"/>
      <c r="K835" s="68"/>
    </row>
    <row r="836" spans="1:11" x14ac:dyDescent="0.2">
      <c r="A836" s="63"/>
      <c r="B836" s="1"/>
      <c r="C836" s="62"/>
      <c r="D836" s="62"/>
      <c r="E836" s="62"/>
      <c r="F836" s="62"/>
      <c r="G836" s="85"/>
      <c r="H836" s="85"/>
      <c r="I836" s="85"/>
      <c r="J836" s="68"/>
      <c r="K836" s="68"/>
    </row>
    <row r="837" spans="1:11" x14ac:dyDescent="0.2">
      <c r="A837" s="63"/>
      <c r="B837" s="84" t="s">
        <v>663</v>
      </c>
      <c r="C837" s="84" t="s">
        <v>664</v>
      </c>
      <c r="D837" s="66"/>
      <c r="E837" s="62"/>
      <c r="F837" s="62"/>
      <c r="G837" s="73" t="e">
        <f>G767</f>
        <v>#REF!</v>
      </c>
      <c r="H837" s="73"/>
      <c r="I837" s="73">
        <v>1312251855.8000002</v>
      </c>
      <c r="J837" s="68"/>
      <c r="K837" s="68"/>
    </row>
    <row r="838" spans="1:11" x14ac:dyDescent="0.2">
      <c r="A838" s="63"/>
      <c r="B838" s="1"/>
      <c r="C838" s="62"/>
      <c r="D838" s="62"/>
      <c r="E838" s="62"/>
      <c r="F838" s="62"/>
      <c r="G838" s="73"/>
      <c r="H838" s="73"/>
      <c r="I838" s="73"/>
      <c r="J838" s="68"/>
      <c r="K838" s="68"/>
    </row>
    <row r="839" spans="1:11" x14ac:dyDescent="0.2">
      <c r="A839" s="63"/>
      <c r="B839" s="67" t="s">
        <v>665</v>
      </c>
      <c r="C839" s="65" t="s">
        <v>664</v>
      </c>
      <c r="D839" s="62"/>
      <c r="E839" s="62"/>
      <c r="F839" s="62"/>
      <c r="G839" s="73" t="e">
        <f>G835+G837</f>
        <v>#REF!</v>
      </c>
      <c r="H839" s="73"/>
      <c r="I839" s="73" t="e">
        <f>I835+I837</f>
        <v>#REF!</v>
      </c>
      <c r="J839" s="68"/>
      <c r="K839" s="68"/>
    </row>
    <row r="840" spans="1:11" x14ac:dyDescent="0.2">
      <c r="A840" s="61"/>
      <c r="B840" s="60"/>
      <c r="C840" s="60"/>
      <c r="D840" s="60"/>
      <c r="E840" s="60"/>
      <c r="F840" s="60"/>
      <c r="G840" s="91"/>
      <c r="H840" s="91"/>
      <c r="I840" s="91"/>
      <c r="J840" s="378"/>
      <c r="K840" s="378"/>
    </row>
    <row r="841" spans="1:11" x14ac:dyDescent="0.2">
      <c r="A841" s="459"/>
      <c r="B841" s="459"/>
      <c r="C841" s="459"/>
      <c r="D841" s="459"/>
      <c r="E841" s="459"/>
      <c r="F841" s="62"/>
      <c r="G841" s="92"/>
      <c r="H841" s="92"/>
      <c r="I841" s="92"/>
    </row>
    <row r="842" spans="1:11" x14ac:dyDescent="0.2">
      <c r="A842" s="447" t="s">
        <v>413</v>
      </c>
      <c r="B842" s="447"/>
      <c r="C842" s="447"/>
      <c r="D842" s="447"/>
      <c r="E842" s="447"/>
      <c r="F842" s="447" t="s">
        <v>410</v>
      </c>
      <c r="G842" s="447"/>
      <c r="H842" s="447"/>
      <c r="I842" s="447"/>
      <c r="J842" s="447"/>
      <c r="K842" s="447"/>
    </row>
    <row r="843" spans="1:11" x14ac:dyDescent="0.2">
      <c r="A843" s="447" t="s">
        <v>480</v>
      </c>
      <c r="B843" s="447"/>
      <c r="C843" s="447"/>
      <c r="D843" s="447"/>
      <c r="E843" s="447"/>
      <c r="F843" s="447" t="s">
        <v>481</v>
      </c>
      <c r="G843" s="447"/>
      <c r="H843" s="447"/>
      <c r="I843" s="447"/>
      <c r="J843" s="447"/>
      <c r="K843" s="447"/>
    </row>
    <row r="844" spans="1:11" x14ac:dyDescent="0.2">
      <c r="A844" s="447"/>
      <c r="B844" s="447"/>
      <c r="C844" s="447"/>
      <c r="D844" s="447"/>
      <c r="E844" s="447"/>
      <c r="F844" s="447"/>
      <c r="G844" s="447"/>
      <c r="H844" s="447"/>
      <c r="I844" s="447"/>
      <c r="J844" s="447"/>
      <c r="K844" s="447"/>
    </row>
    <row r="845" spans="1:11" x14ac:dyDescent="0.2">
      <c r="A845" s="447"/>
      <c r="B845" s="447"/>
      <c r="C845" s="447"/>
      <c r="D845" s="447"/>
      <c r="E845" s="447"/>
      <c r="F845" s="447"/>
      <c r="G845" s="447"/>
      <c r="H845" s="447"/>
      <c r="I845" s="447"/>
      <c r="J845" s="447"/>
      <c r="K845" s="447"/>
    </row>
    <row r="846" spans="1:11" x14ac:dyDescent="0.2">
      <c r="A846" s="447" t="s">
        <v>463</v>
      </c>
      <c r="B846" s="447"/>
      <c r="C846" s="447"/>
      <c r="D846" s="447"/>
      <c r="E846" s="447"/>
      <c r="F846" s="447" t="s">
        <v>411</v>
      </c>
      <c r="G846" s="447"/>
      <c r="H846" s="447"/>
      <c r="I846" s="447"/>
      <c r="J846" s="447"/>
      <c r="K846" s="447"/>
    </row>
    <row r="847" spans="1:11" x14ac:dyDescent="0.2">
      <c r="A847" s="447"/>
      <c r="B847" s="447"/>
      <c r="C847" s="447"/>
      <c r="D847" s="447"/>
      <c r="E847" s="447"/>
      <c r="F847" s="447"/>
      <c r="G847" s="447"/>
      <c r="H847" s="447"/>
      <c r="I847" s="447"/>
      <c r="J847" s="447"/>
      <c r="K847" s="447"/>
    </row>
    <row r="864" spans="1:6" x14ac:dyDescent="0.2">
      <c r="A864" s="450" t="s">
        <v>633</v>
      </c>
      <c r="B864" s="450"/>
      <c r="C864" s="374" t="s">
        <v>634</v>
      </c>
      <c r="D864" s="62"/>
      <c r="E864" s="62"/>
      <c r="F864" s="62"/>
    </row>
    <row r="865" spans="1:11" x14ac:dyDescent="0.2">
      <c r="B865" s="62"/>
      <c r="C865" s="62"/>
      <c r="D865" s="62"/>
      <c r="E865" s="62"/>
      <c r="F865" s="62"/>
    </row>
    <row r="866" spans="1:11" ht="15" x14ac:dyDescent="0.25">
      <c r="A866" s="69"/>
      <c r="B866" s="452"/>
      <c r="C866" s="452"/>
      <c r="D866" s="452"/>
      <c r="E866" s="452"/>
      <c r="F866" s="452"/>
      <c r="G866" s="452"/>
      <c r="H866" s="452"/>
      <c r="I866" s="452"/>
      <c r="J866" s="375"/>
      <c r="K866" s="375"/>
    </row>
    <row r="867" spans="1:11" ht="15" x14ac:dyDescent="0.25">
      <c r="A867" s="63"/>
      <c r="B867" s="448" t="s">
        <v>462</v>
      </c>
      <c r="C867" s="448"/>
      <c r="D867" s="448"/>
      <c r="E867" s="448"/>
      <c r="F867" s="448"/>
      <c r="G867" s="448"/>
      <c r="H867" s="448"/>
      <c r="I867" s="448"/>
      <c r="J867" s="68"/>
      <c r="K867" s="68"/>
    </row>
    <row r="868" spans="1:11" ht="15" x14ac:dyDescent="0.25">
      <c r="A868" s="63"/>
      <c r="B868" s="448" t="s">
        <v>15</v>
      </c>
      <c r="C868" s="448"/>
      <c r="D868" s="448"/>
      <c r="E868" s="448"/>
      <c r="F868" s="448"/>
      <c r="G868" s="448"/>
      <c r="H868" s="448"/>
      <c r="I868" s="448"/>
      <c r="J868" s="68"/>
      <c r="K868" s="68"/>
    </row>
    <row r="869" spans="1:11" ht="15" x14ac:dyDescent="0.25">
      <c r="A869" s="63"/>
      <c r="B869" s="451" t="s">
        <v>676</v>
      </c>
      <c r="C869" s="451"/>
      <c r="D869" s="451"/>
      <c r="E869" s="451"/>
      <c r="F869" s="451"/>
      <c r="G869" s="451"/>
      <c r="H869" s="451"/>
      <c r="I869" s="451"/>
      <c r="J869" s="68"/>
      <c r="K869" s="68"/>
    </row>
    <row r="870" spans="1:11" x14ac:dyDescent="0.2">
      <c r="A870" s="63"/>
      <c r="B870" s="62"/>
      <c r="C870" s="62"/>
      <c r="D870" s="62"/>
      <c r="E870" s="62"/>
      <c r="F870" s="62"/>
      <c r="J870" s="68"/>
      <c r="K870" s="68"/>
    </row>
    <row r="871" spans="1:11" x14ac:dyDescent="0.2">
      <c r="A871" s="63"/>
      <c r="B871" s="453" t="s">
        <v>10</v>
      </c>
      <c r="C871" s="454"/>
      <c r="D871" s="454"/>
      <c r="E871" s="455"/>
      <c r="F871" s="64"/>
      <c r="G871" s="82" t="s">
        <v>12</v>
      </c>
      <c r="H871" s="64"/>
      <c r="I871" s="82" t="s">
        <v>13</v>
      </c>
      <c r="J871" s="68"/>
      <c r="K871" s="68"/>
    </row>
    <row r="872" spans="1:11" x14ac:dyDescent="0.2">
      <c r="A872" s="63"/>
      <c r="B872" s="456"/>
      <c r="C872" s="457"/>
      <c r="D872" s="457"/>
      <c r="E872" s="458"/>
      <c r="F872" s="64"/>
      <c r="G872" s="83" t="s">
        <v>14</v>
      </c>
      <c r="H872" s="64"/>
      <c r="I872" s="83" t="s">
        <v>14</v>
      </c>
      <c r="J872" s="68"/>
      <c r="K872" s="68"/>
    </row>
    <row r="873" spans="1:11" x14ac:dyDescent="0.2">
      <c r="A873" s="63"/>
      <c r="B873" s="84" t="s">
        <v>636</v>
      </c>
      <c r="C873" s="84" t="s">
        <v>649</v>
      </c>
      <c r="D873" s="84"/>
      <c r="E873" s="62"/>
      <c r="F873" s="62"/>
      <c r="G873" s="85"/>
      <c r="H873" s="85"/>
      <c r="I873" s="85"/>
      <c r="J873" s="68"/>
      <c r="K873" s="68"/>
    </row>
    <row r="874" spans="1:11" x14ac:dyDescent="0.2">
      <c r="A874" s="63"/>
      <c r="B874" s="1"/>
      <c r="C874" s="65" t="s">
        <v>637</v>
      </c>
      <c r="D874" s="62"/>
      <c r="E874" s="62"/>
      <c r="F874" s="62"/>
      <c r="G874" s="85"/>
      <c r="H874" s="85"/>
      <c r="I874" s="85"/>
      <c r="J874" s="68"/>
      <c r="K874" s="68"/>
    </row>
    <row r="875" spans="1:11" x14ac:dyDescent="0.2">
      <c r="A875" s="63"/>
      <c r="B875" s="1"/>
      <c r="C875" s="62"/>
      <c r="D875" s="62">
        <v>1</v>
      </c>
      <c r="E875" s="62" t="s">
        <v>638</v>
      </c>
      <c r="F875" s="62"/>
      <c r="G875" s="85"/>
      <c r="H875" s="85"/>
      <c r="I875" s="85" t="e">
        <f>G875+I803</f>
        <v>#REF!</v>
      </c>
      <c r="J875" s="68"/>
      <c r="K875" s="68"/>
    </row>
    <row r="876" spans="1:11" x14ac:dyDescent="0.2">
      <c r="A876" s="63"/>
      <c r="B876" s="1"/>
      <c r="C876" s="62"/>
      <c r="D876" s="62">
        <v>2</v>
      </c>
      <c r="E876" s="62" t="s">
        <v>639</v>
      </c>
      <c r="F876" s="62"/>
      <c r="G876" s="85"/>
      <c r="H876" s="85"/>
      <c r="I876" s="85" t="e">
        <f t="shared" ref="I876:I879" si="35">G876+I804</f>
        <v>#REF!</v>
      </c>
      <c r="J876" s="68"/>
      <c r="K876" s="68"/>
    </row>
    <row r="877" spans="1:11" x14ac:dyDescent="0.2">
      <c r="A877" s="63"/>
      <c r="B877" s="1"/>
      <c r="C877" s="62"/>
      <c r="D877" s="62">
        <v>3</v>
      </c>
      <c r="E877" s="62" t="s">
        <v>640</v>
      </c>
      <c r="F877" s="62"/>
      <c r="G877" s="85"/>
      <c r="H877" s="85"/>
      <c r="I877" s="85" t="e">
        <f t="shared" si="35"/>
        <v>#REF!</v>
      </c>
      <c r="J877" s="68"/>
      <c r="K877" s="68"/>
    </row>
    <row r="878" spans="1:11" x14ac:dyDescent="0.2">
      <c r="A878" s="63"/>
      <c r="B878" s="1"/>
      <c r="C878" s="62"/>
      <c r="D878" s="62">
        <v>4</v>
      </c>
      <c r="E878" s="62" t="s">
        <v>645</v>
      </c>
      <c r="F878" s="62"/>
      <c r="G878" s="85"/>
      <c r="H878" s="85"/>
      <c r="I878" s="85">
        <f t="shared" si="35"/>
        <v>0</v>
      </c>
      <c r="J878" s="68"/>
      <c r="K878" s="68"/>
    </row>
    <row r="879" spans="1:11" x14ac:dyDescent="0.2">
      <c r="A879" s="63"/>
      <c r="B879" s="1"/>
      <c r="C879" s="62"/>
      <c r="D879" s="62">
        <v>5</v>
      </c>
      <c r="E879" s="62" t="s">
        <v>641</v>
      </c>
      <c r="F879" s="62"/>
      <c r="G879" s="85"/>
      <c r="H879" s="85"/>
      <c r="I879" s="85">
        <f t="shared" si="35"/>
        <v>0</v>
      </c>
      <c r="J879" s="68"/>
      <c r="K879" s="68"/>
    </row>
    <row r="880" spans="1:11" x14ac:dyDescent="0.2">
      <c r="A880" s="63"/>
      <c r="B880" s="1"/>
      <c r="C880" s="62"/>
      <c r="D880" s="62"/>
      <c r="E880" s="62"/>
      <c r="F880" s="62"/>
      <c r="G880" s="85"/>
      <c r="H880" s="85"/>
      <c r="I880" s="85"/>
      <c r="J880" s="68"/>
      <c r="K880" s="68"/>
    </row>
    <row r="881" spans="1:11" x14ac:dyDescent="0.2">
      <c r="A881" s="63"/>
      <c r="B881" s="1"/>
      <c r="C881" s="65"/>
      <c r="D881" s="65" t="s">
        <v>16</v>
      </c>
      <c r="E881" s="65"/>
      <c r="F881" s="62"/>
      <c r="G881" s="86">
        <f>SUM(G875:G879)</f>
        <v>0</v>
      </c>
      <c r="H881" s="85"/>
      <c r="I881" s="86" t="e">
        <f>SUM(I875:I879)</f>
        <v>#REF!</v>
      </c>
      <c r="J881" s="68"/>
      <c r="K881" s="68"/>
    </row>
    <row r="882" spans="1:11" x14ac:dyDescent="0.2">
      <c r="A882" s="63"/>
      <c r="B882" s="1"/>
      <c r="C882" s="65"/>
      <c r="D882" s="65"/>
      <c r="E882" s="65"/>
      <c r="F882" s="62"/>
      <c r="G882" s="73"/>
      <c r="H882" s="85"/>
      <c r="I882" s="73"/>
      <c r="J882" s="68"/>
      <c r="K882" s="68"/>
    </row>
    <row r="883" spans="1:11" x14ac:dyDescent="0.2">
      <c r="A883" s="63"/>
      <c r="B883" s="1"/>
      <c r="C883" s="65" t="s">
        <v>642</v>
      </c>
      <c r="D883" s="62"/>
      <c r="E883" s="62"/>
      <c r="F883" s="62"/>
      <c r="G883" s="85"/>
      <c r="H883" s="85"/>
      <c r="I883" s="85"/>
      <c r="J883" s="68"/>
      <c r="K883" s="68"/>
    </row>
    <row r="884" spans="1:11" x14ac:dyDescent="0.2">
      <c r="A884" s="63"/>
      <c r="B884" s="1"/>
      <c r="C884" s="62"/>
      <c r="D884" s="62">
        <v>1</v>
      </c>
      <c r="E884" s="87" t="s">
        <v>190</v>
      </c>
      <c r="F884" s="62"/>
      <c r="G884" s="85"/>
      <c r="H884" s="85"/>
      <c r="I884" s="85">
        <f>G884+I812</f>
        <v>0</v>
      </c>
      <c r="J884" s="68"/>
      <c r="K884" s="68"/>
    </row>
    <row r="885" spans="1:11" x14ac:dyDescent="0.2">
      <c r="A885" s="63"/>
      <c r="B885" s="1"/>
      <c r="C885" s="62"/>
      <c r="D885" s="62">
        <v>2</v>
      </c>
      <c r="E885" s="87" t="s">
        <v>191</v>
      </c>
      <c r="F885" s="62"/>
      <c r="G885" s="85"/>
      <c r="H885" s="85"/>
      <c r="I885" s="85">
        <f t="shared" ref="I885:I890" si="36">G885+I813</f>
        <v>0</v>
      </c>
      <c r="J885" s="68"/>
      <c r="K885" s="68"/>
    </row>
    <row r="886" spans="1:11" x14ac:dyDescent="0.2">
      <c r="A886" s="63"/>
      <c r="B886" s="1"/>
      <c r="C886" s="62"/>
      <c r="D886" s="62">
        <v>3</v>
      </c>
      <c r="E886" s="87" t="s">
        <v>643</v>
      </c>
      <c r="F886" s="67"/>
      <c r="G886" s="85"/>
      <c r="H886" s="85"/>
      <c r="I886" s="85">
        <f t="shared" si="36"/>
        <v>1200000</v>
      </c>
      <c r="J886" s="68"/>
      <c r="K886" s="68"/>
    </row>
    <row r="887" spans="1:11" x14ac:dyDescent="0.2">
      <c r="A887" s="63"/>
      <c r="B887" s="1"/>
      <c r="C887" s="62"/>
      <c r="D887" s="62">
        <v>4</v>
      </c>
      <c r="E887" s="87" t="s">
        <v>644</v>
      </c>
      <c r="F887" s="62"/>
      <c r="G887" s="85"/>
      <c r="H887" s="85"/>
      <c r="I887" s="85">
        <f t="shared" si="36"/>
        <v>0</v>
      </c>
      <c r="J887" s="68"/>
      <c r="K887" s="68"/>
    </row>
    <row r="888" spans="1:11" x14ac:dyDescent="0.2">
      <c r="A888" s="63"/>
      <c r="B888" s="1"/>
      <c r="C888" s="62"/>
      <c r="D888" s="62">
        <v>5</v>
      </c>
      <c r="E888" s="87" t="s">
        <v>632</v>
      </c>
      <c r="F888" s="67"/>
      <c r="G888" s="85"/>
      <c r="H888" s="85"/>
      <c r="I888" s="85">
        <f t="shared" si="36"/>
        <v>0</v>
      </c>
      <c r="J888" s="68"/>
      <c r="K888" s="68"/>
    </row>
    <row r="889" spans="1:11" x14ac:dyDescent="0.2">
      <c r="A889" s="63"/>
      <c r="B889" s="1"/>
      <c r="C889" s="62"/>
      <c r="D889" s="62">
        <v>6</v>
      </c>
      <c r="E889" s="87" t="s">
        <v>646</v>
      </c>
      <c r="F889" s="67"/>
      <c r="G889" s="85"/>
      <c r="H889" s="85"/>
      <c r="I889" s="85">
        <f t="shared" si="36"/>
        <v>0</v>
      </c>
      <c r="J889" s="68"/>
      <c r="K889" s="68"/>
    </row>
    <row r="890" spans="1:11" x14ac:dyDescent="0.2">
      <c r="A890" s="63"/>
      <c r="B890" s="1"/>
      <c r="C890" s="62"/>
      <c r="D890" s="62">
        <v>7</v>
      </c>
      <c r="E890" s="87" t="s">
        <v>647</v>
      </c>
      <c r="F890" s="67"/>
      <c r="G890" s="85"/>
      <c r="H890" s="85"/>
      <c r="I890" s="85">
        <f t="shared" si="36"/>
        <v>0</v>
      </c>
      <c r="J890" s="68"/>
      <c r="K890" s="68"/>
    </row>
    <row r="891" spans="1:11" x14ac:dyDescent="0.2">
      <c r="A891" s="63"/>
      <c r="B891" s="67"/>
      <c r="C891" s="65"/>
      <c r="D891" s="62"/>
      <c r="E891" s="87"/>
      <c r="F891" s="62"/>
      <c r="G891" s="85"/>
      <c r="H891" s="85"/>
      <c r="I891" s="85"/>
      <c r="J891" s="68"/>
      <c r="K891" s="68"/>
    </row>
    <row r="892" spans="1:11" x14ac:dyDescent="0.2">
      <c r="A892" s="63"/>
      <c r="B892" s="1"/>
      <c r="C892" s="62"/>
      <c r="D892" s="65" t="s">
        <v>17</v>
      </c>
      <c r="E892" s="64"/>
      <c r="F892" s="88"/>
      <c r="G892" s="86">
        <f>SUM(G884:G891)</f>
        <v>0</v>
      </c>
      <c r="H892" s="85"/>
      <c r="I892" s="86">
        <f>SUM(I884:I891)</f>
        <v>1200000</v>
      </c>
      <c r="J892" s="68"/>
      <c r="K892" s="68"/>
    </row>
    <row r="893" spans="1:11" x14ac:dyDescent="0.2">
      <c r="A893" s="63"/>
      <c r="B893" s="1"/>
      <c r="C893" s="62"/>
      <c r="D893" s="62"/>
      <c r="E893" s="62"/>
      <c r="F893" s="62"/>
      <c r="G893" s="85"/>
      <c r="H893" s="85"/>
      <c r="I893" s="85"/>
      <c r="J893" s="68"/>
      <c r="K893" s="68"/>
    </row>
    <row r="894" spans="1:11" x14ac:dyDescent="0.2">
      <c r="A894" s="63"/>
      <c r="B894" s="1"/>
      <c r="C894" s="65" t="s">
        <v>648</v>
      </c>
      <c r="D894" s="65"/>
      <c r="E894" s="65"/>
      <c r="F894" s="62"/>
      <c r="G894" s="304">
        <f>G881-G892</f>
        <v>0</v>
      </c>
      <c r="H894" s="85"/>
      <c r="I894" s="304" t="e">
        <f>I881-I892</f>
        <v>#REF!</v>
      </c>
      <c r="K894" s="68"/>
    </row>
    <row r="895" spans="1:11" x14ac:dyDescent="0.2">
      <c r="A895" s="63"/>
      <c r="B895" s="1"/>
      <c r="C895" s="62"/>
      <c r="D895" s="62"/>
      <c r="E895" s="62"/>
      <c r="F895" s="62"/>
      <c r="G895" s="85"/>
      <c r="H895" s="85"/>
      <c r="I895" s="85"/>
      <c r="J895" s="68"/>
      <c r="K895" s="68"/>
    </row>
    <row r="896" spans="1:11" x14ac:dyDescent="0.2">
      <c r="A896" s="63"/>
      <c r="B896" s="84" t="s">
        <v>650</v>
      </c>
      <c r="C896" s="84" t="s">
        <v>651</v>
      </c>
      <c r="D896" s="74"/>
      <c r="E896" s="67"/>
      <c r="F896" s="67"/>
      <c r="G896" s="85"/>
      <c r="H896" s="85"/>
      <c r="I896" s="85"/>
      <c r="J896" s="68"/>
      <c r="K896" s="68"/>
    </row>
    <row r="897" spans="1:11" x14ac:dyDescent="0.2">
      <c r="A897" s="63"/>
      <c r="B897" s="67"/>
      <c r="C897" s="65"/>
      <c r="D897" s="62" t="s">
        <v>652</v>
      </c>
      <c r="E897" s="62"/>
      <c r="F897" s="62"/>
      <c r="G897" s="85"/>
      <c r="H897" s="85"/>
      <c r="I897" s="85" t="e">
        <f>G897+I825</f>
        <v>#REF!</v>
      </c>
      <c r="J897" s="68"/>
      <c r="K897" s="68"/>
    </row>
    <row r="898" spans="1:11" x14ac:dyDescent="0.2">
      <c r="A898" s="63"/>
      <c r="B898" s="1"/>
      <c r="C898" s="65" t="s">
        <v>653</v>
      </c>
      <c r="D898" s="74"/>
      <c r="E898" s="74"/>
      <c r="F898" s="74"/>
      <c r="G898" s="86">
        <f>SUM(G897)</f>
        <v>0</v>
      </c>
      <c r="H898" s="73"/>
      <c r="I898" s="86" t="e">
        <f>SUM(I897)</f>
        <v>#REF!</v>
      </c>
      <c r="J898" s="68"/>
      <c r="K898" s="68"/>
    </row>
    <row r="899" spans="1:11" x14ac:dyDescent="0.2">
      <c r="A899" s="63"/>
      <c r="B899" s="1"/>
      <c r="C899" s="449"/>
      <c r="D899" s="449"/>
      <c r="E899" s="449"/>
      <c r="F899" s="62"/>
      <c r="G899" s="264"/>
      <c r="H899" s="89"/>
      <c r="I899" s="264"/>
      <c r="J899" s="68"/>
      <c r="K899" s="68"/>
    </row>
    <row r="900" spans="1:11" x14ac:dyDescent="0.2">
      <c r="A900" s="63"/>
      <c r="B900" s="84" t="s">
        <v>654</v>
      </c>
      <c r="C900" s="84" t="s">
        <v>655</v>
      </c>
      <c r="D900" s="62"/>
      <c r="E900" s="62"/>
      <c r="F900" s="62"/>
      <c r="G900" s="89"/>
      <c r="H900" s="89"/>
      <c r="I900" s="89"/>
      <c r="J900" s="68"/>
      <c r="K900" s="68"/>
    </row>
    <row r="901" spans="1:11" x14ac:dyDescent="0.2">
      <c r="A901" s="63"/>
      <c r="B901" s="80"/>
      <c r="C901" s="80"/>
      <c r="D901" s="62" t="s">
        <v>656</v>
      </c>
      <c r="E901" s="80"/>
      <c r="F901" s="67"/>
      <c r="G901" s="264"/>
      <c r="H901" s="89"/>
      <c r="I901" s="85">
        <f>G901+I830</f>
        <v>0</v>
      </c>
      <c r="J901" s="68"/>
      <c r="K901" s="68"/>
    </row>
    <row r="902" spans="1:11" x14ac:dyDescent="0.2">
      <c r="A902" s="63"/>
      <c r="B902" s="84"/>
      <c r="C902" s="62"/>
      <c r="D902" s="62" t="s">
        <v>657</v>
      </c>
      <c r="E902" s="62"/>
      <c r="F902" s="62"/>
      <c r="G902" s="85"/>
      <c r="H902" s="85"/>
      <c r="I902" s="85">
        <f t="shared" ref="I902:I904" si="37">G902+I831</f>
        <v>0</v>
      </c>
      <c r="J902" s="68"/>
      <c r="K902" s="68"/>
    </row>
    <row r="903" spans="1:11" x14ac:dyDescent="0.2">
      <c r="A903" s="63"/>
      <c r="B903" s="1"/>
      <c r="C903" s="62"/>
      <c r="D903" s="74" t="s">
        <v>658</v>
      </c>
      <c r="E903" s="67"/>
      <c r="F903" s="67"/>
      <c r="G903" s="85"/>
      <c r="H903" s="85"/>
      <c r="I903" s="85">
        <f t="shared" si="37"/>
        <v>0</v>
      </c>
      <c r="J903" s="68"/>
      <c r="K903" s="68"/>
    </row>
    <row r="904" spans="1:11" x14ac:dyDescent="0.2">
      <c r="A904" s="63"/>
      <c r="B904" s="67"/>
      <c r="C904" s="65"/>
      <c r="D904" s="62" t="s">
        <v>659</v>
      </c>
      <c r="E904" s="62"/>
      <c r="F904" s="62"/>
      <c r="G904" s="377"/>
      <c r="H904" s="85"/>
      <c r="I904" s="85">
        <f t="shared" si="37"/>
        <v>0</v>
      </c>
      <c r="J904" s="68"/>
      <c r="K904" s="68"/>
    </row>
    <row r="905" spans="1:11" x14ac:dyDescent="0.2">
      <c r="A905" s="63"/>
      <c r="B905" s="1"/>
      <c r="C905" s="65" t="s">
        <v>660</v>
      </c>
      <c r="D905" s="74"/>
      <c r="E905" s="74"/>
      <c r="F905" s="74"/>
      <c r="G905" s="379">
        <f>SUM(G901:G904)</f>
        <v>0</v>
      </c>
      <c r="H905" s="85"/>
      <c r="I905" s="379">
        <f>SUM(I901:I904)</f>
        <v>0</v>
      </c>
      <c r="J905" s="68"/>
      <c r="K905" s="68"/>
    </row>
    <row r="906" spans="1:11" x14ac:dyDescent="0.2">
      <c r="A906" s="63"/>
      <c r="B906" s="1"/>
      <c r="C906" s="62"/>
      <c r="D906" s="62"/>
      <c r="E906" s="62"/>
      <c r="F906" s="62"/>
      <c r="G906" s="377"/>
      <c r="H906" s="85"/>
      <c r="I906" s="85"/>
      <c r="J906" s="68"/>
      <c r="K906" s="68"/>
    </row>
    <row r="907" spans="1:11" x14ac:dyDescent="0.2">
      <c r="A907" s="63"/>
      <c r="B907" s="84" t="s">
        <v>661</v>
      </c>
      <c r="C907" s="84" t="s">
        <v>662</v>
      </c>
      <c r="D907" s="66"/>
      <c r="E907" s="66"/>
      <c r="F907" s="62"/>
      <c r="G907" s="73">
        <f>G894-G898+G905</f>
        <v>0</v>
      </c>
      <c r="H907" s="85"/>
      <c r="I907" s="73" t="e">
        <f>I894-I898+I905</f>
        <v>#REF!</v>
      </c>
      <c r="J907" s="68"/>
      <c r="K907" s="68"/>
    </row>
    <row r="908" spans="1:11" x14ac:dyDescent="0.2">
      <c r="A908" s="63"/>
      <c r="B908" s="1"/>
      <c r="C908" s="62"/>
      <c r="D908" s="62"/>
      <c r="E908" s="62"/>
      <c r="F908" s="62"/>
      <c r="G908" s="85"/>
      <c r="H908" s="85"/>
      <c r="I908" s="85"/>
      <c r="J908" s="68"/>
      <c r="K908" s="68"/>
    </row>
    <row r="909" spans="1:11" x14ac:dyDescent="0.2">
      <c r="A909" s="63"/>
      <c r="B909" s="84" t="s">
        <v>663</v>
      </c>
      <c r="C909" s="84" t="s">
        <v>664</v>
      </c>
      <c r="D909" s="66"/>
      <c r="E909" s="62"/>
      <c r="F909" s="62"/>
      <c r="G909" s="73" t="e">
        <f>G839</f>
        <v>#REF!</v>
      </c>
      <c r="H909" s="73"/>
      <c r="I909" s="73">
        <v>1312251855.8000002</v>
      </c>
      <c r="J909" s="68"/>
      <c r="K909" s="68"/>
    </row>
    <row r="910" spans="1:11" x14ac:dyDescent="0.2">
      <c r="A910" s="63"/>
      <c r="B910" s="1"/>
      <c r="C910" s="62"/>
      <c r="D910" s="62"/>
      <c r="E910" s="62"/>
      <c r="F910" s="62"/>
      <c r="G910" s="73"/>
      <c r="H910" s="73"/>
      <c r="I910" s="73"/>
      <c r="J910" s="68"/>
      <c r="K910" s="68"/>
    </row>
    <row r="911" spans="1:11" x14ac:dyDescent="0.2">
      <c r="A911" s="63"/>
      <c r="B911" s="67" t="s">
        <v>665</v>
      </c>
      <c r="C911" s="65" t="s">
        <v>664</v>
      </c>
      <c r="D911" s="62"/>
      <c r="E911" s="62"/>
      <c r="F911" s="62"/>
      <c r="G911" s="73" t="e">
        <f>G907+G909</f>
        <v>#REF!</v>
      </c>
      <c r="H911" s="73"/>
      <c r="I911" s="73" t="e">
        <f>I907+I909</f>
        <v>#REF!</v>
      </c>
      <c r="J911" s="68"/>
      <c r="K911" s="68"/>
    </row>
    <row r="912" spans="1:11" x14ac:dyDescent="0.2">
      <c r="A912" s="61"/>
      <c r="B912" s="60"/>
      <c r="C912" s="60"/>
      <c r="D912" s="60"/>
      <c r="E912" s="60"/>
      <c r="F912" s="60"/>
      <c r="G912" s="91"/>
      <c r="H912" s="91"/>
      <c r="I912" s="91"/>
      <c r="J912" s="378"/>
      <c r="K912" s="378"/>
    </row>
    <row r="913" spans="1:11" x14ac:dyDescent="0.2">
      <c r="A913" s="459"/>
      <c r="B913" s="459"/>
      <c r="C913" s="459"/>
      <c r="D913" s="459"/>
      <c r="E913" s="459"/>
      <c r="F913" s="62"/>
      <c r="G913" s="92"/>
      <c r="H913" s="92"/>
      <c r="I913" s="92"/>
    </row>
    <row r="914" spans="1:11" x14ac:dyDescent="0.2">
      <c r="A914" s="447" t="s">
        <v>413</v>
      </c>
      <c r="B914" s="447"/>
      <c r="C914" s="447"/>
      <c r="D914" s="447"/>
      <c r="E914" s="447"/>
      <c r="F914" s="447" t="s">
        <v>410</v>
      </c>
      <c r="G914" s="447"/>
      <c r="H914" s="447"/>
      <c r="I914" s="447"/>
      <c r="J914" s="447"/>
      <c r="K914" s="447"/>
    </row>
    <row r="915" spans="1:11" x14ac:dyDescent="0.2">
      <c r="A915" s="447" t="s">
        <v>480</v>
      </c>
      <c r="B915" s="447"/>
      <c r="C915" s="447"/>
      <c r="D915" s="447"/>
      <c r="E915" s="447"/>
      <c r="F915" s="447" t="s">
        <v>481</v>
      </c>
      <c r="G915" s="447"/>
      <c r="H915" s="447"/>
      <c r="I915" s="447"/>
      <c r="J915" s="447"/>
      <c r="K915" s="447"/>
    </row>
    <row r="916" spans="1:11" x14ac:dyDescent="0.2">
      <c r="A916" s="447"/>
      <c r="B916" s="447"/>
      <c r="C916" s="447"/>
      <c r="D916" s="447"/>
      <c r="E916" s="447"/>
      <c r="F916" s="447"/>
      <c r="G916" s="447"/>
      <c r="H916" s="447"/>
      <c r="I916" s="447"/>
      <c r="J916" s="447"/>
      <c r="K916" s="447"/>
    </row>
    <row r="917" spans="1:11" x14ac:dyDescent="0.2">
      <c r="A917" s="447"/>
      <c r="B917" s="447"/>
      <c r="C917" s="447"/>
      <c r="D917" s="447"/>
      <c r="E917" s="447"/>
      <c r="F917" s="447"/>
      <c r="G917" s="447"/>
      <c r="H917" s="447"/>
      <c r="I917" s="447"/>
      <c r="J917" s="447"/>
      <c r="K917" s="447"/>
    </row>
    <row r="918" spans="1:11" x14ac:dyDescent="0.2">
      <c r="A918" s="447" t="s">
        <v>463</v>
      </c>
      <c r="B918" s="447"/>
      <c r="C918" s="447"/>
      <c r="D918" s="447"/>
      <c r="E918" s="447"/>
      <c r="F918" s="447" t="s">
        <v>411</v>
      </c>
      <c r="G918" s="447"/>
      <c r="H918" s="447"/>
      <c r="I918" s="447"/>
      <c r="J918" s="447"/>
      <c r="K918" s="447"/>
    </row>
    <row r="919" spans="1:11" x14ac:dyDescent="0.2">
      <c r="A919" s="447"/>
      <c r="B919" s="447"/>
      <c r="C919" s="447"/>
      <c r="D919" s="447"/>
      <c r="E919" s="447"/>
      <c r="F919" s="447"/>
      <c r="G919" s="447"/>
      <c r="H919" s="447"/>
      <c r="I919" s="447"/>
      <c r="J919" s="447"/>
      <c r="K919" s="447"/>
    </row>
  </sheetData>
  <mergeCells count="258">
    <mergeCell ref="A918:E918"/>
    <mergeCell ref="F918:K918"/>
    <mergeCell ref="A919:K919"/>
    <mergeCell ref="A915:E915"/>
    <mergeCell ref="F915:K915"/>
    <mergeCell ref="A916:E916"/>
    <mergeCell ref="F916:K916"/>
    <mergeCell ref="A917:E917"/>
    <mergeCell ref="F917:K917"/>
    <mergeCell ref="B869:I869"/>
    <mergeCell ref="B871:E872"/>
    <mergeCell ref="C899:E899"/>
    <mergeCell ref="A913:E913"/>
    <mergeCell ref="A914:E914"/>
    <mergeCell ref="F914:K914"/>
    <mergeCell ref="A847:K847"/>
    <mergeCell ref="A864:B864"/>
    <mergeCell ref="B866:I866"/>
    <mergeCell ref="B867:I867"/>
    <mergeCell ref="B868:I868"/>
    <mergeCell ref="A844:E844"/>
    <mergeCell ref="F844:K844"/>
    <mergeCell ref="A845:E845"/>
    <mergeCell ref="F845:K845"/>
    <mergeCell ref="A846:E846"/>
    <mergeCell ref="F846:K846"/>
    <mergeCell ref="A841:E841"/>
    <mergeCell ref="A842:E842"/>
    <mergeCell ref="F842:K842"/>
    <mergeCell ref="A843:E843"/>
    <mergeCell ref="F843:K843"/>
    <mergeCell ref="B795:I795"/>
    <mergeCell ref="B796:I796"/>
    <mergeCell ref="B797:I797"/>
    <mergeCell ref="B799:E800"/>
    <mergeCell ref="C827:E827"/>
    <mergeCell ref="A774:E774"/>
    <mergeCell ref="F774:K774"/>
    <mergeCell ref="A775:K775"/>
    <mergeCell ref="A792:B792"/>
    <mergeCell ref="B794:I794"/>
    <mergeCell ref="A771:E771"/>
    <mergeCell ref="F771:K771"/>
    <mergeCell ref="A772:E772"/>
    <mergeCell ref="F772:K772"/>
    <mergeCell ref="A773:E773"/>
    <mergeCell ref="F773:K773"/>
    <mergeCell ref="B725:I725"/>
    <mergeCell ref="B727:E728"/>
    <mergeCell ref="C755:E755"/>
    <mergeCell ref="A769:E769"/>
    <mergeCell ref="A770:E770"/>
    <mergeCell ref="F770:K770"/>
    <mergeCell ref="A703:K703"/>
    <mergeCell ref="A720:B720"/>
    <mergeCell ref="B722:I722"/>
    <mergeCell ref="B723:I723"/>
    <mergeCell ref="B724:I724"/>
    <mergeCell ref="A700:E700"/>
    <mergeCell ref="F700:K700"/>
    <mergeCell ref="A701:E701"/>
    <mergeCell ref="F701:K701"/>
    <mergeCell ref="A702:E702"/>
    <mergeCell ref="F702:K702"/>
    <mergeCell ref="A697:E697"/>
    <mergeCell ref="A698:E698"/>
    <mergeCell ref="F698:K698"/>
    <mergeCell ref="A699:E699"/>
    <mergeCell ref="F699:K699"/>
    <mergeCell ref="B651:I651"/>
    <mergeCell ref="B652:I652"/>
    <mergeCell ref="B653:I653"/>
    <mergeCell ref="B655:E656"/>
    <mergeCell ref="C683:E683"/>
    <mergeCell ref="A630:E630"/>
    <mergeCell ref="F630:K630"/>
    <mergeCell ref="A631:K631"/>
    <mergeCell ref="A648:B648"/>
    <mergeCell ref="B650:I650"/>
    <mergeCell ref="A627:E627"/>
    <mergeCell ref="F627:K627"/>
    <mergeCell ref="A628:E628"/>
    <mergeCell ref="F628:K628"/>
    <mergeCell ref="A629:E629"/>
    <mergeCell ref="F629:K629"/>
    <mergeCell ref="B581:I581"/>
    <mergeCell ref="B583:E584"/>
    <mergeCell ref="C611:E611"/>
    <mergeCell ref="A625:E625"/>
    <mergeCell ref="A626:E626"/>
    <mergeCell ref="F626:K626"/>
    <mergeCell ref="A559:K559"/>
    <mergeCell ref="A576:B576"/>
    <mergeCell ref="B578:I578"/>
    <mergeCell ref="B579:I579"/>
    <mergeCell ref="B580:I580"/>
    <mergeCell ref="A556:E556"/>
    <mergeCell ref="F556:K556"/>
    <mergeCell ref="A557:E557"/>
    <mergeCell ref="F557:K557"/>
    <mergeCell ref="A558:E558"/>
    <mergeCell ref="F558:K558"/>
    <mergeCell ref="A553:E553"/>
    <mergeCell ref="A554:E554"/>
    <mergeCell ref="F554:K554"/>
    <mergeCell ref="A555:E555"/>
    <mergeCell ref="F555:K555"/>
    <mergeCell ref="B507:I507"/>
    <mergeCell ref="B508:I508"/>
    <mergeCell ref="B509:I509"/>
    <mergeCell ref="B511:E512"/>
    <mergeCell ref="C539:E539"/>
    <mergeCell ref="A486:E486"/>
    <mergeCell ref="F486:K486"/>
    <mergeCell ref="A487:K487"/>
    <mergeCell ref="A504:B504"/>
    <mergeCell ref="B506:I506"/>
    <mergeCell ref="A483:E483"/>
    <mergeCell ref="F483:K483"/>
    <mergeCell ref="A484:E484"/>
    <mergeCell ref="F484:K484"/>
    <mergeCell ref="A485:E485"/>
    <mergeCell ref="F485:K485"/>
    <mergeCell ref="B437:I437"/>
    <mergeCell ref="B439:E440"/>
    <mergeCell ref="C467:E467"/>
    <mergeCell ref="A481:E481"/>
    <mergeCell ref="A482:E482"/>
    <mergeCell ref="F482:K482"/>
    <mergeCell ref="A416:K416"/>
    <mergeCell ref="A432:B432"/>
    <mergeCell ref="B434:I434"/>
    <mergeCell ref="B435:I435"/>
    <mergeCell ref="B436:I436"/>
    <mergeCell ref="A413:E413"/>
    <mergeCell ref="F413:K413"/>
    <mergeCell ref="A414:E414"/>
    <mergeCell ref="F414:K414"/>
    <mergeCell ref="A415:K415"/>
    <mergeCell ref="A410:E410"/>
    <mergeCell ref="F410:K410"/>
    <mergeCell ref="A411:E411"/>
    <mergeCell ref="F411:K411"/>
    <mergeCell ref="A412:E412"/>
    <mergeCell ref="F412:K412"/>
    <mergeCell ref="B364:I364"/>
    <mergeCell ref="B365:I365"/>
    <mergeCell ref="B367:E368"/>
    <mergeCell ref="C395:E395"/>
    <mergeCell ref="A409:E409"/>
    <mergeCell ref="A343:K343"/>
    <mergeCell ref="A344:K344"/>
    <mergeCell ref="A360:B360"/>
    <mergeCell ref="B362:I362"/>
    <mergeCell ref="B363:I363"/>
    <mergeCell ref="A340:E340"/>
    <mergeCell ref="F340:K340"/>
    <mergeCell ref="A341:E341"/>
    <mergeCell ref="F341:K341"/>
    <mergeCell ref="A342:E342"/>
    <mergeCell ref="F342:K342"/>
    <mergeCell ref="C323:E323"/>
    <mergeCell ref="A337:E337"/>
    <mergeCell ref="A338:E338"/>
    <mergeCell ref="F338:K338"/>
    <mergeCell ref="A339:E339"/>
    <mergeCell ref="F339:K339"/>
    <mergeCell ref="B290:I290"/>
    <mergeCell ref="B291:I291"/>
    <mergeCell ref="B292:I292"/>
    <mergeCell ref="B293:I293"/>
    <mergeCell ref="B295:E296"/>
    <mergeCell ref="A270:E270"/>
    <mergeCell ref="F270:K270"/>
    <mergeCell ref="A271:K271"/>
    <mergeCell ref="A272:K272"/>
    <mergeCell ref="A288:B288"/>
    <mergeCell ref="A267:E267"/>
    <mergeCell ref="F267:K267"/>
    <mergeCell ref="A268:E268"/>
    <mergeCell ref="F268:K268"/>
    <mergeCell ref="A269:E269"/>
    <mergeCell ref="F269:K269"/>
    <mergeCell ref="B223:E224"/>
    <mergeCell ref="C251:E251"/>
    <mergeCell ref="A265:E265"/>
    <mergeCell ref="A266:E266"/>
    <mergeCell ref="F266:K266"/>
    <mergeCell ref="A216:B216"/>
    <mergeCell ref="B218:I218"/>
    <mergeCell ref="B219:I219"/>
    <mergeCell ref="B220:I220"/>
    <mergeCell ref="B221:I221"/>
    <mergeCell ref="C108:E108"/>
    <mergeCell ref="C36:E36"/>
    <mergeCell ref="A56:K56"/>
    <mergeCell ref="A73:B73"/>
    <mergeCell ref="B75:I75"/>
    <mergeCell ref="B76:I76"/>
    <mergeCell ref="B77:I77"/>
    <mergeCell ref="B78:I78"/>
    <mergeCell ref="B80:E81"/>
    <mergeCell ref="A55:E55"/>
    <mergeCell ref="F55:K55"/>
    <mergeCell ref="A52:E52"/>
    <mergeCell ref="F52:K52"/>
    <mergeCell ref="A53:E53"/>
    <mergeCell ref="F53:K53"/>
    <mergeCell ref="A54:E54"/>
    <mergeCell ref="F54:K54"/>
    <mergeCell ref="A122:E122"/>
    <mergeCell ref="A123:E123"/>
    <mergeCell ref="F123:K123"/>
    <mergeCell ref="A124:E124"/>
    <mergeCell ref="F124:K124"/>
    <mergeCell ref="A132:K132"/>
    <mergeCell ref="A125:E125"/>
    <mergeCell ref="F125:K125"/>
    <mergeCell ref="A126:E126"/>
    <mergeCell ref="F126:K126"/>
    <mergeCell ref="A127:E127"/>
    <mergeCell ref="F127:K127"/>
    <mergeCell ref="A128:K128"/>
    <mergeCell ref="A129:K129"/>
    <mergeCell ref="A130:K130"/>
    <mergeCell ref="M130:N130"/>
    <mergeCell ref="A131:K131"/>
    <mergeCell ref="A193:E193"/>
    <mergeCell ref="A194:E194"/>
    <mergeCell ref="F194:K194"/>
    <mergeCell ref="A195:E195"/>
    <mergeCell ref="F195:K195"/>
    <mergeCell ref="A196:E196"/>
    <mergeCell ref="F196:K196"/>
    <mergeCell ref="A197:E197"/>
    <mergeCell ref="F197:K197"/>
    <mergeCell ref="A199:K199"/>
    <mergeCell ref="A198:E198"/>
    <mergeCell ref="F198:K198"/>
    <mergeCell ref="A200:K200"/>
    <mergeCell ref="A201:K201"/>
    <mergeCell ref="A202:K202"/>
    <mergeCell ref="A144:B144"/>
    <mergeCell ref="B148:I148"/>
    <mergeCell ref="B149:I149"/>
    <mergeCell ref="B151:E152"/>
    <mergeCell ref="C179:E179"/>
    <mergeCell ref="B146:I146"/>
    <mergeCell ref="B147:I147"/>
    <mergeCell ref="A1:B1"/>
    <mergeCell ref="B3:I3"/>
    <mergeCell ref="B4:I4"/>
    <mergeCell ref="B5:I5"/>
    <mergeCell ref="B6:I6"/>
    <mergeCell ref="B8:E9"/>
    <mergeCell ref="A50:E50"/>
    <mergeCell ref="A51:E51"/>
    <mergeCell ref="F51:K51"/>
  </mergeCells>
  <pageMargins left="1.1811023622047245" right="0.43307086614173229" top="0.43307086614173229" bottom="0.51181102362204722" header="0.31496062992125984" footer="0.31496062992125984"/>
  <pageSetup paperSize="5" scale="95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C4FE-9613-4089-AC42-3380E02942F4}">
  <sheetPr>
    <tabColor rgb="FF00B050"/>
  </sheetPr>
  <dimension ref="A1:N919"/>
  <sheetViews>
    <sheetView showWhiteSpace="0" view="pageLayout" zoomScaleNormal="100" workbookViewId="0">
      <selection activeCell="M19" sqref="M19"/>
    </sheetView>
  </sheetViews>
  <sheetFormatPr defaultColWidth="9.140625" defaultRowHeight="14.25" x14ac:dyDescent="0.2"/>
  <cols>
    <col min="1" max="1" width="1" style="59" customWidth="1"/>
    <col min="2" max="2" width="2.28515625" style="59" customWidth="1"/>
    <col min="3" max="3" width="2.7109375" style="59" customWidth="1"/>
    <col min="4" max="4" width="1.85546875" style="59" customWidth="1"/>
    <col min="5" max="5" width="40.42578125" style="59" customWidth="1"/>
    <col min="6" max="6" width="1" style="59" customWidth="1"/>
    <col min="7" max="7" width="17.5703125" style="62" customWidth="1"/>
    <col min="8" max="8" width="1" style="62" customWidth="1"/>
    <col min="9" max="9" width="17.5703125" style="62" customWidth="1"/>
    <col min="10" max="10" width="9.140625" style="59" hidden="1" customWidth="1"/>
    <col min="11" max="11" width="1" style="59" customWidth="1"/>
    <col min="12" max="12" width="21.28515625" style="376" customWidth="1"/>
    <col min="13" max="13" width="18.42578125" style="59" customWidth="1"/>
    <col min="14" max="14" width="9.140625" style="59" customWidth="1"/>
    <col min="15" max="16384" width="9.140625" style="59"/>
  </cols>
  <sheetData>
    <row r="1" spans="1:12" x14ac:dyDescent="0.2">
      <c r="A1" s="450" t="s">
        <v>633</v>
      </c>
      <c r="B1" s="450"/>
      <c r="C1" s="374" t="s">
        <v>634</v>
      </c>
      <c r="D1" s="62"/>
      <c r="E1" s="62"/>
      <c r="F1" s="62"/>
    </row>
    <row r="2" spans="1:12" x14ac:dyDescent="0.2">
      <c r="B2" s="62"/>
      <c r="C2" s="62"/>
      <c r="D2" s="62"/>
      <c r="E2" s="62"/>
      <c r="F2" s="62"/>
    </row>
    <row r="3" spans="1:12" ht="15" x14ac:dyDescent="0.25">
      <c r="A3" s="69"/>
      <c r="B3" s="452"/>
      <c r="C3" s="452"/>
      <c r="D3" s="452"/>
      <c r="E3" s="452"/>
      <c r="F3" s="452"/>
      <c r="G3" s="452"/>
      <c r="H3" s="452"/>
      <c r="I3" s="452"/>
      <c r="J3" s="375"/>
      <c r="K3" s="375"/>
    </row>
    <row r="4" spans="1:12" ht="15" x14ac:dyDescent="0.25">
      <c r="A4" s="63"/>
      <c r="B4" s="448" t="s">
        <v>462</v>
      </c>
      <c r="C4" s="448"/>
      <c r="D4" s="448"/>
      <c r="E4" s="448"/>
      <c r="F4" s="448"/>
      <c r="G4" s="448"/>
      <c r="H4" s="448"/>
      <c r="I4" s="448"/>
      <c r="J4" s="68"/>
      <c r="K4" s="68"/>
    </row>
    <row r="5" spans="1:12" ht="15" x14ac:dyDescent="0.25">
      <c r="A5" s="63"/>
      <c r="B5" s="448" t="s">
        <v>634</v>
      </c>
      <c r="C5" s="448"/>
      <c r="D5" s="448"/>
      <c r="E5" s="448"/>
      <c r="F5" s="448"/>
      <c r="G5" s="448"/>
      <c r="H5" s="448"/>
      <c r="I5" s="448"/>
      <c r="J5" s="68"/>
      <c r="K5" s="68"/>
    </row>
    <row r="6" spans="1:12" ht="15" x14ac:dyDescent="0.25">
      <c r="A6" s="63"/>
      <c r="B6" s="451" t="s">
        <v>635</v>
      </c>
      <c r="C6" s="451"/>
      <c r="D6" s="451"/>
      <c r="E6" s="451"/>
      <c r="F6" s="451"/>
      <c r="G6" s="451"/>
      <c r="H6" s="451"/>
      <c r="I6" s="451"/>
      <c r="J6" s="68"/>
      <c r="K6" s="68"/>
    </row>
    <row r="7" spans="1:12" x14ac:dyDescent="0.2">
      <c r="A7" s="63"/>
      <c r="B7" s="62"/>
      <c r="C7" s="62"/>
      <c r="D7" s="62"/>
      <c r="E7" s="62"/>
      <c r="F7" s="62"/>
      <c r="J7" s="68"/>
      <c r="K7" s="68"/>
    </row>
    <row r="8" spans="1:12" x14ac:dyDescent="0.2">
      <c r="A8" s="63"/>
      <c r="B8" s="453" t="s">
        <v>10</v>
      </c>
      <c r="C8" s="454"/>
      <c r="D8" s="454"/>
      <c r="E8" s="455"/>
      <c r="F8" s="64"/>
      <c r="G8" s="82" t="s">
        <v>677</v>
      </c>
      <c r="H8" s="64"/>
      <c r="I8" s="82" t="s">
        <v>677</v>
      </c>
      <c r="J8" s="68"/>
      <c r="K8" s="68"/>
    </row>
    <row r="9" spans="1:12" x14ac:dyDescent="0.2">
      <c r="A9" s="63"/>
      <c r="B9" s="456"/>
      <c r="C9" s="457"/>
      <c r="D9" s="457"/>
      <c r="E9" s="458"/>
      <c r="F9" s="64"/>
      <c r="G9" s="83">
        <v>2025</v>
      </c>
      <c r="H9" s="64"/>
      <c r="I9" s="83">
        <v>2024</v>
      </c>
      <c r="J9" s="68"/>
      <c r="K9" s="68"/>
    </row>
    <row r="10" spans="1:12" x14ac:dyDescent="0.2">
      <c r="A10" s="63"/>
      <c r="B10" s="84" t="s">
        <v>636</v>
      </c>
      <c r="C10" s="84" t="s">
        <v>649</v>
      </c>
      <c r="D10" s="84"/>
      <c r="E10" s="62"/>
      <c r="F10" s="62"/>
      <c r="G10" s="85"/>
      <c r="H10" s="85"/>
      <c r="I10" s="85"/>
      <c r="J10" s="68"/>
      <c r="K10" s="68"/>
    </row>
    <row r="11" spans="1:12" x14ac:dyDescent="0.2">
      <c r="A11" s="63"/>
      <c r="B11" s="1"/>
      <c r="C11" s="65" t="s">
        <v>637</v>
      </c>
      <c r="D11" s="62"/>
      <c r="E11" s="62"/>
      <c r="F11" s="62"/>
      <c r="G11" s="85"/>
      <c r="H11" s="85"/>
      <c r="I11" s="89"/>
      <c r="J11" s="68"/>
      <c r="K11" s="68"/>
    </row>
    <row r="12" spans="1:12" x14ac:dyDescent="0.2">
      <c r="A12" s="63"/>
      <c r="B12" s="1"/>
      <c r="C12" s="62"/>
      <c r="D12" s="62">
        <v>1</v>
      </c>
      <c r="E12" s="62" t="s">
        <v>638</v>
      </c>
      <c r="F12" s="62"/>
      <c r="G12" s="85" t="e">
        <f>I875</f>
        <v>#REF!</v>
      </c>
      <c r="H12" s="85"/>
      <c r="I12" s="89">
        <v>6000650100</v>
      </c>
      <c r="J12" s="68"/>
      <c r="K12" s="68"/>
      <c r="L12" s="376">
        <f>I12-6000670100</f>
        <v>-20000</v>
      </c>
    </row>
    <row r="13" spans="1:12" x14ac:dyDescent="0.2">
      <c r="A13" s="63"/>
      <c r="B13" s="1"/>
      <c r="C13" s="62"/>
      <c r="D13" s="62">
        <v>2</v>
      </c>
      <c r="E13" s="62" t="s">
        <v>639</v>
      </c>
      <c r="F13" s="62"/>
      <c r="G13" s="85" t="e">
        <f t="shared" ref="G13:G16" si="0">I876</f>
        <v>#REF!</v>
      </c>
      <c r="H13" s="85"/>
      <c r="I13" s="89">
        <v>386252632</v>
      </c>
      <c r="J13" s="68"/>
      <c r="K13" s="68"/>
      <c r="L13" s="376">
        <f>I13-386232632</f>
        <v>20000</v>
      </c>
    </row>
    <row r="14" spans="1:12" x14ac:dyDescent="0.2">
      <c r="A14" s="63"/>
      <c r="B14" s="1"/>
      <c r="C14" s="62"/>
      <c r="D14" s="62">
        <v>3</v>
      </c>
      <c r="E14" s="62" t="s">
        <v>640</v>
      </c>
      <c r="F14" s="62"/>
      <c r="G14" s="85" t="e">
        <f t="shared" si="0"/>
        <v>#REF!</v>
      </c>
      <c r="H14" s="85"/>
      <c r="I14" s="89">
        <v>2041490791</v>
      </c>
      <c r="J14" s="68"/>
      <c r="K14" s="68"/>
    </row>
    <row r="15" spans="1:12" x14ac:dyDescent="0.2">
      <c r="A15" s="63"/>
      <c r="B15" s="1"/>
      <c r="C15" s="62"/>
      <c r="D15" s="62">
        <v>4</v>
      </c>
      <c r="E15" s="62" t="s">
        <v>645</v>
      </c>
      <c r="F15" s="62"/>
      <c r="G15" s="85">
        <f t="shared" si="0"/>
        <v>0</v>
      </c>
      <c r="H15" s="85"/>
      <c r="I15" s="89"/>
      <c r="J15" s="68"/>
      <c r="K15" s="68"/>
    </row>
    <row r="16" spans="1:12" x14ac:dyDescent="0.2">
      <c r="A16" s="63"/>
      <c r="B16" s="1"/>
      <c r="C16" s="62"/>
      <c r="D16" s="62">
        <v>5</v>
      </c>
      <c r="E16" s="62" t="s">
        <v>641</v>
      </c>
      <c r="F16" s="62"/>
      <c r="G16" s="85">
        <f t="shared" si="0"/>
        <v>0</v>
      </c>
      <c r="H16" s="85"/>
      <c r="I16" s="89"/>
      <c r="J16" s="68"/>
      <c r="K16" s="68"/>
    </row>
    <row r="17" spans="1:13" x14ac:dyDescent="0.2">
      <c r="A17" s="63"/>
      <c r="B17" s="1"/>
      <c r="C17" s="62"/>
      <c r="D17" s="62"/>
      <c r="E17" s="62"/>
      <c r="F17" s="62"/>
      <c r="G17" s="85"/>
      <c r="H17" s="85"/>
      <c r="I17" s="89"/>
      <c r="J17" s="68"/>
      <c r="K17" s="68"/>
    </row>
    <row r="18" spans="1:13" x14ac:dyDescent="0.2">
      <c r="A18" s="63"/>
      <c r="B18" s="1"/>
      <c r="C18" s="65"/>
      <c r="D18" s="65" t="s">
        <v>16</v>
      </c>
      <c r="E18" s="65"/>
      <c r="F18" s="62"/>
      <c r="G18" s="86" t="e">
        <f>SUM(G12:G16)</f>
        <v>#REF!</v>
      </c>
      <c r="H18" s="85"/>
      <c r="I18" s="304">
        <f>SUM(I12:I16)</f>
        <v>8428393523</v>
      </c>
      <c r="J18" s="68"/>
      <c r="K18" s="68"/>
    </row>
    <row r="19" spans="1:13" x14ac:dyDescent="0.2">
      <c r="A19" s="63"/>
      <c r="B19" s="1"/>
      <c r="C19" s="65"/>
      <c r="D19" s="65"/>
      <c r="E19" s="65"/>
      <c r="F19" s="62"/>
      <c r="G19" s="73"/>
      <c r="H19" s="85"/>
      <c r="I19" s="264"/>
      <c r="J19" s="68"/>
      <c r="K19" s="68"/>
    </row>
    <row r="20" spans="1:13" x14ac:dyDescent="0.2">
      <c r="A20" s="63"/>
      <c r="B20" s="1"/>
      <c r="C20" s="65" t="s">
        <v>642</v>
      </c>
      <c r="D20" s="62"/>
      <c r="E20" s="62"/>
      <c r="F20" s="62"/>
      <c r="G20" s="85"/>
      <c r="H20" s="85"/>
      <c r="I20" s="89"/>
      <c r="J20" s="68"/>
      <c r="K20" s="68"/>
      <c r="L20" s="386">
        <f>[1]JU!$E$1021</f>
        <v>1204164</v>
      </c>
    </row>
    <row r="21" spans="1:13" x14ac:dyDescent="0.2">
      <c r="A21" s="63"/>
      <c r="B21" s="1"/>
      <c r="C21" s="62"/>
      <c r="D21" s="62">
        <v>1</v>
      </c>
      <c r="E21" s="87" t="s">
        <v>190</v>
      </c>
      <c r="F21" s="62"/>
      <c r="G21" s="85">
        <f>I884</f>
        <v>0</v>
      </c>
      <c r="H21" s="85"/>
      <c r="I21" s="380">
        <f>1111320581-1204164</f>
        <v>1110116417</v>
      </c>
      <c r="J21" s="68"/>
      <c r="K21" s="68"/>
      <c r="L21" s="376" t="s">
        <v>687</v>
      </c>
    </row>
    <row r="22" spans="1:13" x14ac:dyDescent="0.2">
      <c r="A22" s="63"/>
      <c r="B22" s="1"/>
      <c r="C22" s="62"/>
      <c r="D22" s="62">
        <v>2</v>
      </c>
      <c r="E22" s="87" t="s">
        <v>191</v>
      </c>
      <c r="F22" s="62"/>
      <c r="G22" s="85">
        <f t="shared" ref="G22:G27" si="1">I885</f>
        <v>0</v>
      </c>
      <c r="H22" s="85"/>
      <c r="I22" s="380">
        <f>1595983560-M36</f>
        <v>790379760</v>
      </c>
      <c r="J22" s="68"/>
      <c r="K22" s="68"/>
    </row>
    <row r="23" spans="1:13" x14ac:dyDescent="0.2">
      <c r="A23" s="63"/>
      <c r="B23" s="1"/>
      <c r="C23" s="62"/>
      <c r="D23" s="62">
        <v>3</v>
      </c>
      <c r="E23" s="87" t="s">
        <v>643</v>
      </c>
      <c r="F23" s="67"/>
      <c r="G23" s="85">
        <f t="shared" si="1"/>
        <v>1200000</v>
      </c>
      <c r="H23" s="85"/>
      <c r="I23" s="380">
        <f>791611737-M34+M35+M37</f>
        <v>812620263</v>
      </c>
      <c r="J23" s="68"/>
      <c r="K23" s="68"/>
    </row>
    <row r="24" spans="1:13" x14ac:dyDescent="0.2">
      <c r="A24" s="63"/>
      <c r="B24" s="1"/>
      <c r="C24" s="62"/>
      <c r="D24" s="62">
        <v>4</v>
      </c>
      <c r="E24" s="87" t="s">
        <v>644</v>
      </c>
      <c r="F24" s="62"/>
      <c r="G24" s="85">
        <f t="shared" si="1"/>
        <v>0</v>
      </c>
      <c r="H24" s="85"/>
      <c r="I24" s="380">
        <f>4152198749-26434435-26503037</f>
        <v>4099261277</v>
      </c>
      <c r="J24" s="68"/>
      <c r="K24" s="68"/>
      <c r="L24" s="376" t="s">
        <v>688</v>
      </c>
    </row>
    <row r="25" spans="1:13" x14ac:dyDescent="0.2">
      <c r="A25" s="63"/>
      <c r="B25" s="1"/>
      <c r="C25" s="62"/>
      <c r="D25" s="62">
        <v>5</v>
      </c>
      <c r="E25" s="87" t="s">
        <v>632</v>
      </c>
      <c r="F25" s="67"/>
      <c r="G25" s="85">
        <f t="shared" si="1"/>
        <v>0</v>
      </c>
      <c r="H25" s="85"/>
      <c r="I25" s="89">
        <v>110400</v>
      </c>
      <c r="J25" s="68"/>
      <c r="K25" s="68"/>
      <c r="L25" s="384">
        <v>8414279225</v>
      </c>
      <c r="M25" s="385" t="s">
        <v>685</v>
      </c>
    </row>
    <row r="26" spans="1:13" x14ac:dyDescent="0.2">
      <c r="A26" s="63"/>
      <c r="B26" s="1"/>
      <c r="C26" s="62"/>
      <c r="D26" s="62">
        <v>6</v>
      </c>
      <c r="E26" s="87" t="s">
        <v>646</v>
      </c>
      <c r="F26" s="67"/>
      <c r="G26" s="85">
        <f t="shared" si="1"/>
        <v>0</v>
      </c>
      <c r="H26" s="85"/>
      <c r="I26" s="89">
        <f>8414279225-(I21+I22+I23+I24+I25+I34+I27)</f>
        <v>772062860</v>
      </c>
      <c r="J26" s="68"/>
      <c r="K26" s="68"/>
      <c r="L26" s="376" t="s">
        <v>679</v>
      </c>
    </row>
    <row r="27" spans="1:13" x14ac:dyDescent="0.2">
      <c r="A27" s="63"/>
      <c r="B27" s="1"/>
      <c r="C27" s="62"/>
      <c r="D27" s="62">
        <v>7</v>
      </c>
      <c r="E27" s="87" t="s">
        <v>647</v>
      </c>
      <c r="F27" s="67"/>
      <c r="G27" s="85">
        <f t="shared" si="1"/>
        <v>0</v>
      </c>
      <c r="H27" s="85"/>
      <c r="I27" s="89">
        <v>13680368</v>
      </c>
      <c r="J27" s="68"/>
      <c r="K27" s="68"/>
      <c r="L27" s="376" t="s">
        <v>686</v>
      </c>
    </row>
    <row r="28" spans="1:13" x14ac:dyDescent="0.2">
      <c r="A28" s="63"/>
      <c r="B28" s="67"/>
      <c r="C28" s="65"/>
      <c r="D28" s="62"/>
      <c r="E28" s="87"/>
      <c r="F28" s="62"/>
      <c r="G28" s="85"/>
      <c r="H28" s="85"/>
      <c r="I28" s="89"/>
      <c r="J28" s="68"/>
      <c r="K28" s="68"/>
    </row>
    <row r="29" spans="1:13" x14ac:dyDescent="0.2">
      <c r="A29" s="63"/>
      <c r="B29" s="1"/>
      <c r="C29" s="62"/>
      <c r="D29" s="65" t="s">
        <v>17</v>
      </c>
      <c r="E29" s="64"/>
      <c r="F29" s="88"/>
      <c r="G29" s="86">
        <f>SUM(G21:G28)</f>
        <v>1200000</v>
      </c>
      <c r="H29" s="85"/>
      <c r="I29" s="304">
        <f>SUM(I21:I28)</f>
        <v>7598231345</v>
      </c>
      <c r="J29" s="68"/>
      <c r="K29" s="68"/>
    </row>
    <row r="30" spans="1:13" x14ac:dyDescent="0.2">
      <c r="A30" s="63"/>
      <c r="B30" s="1"/>
      <c r="C30" s="62"/>
      <c r="D30" s="62"/>
      <c r="E30" s="62"/>
      <c r="F30" s="62"/>
      <c r="G30" s="85"/>
      <c r="H30" s="85"/>
      <c r="I30" s="89"/>
      <c r="J30" s="68"/>
    </row>
    <row r="31" spans="1:13" x14ac:dyDescent="0.2">
      <c r="A31" s="63"/>
      <c r="B31" s="1"/>
      <c r="C31" s="65" t="s">
        <v>648</v>
      </c>
      <c r="D31" s="65"/>
      <c r="E31" s="65"/>
      <c r="F31" s="62"/>
      <c r="G31" s="304" t="e">
        <f>G18-G29</f>
        <v>#REF!</v>
      </c>
      <c r="H31" s="85"/>
      <c r="I31" s="304">
        <f>I18-I29</f>
        <v>830162178</v>
      </c>
    </row>
    <row r="32" spans="1:13" x14ac:dyDescent="0.2">
      <c r="A32" s="63"/>
      <c r="B32" s="1"/>
      <c r="C32" s="62"/>
      <c r="D32" s="62"/>
      <c r="E32" s="62"/>
      <c r="F32" s="62"/>
      <c r="G32" s="85"/>
      <c r="H32" s="85"/>
      <c r="I32" s="89"/>
      <c r="J32" s="68"/>
    </row>
    <row r="33" spans="1:13" x14ac:dyDescent="0.2">
      <c r="A33" s="63"/>
      <c r="B33" s="84" t="s">
        <v>650</v>
      </c>
      <c r="C33" s="84" t="s">
        <v>651</v>
      </c>
      <c r="D33" s="74"/>
      <c r="E33" s="67"/>
      <c r="F33" s="67"/>
      <c r="G33" s="85"/>
      <c r="H33" s="85"/>
      <c r="I33" s="89"/>
      <c r="J33" s="68"/>
      <c r="L33" s="376" t="s">
        <v>680</v>
      </c>
    </row>
    <row r="34" spans="1:13" x14ac:dyDescent="0.2">
      <c r="A34" s="63"/>
      <c r="B34" s="67"/>
      <c r="C34" s="65"/>
      <c r="D34" s="62" t="s">
        <v>652</v>
      </c>
      <c r="E34" s="62"/>
      <c r="F34" s="62"/>
      <c r="G34" s="85" t="e">
        <f>I897</f>
        <v>#REF!</v>
      </c>
      <c r="H34" s="85"/>
      <c r="I34" s="89">
        <f>782747880+33300000</f>
        <v>816047880</v>
      </c>
      <c r="J34" s="68"/>
      <c r="L34" s="376" t="s">
        <v>681</v>
      </c>
      <c r="M34" s="376">
        <v>203476069</v>
      </c>
    </row>
    <row r="35" spans="1:13" x14ac:dyDescent="0.2">
      <c r="A35" s="63"/>
      <c r="B35" s="1"/>
      <c r="C35" s="65" t="s">
        <v>653</v>
      </c>
      <c r="D35" s="74"/>
      <c r="E35" s="74"/>
      <c r="F35" s="74"/>
      <c r="G35" s="86" t="e">
        <f>SUM(G34)</f>
        <v>#REF!</v>
      </c>
      <c r="H35" s="73"/>
      <c r="I35" s="304">
        <f>SUM(I34)</f>
        <v>816047880</v>
      </c>
      <c r="J35" s="68"/>
      <c r="L35" s="376" t="s">
        <v>682</v>
      </c>
      <c r="M35" s="376">
        <v>111540600</v>
      </c>
    </row>
    <row r="36" spans="1:13" x14ac:dyDescent="0.2">
      <c r="A36" s="63"/>
      <c r="B36" s="1"/>
      <c r="C36" s="449"/>
      <c r="D36" s="449"/>
      <c r="E36" s="449"/>
      <c r="F36" s="62"/>
      <c r="G36" s="264"/>
      <c r="H36" s="89"/>
      <c r="I36" s="264"/>
      <c r="J36" s="68"/>
      <c r="L36" s="376" t="s">
        <v>683</v>
      </c>
      <c r="M36" s="376">
        <v>805603800</v>
      </c>
    </row>
    <row r="37" spans="1:13" x14ac:dyDescent="0.2">
      <c r="A37" s="63"/>
      <c r="B37" s="84" t="s">
        <v>654</v>
      </c>
      <c r="C37" s="84" t="s">
        <v>655</v>
      </c>
      <c r="D37" s="62"/>
      <c r="E37" s="62"/>
      <c r="F37" s="62"/>
      <c r="G37" s="89"/>
      <c r="H37" s="89"/>
      <c r="I37" s="89"/>
      <c r="J37" s="68"/>
      <c r="L37" s="382" t="s">
        <v>684</v>
      </c>
      <c r="M37" s="376">
        <v>112943995</v>
      </c>
    </row>
    <row r="38" spans="1:13" x14ac:dyDescent="0.2">
      <c r="A38" s="63"/>
      <c r="B38" s="80"/>
      <c r="C38" s="80"/>
      <c r="D38" s="62" t="s">
        <v>656</v>
      </c>
      <c r="E38" s="80"/>
      <c r="F38" s="67"/>
      <c r="G38" s="264">
        <f>I901</f>
        <v>0</v>
      </c>
      <c r="H38" s="89"/>
      <c r="I38" s="264"/>
      <c r="J38" s="68"/>
      <c r="K38" s="68"/>
      <c r="L38" s="382"/>
      <c r="M38" s="376"/>
    </row>
    <row r="39" spans="1:13" x14ac:dyDescent="0.2">
      <c r="A39" s="63"/>
      <c r="B39" s="84"/>
      <c r="C39" s="62"/>
      <c r="D39" s="62" t="s">
        <v>657</v>
      </c>
      <c r="E39" s="62"/>
      <c r="F39" s="62"/>
      <c r="G39" s="264">
        <f t="shared" ref="G39:G41" si="2">I902</f>
        <v>0</v>
      </c>
      <c r="H39" s="85"/>
      <c r="I39" s="89"/>
      <c r="J39" s="68"/>
      <c r="K39" s="68"/>
      <c r="L39" s="382"/>
      <c r="M39" s="383">
        <f>SUM(M34:M38)</f>
        <v>1233564464</v>
      </c>
    </row>
    <row r="40" spans="1:13" x14ac:dyDescent="0.2">
      <c r="A40" s="63"/>
      <c r="B40" s="1"/>
      <c r="C40" s="62"/>
      <c r="D40" s="74" t="s">
        <v>658</v>
      </c>
      <c r="E40" s="67"/>
      <c r="F40" s="67"/>
      <c r="G40" s="264">
        <f t="shared" si="2"/>
        <v>0</v>
      </c>
      <c r="H40" s="85"/>
      <c r="I40" s="89"/>
      <c r="J40" s="68"/>
      <c r="K40" s="68"/>
    </row>
    <row r="41" spans="1:13" x14ac:dyDescent="0.2">
      <c r="A41" s="63"/>
      <c r="B41" s="67"/>
      <c r="C41" s="65"/>
      <c r="D41" s="62" t="s">
        <v>659</v>
      </c>
      <c r="E41" s="62"/>
      <c r="F41" s="62"/>
      <c r="G41" s="264">
        <f t="shared" si="2"/>
        <v>0</v>
      </c>
      <c r="H41" s="85"/>
      <c r="I41" s="89"/>
      <c r="J41" s="68"/>
      <c r="K41" s="68"/>
    </row>
    <row r="42" spans="1:13" x14ac:dyDescent="0.2">
      <c r="A42" s="63"/>
      <c r="B42" s="1"/>
      <c r="C42" s="65" t="s">
        <v>660</v>
      </c>
      <c r="D42" s="74"/>
      <c r="E42" s="74"/>
      <c r="F42" s="74"/>
      <c r="G42" s="379">
        <f>SUM(G38:G41)</f>
        <v>0</v>
      </c>
      <c r="H42" s="85"/>
      <c r="I42" s="381">
        <f>SUM(I38:I41)</f>
        <v>0</v>
      </c>
      <c r="J42" s="68"/>
      <c r="K42" s="68"/>
    </row>
    <row r="43" spans="1:13" x14ac:dyDescent="0.2">
      <c r="A43" s="63"/>
      <c r="B43" s="1"/>
      <c r="C43" s="62"/>
      <c r="D43" s="62"/>
      <c r="E43" s="62"/>
      <c r="F43" s="62"/>
      <c r="G43" s="377"/>
      <c r="H43" s="85"/>
      <c r="I43" s="89"/>
      <c r="J43" s="68"/>
      <c r="K43" s="68"/>
    </row>
    <row r="44" spans="1:13" x14ac:dyDescent="0.2">
      <c r="A44" s="63"/>
      <c r="B44" s="84" t="s">
        <v>661</v>
      </c>
      <c r="C44" s="84" t="s">
        <v>662</v>
      </c>
      <c r="D44" s="66"/>
      <c r="E44" s="66"/>
      <c r="F44" s="62"/>
      <c r="G44" s="73" t="e">
        <f>G31-G35+G42</f>
        <v>#REF!</v>
      </c>
      <c r="H44" s="85"/>
      <c r="I44" s="264">
        <f>I31-I35+I42</f>
        <v>14114298</v>
      </c>
      <c r="J44" s="68"/>
      <c r="K44" s="68"/>
    </row>
    <row r="45" spans="1:13" x14ac:dyDescent="0.2">
      <c r="A45" s="63"/>
      <c r="B45" s="1"/>
      <c r="C45" s="62"/>
      <c r="D45" s="62"/>
      <c r="E45" s="62"/>
      <c r="F45" s="62"/>
      <c r="G45" s="85"/>
      <c r="H45" s="85"/>
      <c r="I45" s="89"/>
      <c r="J45" s="68"/>
      <c r="K45" s="68"/>
    </row>
    <row r="46" spans="1:13" x14ac:dyDescent="0.2">
      <c r="A46" s="63"/>
      <c r="B46" s="84" t="s">
        <v>663</v>
      </c>
      <c r="C46" s="84" t="s">
        <v>664</v>
      </c>
      <c r="D46" s="66"/>
      <c r="E46" s="62"/>
      <c r="F46" s="62"/>
      <c r="G46" s="73">
        <v>1312251855.8000002</v>
      </c>
      <c r="H46" s="73"/>
      <c r="I46" s="264">
        <v>1298137557.8</v>
      </c>
      <c r="J46" s="68"/>
      <c r="K46" s="68"/>
    </row>
    <row r="47" spans="1:13" x14ac:dyDescent="0.2">
      <c r="A47" s="63"/>
      <c r="B47" s="1"/>
      <c r="C47" s="62"/>
      <c r="D47" s="62"/>
      <c r="E47" s="62"/>
      <c r="F47" s="62"/>
      <c r="G47" s="73"/>
      <c r="H47" s="73"/>
      <c r="I47" s="264"/>
      <c r="J47" s="68"/>
      <c r="K47" s="68"/>
    </row>
    <row r="48" spans="1:13" x14ac:dyDescent="0.2">
      <c r="A48" s="63"/>
      <c r="B48" s="67" t="s">
        <v>665</v>
      </c>
      <c r="C48" s="65" t="s">
        <v>664</v>
      </c>
      <c r="D48" s="62"/>
      <c r="E48" s="62"/>
      <c r="F48" s="62"/>
      <c r="G48" s="73" t="e">
        <f>G44+G46</f>
        <v>#REF!</v>
      </c>
      <c r="H48" s="73"/>
      <c r="I48" s="264">
        <f>I44+I46</f>
        <v>1312251855.8</v>
      </c>
      <c r="J48" s="68"/>
      <c r="K48" s="68"/>
    </row>
    <row r="49" spans="1:11" x14ac:dyDescent="0.2">
      <c r="A49" s="61"/>
      <c r="B49" s="60"/>
      <c r="C49" s="60"/>
      <c r="D49" s="60"/>
      <c r="E49" s="60"/>
      <c r="F49" s="60"/>
      <c r="G49" s="91"/>
      <c r="H49" s="91"/>
      <c r="I49" s="305"/>
      <c r="J49" s="378"/>
      <c r="K49" s="378"/>
    </row>
    <row r="50" spans="1:11" x14ac:dyDescent="0.2">
      <c r="A50" s="459"/>
      <c r="B50" s="459"/>
      <c r="C50" s="459"/>
      <c r="D50" s="459"/>
      <c r="E50" s="459"/>
      <c r="F50" s="62"/>
      <c r="G50" s="92" t="e">
        <f>#REF!</f>
        <v>#REF!</v>
      </c>
      <c r="H50" s="92"/>
      <c r="I50" s="92"/>
    </row>
    <row r="51" spans="1:11" x14ac:dyDescent="0.2">
      <c r="A51" s="447" t="s">
        <v>413</v>
      </c>
      <c r="B51" s="447"/>
      <c r="C51" s="447"/>
      <c r="D51" s="447"/>
      <c r="E51" s="447"/>
      <c r="F51" s="447" t="s">
        <v>410</v>
      </c>
      <c r="G51" s="447"/>
      <c r="H51" s="447"/>
      <c r="I51" s="447"/>
      <c r="J51" s="447"/>
      <c r="K51" s="447"/>
    </row>
    <row r="52" spans="1:11" x14ac:dyDescent="0.2">
      <c r="A52" s="447" t="s">
        <v>480</v>
      </c>
      <c r="B52" s="447"/>
      <c r="C52" s="447"/>
      <c r="D52" s="447"/>
      <c r="E52" s="447"/>
      <c r="F52" s="447" t="s">
        <v>481</v>
      </c>
      <c r="G52" s="447"/>
      <c r="H52" s="447"/>
      <c r="I52" s="447"/>
      <c r="J52" s="447"/>
      <c r="K52" s="447"/>
    </row>
    <row r="53" spans="1:11" x14ac:dyDescent="0.2">
      <c r="A53" s="447"/>
      <c r="B53" s="447"/>
      <c r="C53" s="447"/>
      <c r="D53" s="447"/>
      <c r="E53" s="447"/>
      <c r="F53" s="447"/>
      <c r="G53" s="447"/>
      <c r="H53" s="447"/>
      <c r="I53" s="447"/>
      <c r="J53" s="447"/>
      <c r="K53" s="447"/>
    </row>
    <row r="54" spans="1:11" x14ac:dyDescent="0.2">
      <c r="A54" s="447"/>
      <c r="B54" s="447"/>
      <c r="C54" s="447"/>
      <c r="D54" s="447"/>
      <c r="E54" s="447"/>
      <c r="F54" s="447"/>
      <c r="G54" s="447"/>
      <c r="H54" s="447"/>
      <c r="I54" s="447"/>
      <c r="J54" s="447"/>
      <c r="K54" s="447"/>
    </row>
    <row r="55" spans="1:11" x14ac:dyDescent="0.2">
      <c r="A55" s="447" t="s">
        <v>463</v>
      </c>
      <c r="B55" s="447"/>
      <c r="C55" s="447"/>
      <c r="D55" s="447"/>
      <c r="E55" s="447"/>
      <c r="F55" s="447" t="s">
        <v>411</v>
      </c>
      <c r="G55" s="447"/>
      <c r="H55" s="447"/>
      <c r="I55" s="447"/>
      <c r="J55" s="447"/>
      <c r="K55" s="447"/>
    </row>
    <row r="56" spans="1:11" x14ac:dyDescent="0.2">
      <c r="A56" s="447"/>
      <c r="B56" s="447"/>
      <c r="C56" s="447"/>
      <c r="D56" s="447"/>
      <c r="E56" s="447"/>
      <c r="F56" s="447"/>
      <c r="G56" s="447"/>
      <c r="H56" s="447"/>
      <c r="I56" s="447"/>
      <c r="J56" s="447"/>
      <c r="K56" s="447"/>
    </row>
    <row r="73" spans="1:11" x14ac:dyDescent="0.2">
      <c r="A73" s="450" t="s">
        <v>633</v>
      </c>
      <c r="B73" s="450"/>
      <c r="C73" s="374" t="s">
        <v>634</v>
      </c>
      <c r="D73" s="62"/>
      <c r="E73" s="62"/>
      <c r="F73" s="62"/>
    </row>
    <row r="74" spans="1:11" x14ac:dyDescent="0.2">
      <c r="B74" s="62"/>
      <c r="C74" s="62"/>
      <c r="D74" s="62"/>
      <c r="E74" s="62"/>
      <c r="F74" s="62"/>
    </row>
    <row r="75" spans="1:11" ht="6.75" customHeight="1" x14ac:dyDescent="0.25">
      <c r="A75" s="69"/>
      <c r="B75" s="452"/>
      <c r="C75" s="452"/>
      <c r="D75" s="452"/>
      <c r="E75" s="452"/>
      <c r="F75" s="452"/>
      <c r="G75" s="452"/>
      <c r="H75" s="452"/>
      <c r="I75" s="452"/>
      <c r="J75" s="375"/>
      <c r="K75" s="375"/>
    </row>
    <row r="76" spans="1:11" ht="17.25" customHeight="1" x14ac:dyDescent="0.25">
      <c r="A76" s="63"/>
      <c r="B76" s="448" t="s">
        <v>462</v>
      </c>
      <c r="C76" s="448"/>
      <c r="D76" s="448"/>
      <c r="E76" s="448"/>
      <c r="F76" s="448"/>
      <c r="G76" s="448"/>
      <c r="H76" s="448"/>
      <c r="I76" s="448"/>
      <c r="J76" s="68"/>
      <c r="K76" s="68"/>
    </row>
    <row r="77" spans="1:11" ht="20.25" customHeight="1" x14ac:dyDescent="0.25">
      <c r="A77" s="63"/>
      <c r="B77" s="448" t="s">
        <v>15</v>
      </c>
      <c r="C77" s="448"/>
      <c r="D77" s="448"/>
      <c r="E77" s="448"/>
      <c r="F77" s="448"/>
      <c r="G77" s="448"/>
      <c r="H77" s="448"/>
      <c r="I77" s="448"/>
      <c r="J77" s="68"/>
      <c r="K77" s="68"/>
    </row>
    <row r="78" spans="1:11" ht="19.5" customHeight="1" x14ac:dyDescent="0.25">
      <c r="A78" s="63"/>
      <c r="B78" s="451" t="s">
        <v>678</v>
      </c>
      <c r="C78" s="451"/>
      <c r="D78" s="451"/>
      <c r="E78" s="451"/>
      <c r="F78" s="451"/>
      <c r="G78" s="451"/>
      <c r="H78" s="451"/>
      <c r="I78" s="451"/>
      <c r="J78" s="68"/>
      <c r="K78" s="68"/>
    </row>
    <row r="79" spans="1:11" ht="9" customHeight="1" x14ac:dyDescent="0.2">
      <c r="A79" s="63"/>
      <c r="B79" s="62"/>
      <c r="C79" s="62"/>
      <c r="D79" s="62"/>
      <c r="E79" s="62"/>
      <c r="F79" s="62"/>
      <c r="J79" s="68"/>
      <c r="K79" s="68"/>
    </row>
    <row r="80" spans="1:11" ht="12" customHeight="1" x14ac:dyDescent="0.2">
      <c r="A80" s="63"/>
      <c r="B80" s="453" t="s">
        <v>10</v>
      </c>
      <c r="C80" s="454"/>
      <c r="D80" s="454"/>
      <c r="E80" s="455"/>
      <c r="F80" s="64"/>
      <c r="G80" s="82" t="s">
        <v>12</v>
      </c>
      <c r="H80" s="64"/>
      <c r="I80" s="82" t="s">
        <v>13</v>
      </c>
      <c r="J80" s="68"/>
      <c r="K80" s="68"/>
    </row>
    <row r="81" spans="1:12" ht="12" customHeight="1" x14ac:dyDescent="0.2">
      <c r="A81" s="63"/>
      <c r="B81" s="456"/>
      <c r="C81" s="457"/>
      <c r="D81" s="457"/>
      <c r="E81" s="458"/>
      <c r="F81" s="64"/>
      <c r="G81" s="83" t="s">
        <v>14</v>
      </c>
      <c r="H81" s="64"/>
      <c r="I81" s="83" t="s">
        <v>14</v>
      </c>
      <c r="J81" s="68"/>
      <c r="K81" s="68"/>
    </row>
    <row r="82" spans="1:12" x14ac:dyDescent="0.2">
      <c r="A82" s="63"/>
      <c r="B82" s="84" t="s">
        <v>636</v>
      </c>
      <c r="C82" s="84" t="s">
        <v>649</v>
      </c>
      <c r="D82" s="84"/>
      <c r="E82" s="62"/>
      <c r="F82" s="62"/>
      <c r="G82" s="85"/>
      <c r="H82" s="85"/>
      <c r="I82" s="85"/>
      <c r="J82" s="68"/>
      <c r="K82" s="68"/>
    </row>
    <row r="83" spans="1:12" x14ac:dyDescent="0.2">
      <c r="A83" s="63"/>
      <c r="B83" s="1"/>
      <c r="C83" s="65" t="s">
        <v>637</v>
      </c>
      <c r="D83" s="62"/>
      <c r="E83" s="62"/>
      <c r="F83" s="62"/>
      <c r="G83" s="85"/>
      <c r="H83" s="85"/>
      <c r="I83" s="85"/>
      <c r="J83" s="68"/>
      <c r="K83" s="68"/>
    </row>
    <row r="84" spans="1:12" x14ac:dyDescent="0.2">
      <c r="A84" s="63"/>
      <c r="B84" s="1"/>
      <c r="C84" s="62"/>
      <c r="D84" s="62">
        <v>1</v>
      </c>
      <c r="E84" s="62" t="s">
        <v>638</v>
      </c>
      <c r="F84" s="62"/>
      <c r="G84" s="85" t="e">
        <f>#REF!</f>
        <v>#REF!</v>
      </c>
      <c r="H84" s="85"/>
      <c r="I84" s="85" t="e">
        <f>G84</f>
        <v>#REF!</v>
      </c>
      <c r="J84" s="68"/>
      <c r="K84" s="68"/>
    </row>
    <row r="85" spans="1:12" x14ac:dyDescent="0.2">
      <c r="A85" s="63"/>
      <c r="B85" s="1"/>
      <c r="C85" s="62"/>
      <c r="D85" s="62">
        <v>2</v>
      </c>
      <c r="E85" s="62" t="s">
        <v>639</v>
      </c>
      <c r="F85" s="62"/>
      <c r="G85" s="85" t="e">
        <f>#REF!</f>
        <v>#REF!</v>
      </c>
      <c r="H85" s="85"/>
      <c r="I85" s="85" t="e">
        <f>G85</f>
        <v>#REF!</v>
      </c>
      <c r="J85" s="68"/>
      <c r="K85" s="68"/>
    </row>
    <row r="86" spans="1:12" x14ac:dyDescent="0.2">
      <c r="A86" s="63"/>
      <c r="B86" s="1"/>
      <c r="C86" s="62"/>
      <c r="D86" s="62">
        <v>3</v>
      </c>
      <c r="E86" s="62" t="s">
        <v>640</v>
      </c>
      <c r="F86" s="62"/>
      <c r="G86" s="85" t="e">
        <f>#REF!</f>
        <v>#REF!</v>
      </c>
      <c r="H86" s="85"/>
      <c r="I86" s="85" t="e">
        <f t="shared" ref="I86" si="3">G86</f>
        <v>#REF!</v>
      </c>
      <c r="J86" s="68"/>
      <c r="K86" s="68"/>
    </row>
    <row r="87" spans="1:12" x14ac:dyDescent="0.2">
      <c r="A87" s="63"/>
      <c r="B87" s="1"/>
      <c r="C87" s="62"/>
      <c r="D87" s="62">
        <v>4</v>
      </c>
      <c r="E87" s="62" t="s">
        <v>645</v>
      </c>
      <c r="F87" s="62"/>
      <c r="G87" s="85"/>
      <c r="H87" s="85"/>
      <c r="I87" s="85"/>
      <c r="J87" s="68"/>
      <c r="K87" s="68"/>
    </row>
    <row r="88" spans="1:12" x14ac:dyDescent="0.2">
      <c r="A88" s="63"/>
      <c r="B88" s="1"/>
      <c r="C88" s="62"/>
      <c r="D88" s="62">
        <v>5</v>
      </c>
      <c r="E88" s="62" t="s">
        <v>641</v>
      </c>
      <c r="F88" s="62"/>
      <c r="G88" s="85"/>
      <c r="H88" s="85"/>
      <c r="I88" s="85"/>
      <c r="J88" s="68"/>
      <c r="K88" s="68"/>
    </row>
    <row r="89" spans="1:12" x14ac:dyDescent="0.2">
      <c r="A89" s="63"/>
      <c r="B89" s="1"/>
      <c r="C89" s="62"/>
      <c r="D89" s="62"/>
      <c r="E89" s="62"/>
      <c r="F89" s="62"/>
      <c r="G89" s="85"/>
      <c r="H89" s="85"/>
      <c r="I89" s="85"/>
      <c r="J89" s="68"/>
      <c r="K89" s="68"/>
    </row>
    <row r="90" spans="1:12" ht="15" customHeight="1" x14ac:dyDescent="0.2">
      <c r="A90" s="63"/>
      <c r="B90" s="1"/>
      <c r="C90" s="65"/>
      <c r="D90" s="65" t="s">
        <v>16</v>
      </c>
      <c r="E90" s="65"/>
      <c r="F90" s="62"/>
      <c r="G90" s="86" t="e">
        <f>SUM(G84:G88)</f>
        <v>#REF!</v>
      </c>
      <c r="H90" s="85"/>
      <c r="I90" s="86" t="e">
        <f>SUM(I84:I88)</f>
        <v>#REF!</v>
      </c>
      <c r="J90" s="68"/>
      <c r="K90" s="68"/>
    </row>
    <row r="91" spans="1:12" ht="15" customHeight="1" x14ac:dyDescent="0.2">
      <c r="A91" s="63"/>
      <c r="B91" s="1"/>
      <c r="C91" s="65"/>
      <c r="D91" s="65"/>
      <c r="E91" s="65"/>
      <c r="F91" s="62"/>
      <c r="G91" s="73"/>
      <c r="H91" s="85"/>
      <c r="I91" s="73"/>
      <c r="J91" s="68"/>
      <c r="K91" s="68"/>
    </row>
    <row r="92" spans="1:12" ht="11.25" customHeight="1" x14ac:dyDescent="0.2">
      <c r="A92" s="63"/>
      <c r="B92" s="1"/>
      <c r="C92" s="65" t="s">
        <v>642</v>
      </c>
      <c r="D92" s="62"/>
      <c r="E92" s="62"/>
      <c r="F92" s="62"/>
      <c r="G92" s="85"/>
      <c r="H92" s="85"/>
      <c r="I92" s="85"/>
      <c r="J92" s="68"/>
      <c r="K92" s="68"/>
    </row>
    <row r="93" spans="1:12" x14ac:dyDescent="0.2">
      <c r="A93" s="63"/>
      <c r="B93" s="1"/>
      <c r="C93" s="62"/>
      <c r="D93" s="62">
        <v>1</v>
      </c>
      <c r="E93" s="87" t="s">
        <v>190</v>
      </c>
      <c r="F93" s="62"/>
      <c r="G93" s="85">
        <f>'RINCIAN B. LANGSUNG USAHA'!E32</f>
        <v>0</v>
      </c>
      <c r="H93" s="85"/>
      <c r="I93" s="85">
        <f>G93</f>
        <v>0</v>
      </c>
      <c r="J93" s="68"/>
      <c r="K93" s="68"/>
    </row>
    <row r="94" spans="1:12" x14ac:dyDescent="0.2">
      <c r="A94" s="63"/>
      <c r="B94" s="1"/>
      <c r="C94" s="62"/>
      <c r="D94" s="62">
        <v>2</v>
      </c>
      <c r="E94" s="87" t="s">
        <v>191</v>
      </c>
      <c r="F94" s="62"/>
      <c r="G94" s="85">
        <f>'RINCIAN B. LANGSUNG USAHA'!E67-'RINCIAN B. LANGSUNG USAHA'!E53</f>
        <v>0</v>
      </c>
      <c r="H94" s="85"/>
      <c r="I94" s="85">
        <f t="shared" ref="I94:I96" si="4">G94</f>
        <v>0</v>
      </c>
      <c r="J94" s="68"/>
      <c r="K94" s="68"/>
    </row>
    <row r="95" spans="1:12" x14ac:dyDescent="0.2">
      <c r="A95" s="63"/>
      <c r="B95" s="1"/>
      <c r="C95" s="62"/>
      <c r="D95" s="62">
        <v>3</v>
      </c>
      <c r="E95" s="87" t="s">
        <v>643</v>
      </c>
      <c r="F95" s="67"/>
      <c r="G95" s="85">
        <f>'RINCIAN B. LANGSUNG USAHA'!E98-'RINCIAN B. LANGSUNG USAHA'!E92-'RINCIAN B. LANGSUNG USAHA'!E95+1200000</f>
        <v>1200000</v>
      </c>
      <c r="H95" s="85"/>
      <c r="I95" s="85">
        <f t="shared" si="4"/>
        <v>1200000</v>
      </c>
      <c r="J95" s="68"/>
      <c r="K95" s="68"/>
      <c r="L95" s="376">
        <v>1200000</v>
      </c>
    </row>
    <row r="96" spans="1:12" x14ac:dyDescent="0.2">
      <c r="A96" s="63"/>
      <c r="B96" s="1"/>
      <c r="C96" s="62"/>
      <c r="D96" s="62">
        <v>4</v>
      </c>
      <c r="E96" s="87" t="s">
        <v>644</v>
      </c>
      <c r="F96" s="62"/>
      <c r="G96" s="85">
        <f>'RINCIAN B. TDK LANGSUNG'!E77</f>
        <v>0</v>
      </c>
      <c r="H96" s="85"/>
      <c r="I96" s="85">
        <f t="shared" si="4"/>
        <v>0</v>
      </c>
      <c r="J96" s="68"/>
      <c r="K96" s="68"/>
    </row>
    <row r="97" spans="1:11" x14ac:dyDescent="0.2">
      <c r="A97" s="63"/>
      <c r="B97" s="1"/>
      <c r="C97" s="62"/>
      <c r="D97" s="62">
        <v>5</v>
      </c>
      <c r="E97" s="87" t="s">
        <v>632</v>
      </c>
      <c r="F97" s="67"/>
      <c r="G97" s="85"/>
      <c r="H97" s="85"/>
      <c r="I97" s="85"/>
      <c r="J97" s="68"/>
      <c r="K97" s="68"/>
    </row>
    <row r="98" spans="1:11" x14ac:dyDescent="0.2">
      <c r="A98" s="63"/>
      <c r="B98" s="1"/>
      <c r="C98" s="62"/>
      <c r="D98" s="62">
        <v>6</v>
      </c>
      <c r="E98" s="87" t="s">
        <v>646</v>
      </c>
      <c r="F98" s="67"/>
      <c r="G98" s="85"/>
      <c r="H98" s="85"/>
      <c r="I98" s="85"/>
      <c r="J98" s="68"/>
      <c r="K98" s="68"/>
    </row>
    <row r="99" spans="1:11" x14ac:dyDescent="0.2">
      <c r="A99" s="63"/>
      <c r="B99" s="1"/>
      <c r="C99" s="62"/>
      <c r="D99" s="62">
        <v>7</v>
      </c>
      <c r="E99" s="87" t="s">
        <v>647</v>
      </c>
      <c r="F99" s="67"/>
      <c r="G99" s="85"/>
      <c r="H99" s="85"/>
      <c r="I99" s="85"/>
      <c r="J99" s="68"/>
      <c r="K99" s="68"/>
    </row>
    <row r="100" spans="1:11" x14ac:dyDescent="0.2">
      <c r="A100" s="63"/>
      <c r="B100" s="67"/>
      <c r="C100" s="65"/>
      <c r="D100" s="62"/>
      <c r="E100" s="87"/>
      <c r="F100" s="62"/>
      <c r="G100" s="85"/>
      <c r="H100" s="85"/>
      <c r="I100" s="85"/>
      <c r="J100" s="68"/>
      <c r="K100" s="68"/>
    </row>
    <row r="101" spans="1:11" x14ac:dyDescent="0.2">
      <c r="A101" s="63"/>
      <c r="B101" s="1"/>
      <c r="C101" s="62"/>
      <c r="D101" s="65" t="s">
        <v>17</v>
      </c>
      <c r="E101" s="64"/>
      <c r="F101" s="88"/>
      <c r="G101" s="86">
        <f>SUM(G93:G100)</f>
        <v>1200000</v>
      </c>
      <c r="H101" s="85"/>
      <c r="I101" s="86">
        <f>SUM(I93:I100)</f>
        <v>1200000</v>
      </c>
      <c r="J101" s="68"/>
      <c r="K101" s="68"/>
    </row>
    <row r="102" spans="1:11" ht="15.75" customHeight="1" x14ac:dyDescent="0.2">
      <c r="A102" s="63"/>
      <c r="B102" s="1"/>
      <c r="C102" s="62"/>
      <c r="D102" s="62"/>
      <c r="E102" s="62"/>
      <c r="F102" s="62"/>
      <c r="G102" s="85"/>
      <c r="H102" s="85"/>
      <c r="I102" s="85"/>
      <c r="J102" s="68"/>
      <c r="K102" s="68"/>
    </row>
    <row r="103" spans="1:11" x14ac:dyDescent="0.2">
      <c r="A103" s="63"/>
      <c r="B103" s="1"/>
      <c r="C103" s="65" t="s">
        <v>648</v>
      </c>
      <c r="D103" s="65"/>
      <c r="E103" s="65"/>
      <c r="F103" s="62"/>
      <c r="G103" s="304" t="e">
        <f>G90-G101</f>
        <v>#REF!</v>
      </c>
      <c r="H103" s="85"/>
      <c r="I103" s="304" t="e">
        <f>I90-I101</f>
        <v>#REF!</v>
      </c>
      <c r="K103" s="68"/>
    </row>
    <row r="104" spans="1:11" x14ac:dyDescent="0.2">
      <c r="A104" s="63"/>
      <c r="B104" s="1"/>
      <c r="C104" s="62"/>
      <c r="D104" s="62"/>
      <c r="E104" s="62"/>
      <c r="F104" s="62"/>
      <c r="G104" s="85"/>
      <c r="H104" s="85"/>
      <c r="I104" s="85"/>
      <c r="J104" s="68"/>
      <c r="K104" s="68"/>
    </row>
    <row r="105" spans="1:11" x14ac:dyDescent="0.2">
      <c r="A105" s="63"/>
      <c r="B105" s="84" t="s">
        <v>650</v>
      </c>
      <c r="C105" s="84" t="s">
        <v>651</v>
      </c>
      <c r="D105" s="74"/>
      <c r="E105" s="67"/>
      <c r="F105" s="67"/>
      <c r="G105" s="85"/>
      <c r="H105" s="85"/>
      <c r="I105" s="85"/>
      <c r="J105" s="68"/>
      <c r="K105" s="68"/>
    </row>
    <row r="106" spans="1:11" x14ac:dyDescent="0.2">
      <c r="A106" s="63"/>
      <c r="B106" s="67"/>
      <c r="C106" s="65"/>
      <c r="D106" s="62" t="s">
        <v>652</v>
      </c>
      <c r="E106" s="62"/>
      <c r="F106" s="62"/>
      <c r="G106" s="85" t="e">
        <f>#REF!</f>
        <v>#REF!</v>
      </c>
      <c r="H106" s="85"/>
      <c r="I106" s="85" t="e">
        <f>G106</f>
        <v>#REF!</v>
      </c>
      <c r="J106" s="68"/>
      <c r="K106" s="68"/>
    </row>
    <row r="107" spans="1:11" x14ac:dyDescent="0.2">
      <c r="A107" s="63"/>
      <c r="B107" s="1"/>
      <c r="C107" s="65" t="s">
        <v>653</v>
      </c>
      <c r="D107" s="74"/>
      <c r="E107" s="74"/>
      <c r="F107" s="74"/>
      <c r="G107" s="86" t="e">
        <f>SUM(G106)</f>
        <v>#REF!</v>
      </c>
      <c r="H107" s="73"/>
      <c r="I107" s="86" t="e">
        <f>SUM(I106)</f>
        <v>#REF!</v>
      </c>
      <c r="J107" s="68"/>
      <c r="K107" s="68"/>
    </row>
    <row r="108" spans="1:11" x14ac:dyDescent="0.2">
      <c r="A108" s="63"/>
      <c r="B108" s="1"/>
      <c r="C108" s="449"/>
      <c r="D108" s="449"/>
      <c r="E108" s="449"/>
      <c r="F108" s="62"/>
      <c r="G108" s="264"/>
      <c r="H108" s="89"/>
      <c r="I108" s="264"/>
      <c r="J108" s="68"/>
      <c r="K108" s="68"/>
    </row>
    <row r="109" spans="1:11" ht="16.5" customHeight="1" x14ac:dyDescent="0.2">
      <c r="A109" s="63"/>
      <c r="B109" s="84" t="s">
        <v>654</v>
      </c>
      <c r="C109" s="84" t="s">
        <v>655</v>
      </c>
      <c r="D109" s="62"/>
      <c r="E109" s="62"/>
      <c r="F109" s="62"/>
      <c r="G109" s="89"/>
      <c r="H109" s="89"/>
      <c r="I109" s="89"/>
      <c r="J109" s="68"/>
      <c r="K109" s="68"/>
    </row>
    <row r="110" spans="1:11" x14ac:dyDescent="0.2">
      <c r="A110" s="63"/>
      <c r="B110" s="80"/>
      <c r="C110" s="80"/>
      <c r="D110" s="62" t="s">
        <v>656</v>
      </c>
      <c r="E110" s="80"/>
      <c r="F110" s="67"/>
      <c r="G110" s="264"/>
      <c r="H110" s="89"/>
      <c r="I110" s="264"/>
      <c r="J110" s="68"/>
      <c r="K110" s="68"/>
    </row>
    <row r="111" spans="1:11" x14ac:dyDescent="0.2">
      <c r="A111" s="63"/>
      <c r="B111" s="84"/>
      <c r="C111" s="62"/>
      <c r="D111" s="62" t="s">
        <v>657</v>
      </c>
      <c r="E111" s="62"/>
      <c r="F111" s="62"/>
      <c r="G111" s="85"/>
      <c r="H111" s="85"/>
      <c r="I111" s="85"/>
      <c r="J111" s="68"/>
      <c r="K111" s="68"/>
    </row>
    <row r="112" spans="1:11" x14ac:dyDescent="0.2">
      <c r="A112" s="63"/>
      <c r="B112" s="1"/>
      <c r="C112" s="62"/>
      <c r="D112" s="74" t="s">
        <v>658</v>
      </c>
      <c r="E112" s="67"/>
      <c r="F112" s="67"/>
      <c r="G112" s="85"/>
      <c r="H112" s="85"/>
      <c r="I112" s="85"/>
      <c r="J112" s="68"/>
      <c r="K112" s="68"/>
    </row>
    <row r="113" spans="1:14" x14ac:dyDescent="0.2">
      <c r="A113" s="63"/>
      <c r="B113" s="67"/>
      <c r="C113" s="65"/>
      <c r="D113" s="62" t="s">
        <v>659</v>
      </c>
      <c r="E113" s="62"/>
      <c r="F113" s="62"/>
      <c r="G113" s="377"/>
      <c r="H113" s="85"/>
      <c r="I113" s="85"/>
      <c r="J113" s="68"/>
      <c r="K113" s="68"/>
    </row>
    <row r="114" spans="1:14" x14ac:dyDescent="0.2">
      <c r="A114" s="63"/>
      <c r="B114" s="1"/>
      <c r="C114" s="65" t="s">
        <v>660</v>
      </c>
      <c r="D114" s="74"/>
      <c r="E114" s="74"/>
      <c r="F114" s="74"/>
      <c r="G114" s="379">
        <f>SUM(G110:G113)</f>
        <v>0</v>
      </c>
      <c r="H114" s="85"/>
      <c r="I114" s="379">
        <f>SUM(I110:I113)</f>
        <v>0</v>
      </c>
      <c r="J114" s="68"/>
      <c r="K114" s="68"/>
    </row>
    <row r="115" spans="1:14" x14ac:dyDescent="0.2">
      <c r="A115" s="63"/>
      <c r="B115" s="1"/>
      <c r="C115" s="62"/>
      <c r="D115" s="62"/>
      <c r="E115" s="62"/>
      <c r="F115" s="62"/>
      <c r="G115" s="377"/>
      <c r="H115" s="85"/>
      <c r="I115" s="85"/>
      <c r="J115" s="68"/>
      <c r="K115" s="68"/>
    </row>
    <row r="116" spans="1:14" x14ac:dyDescent="0.2">
      <c r="A116" s="63"/>
      <c r="B116" s="84" t="s">
        <v>661</v>
      </c>
      <c r="C116" s="84" t="s">
        <v>662</v>
      </c>
      <c r="D116" s="66"/>
      <c r="E116" s="66"/>
      <c r="F116" s="62"/>
      <c r="G116" s="73" t="e">
        <f>G103-G107+G114</f>
        <v>#REF!</v>
      </c>
      <c r="H116" s="85"/>
      <c r="I116" s="73" t="e">
        <f>I103-I107+I114</f>
        <v>#REF!</v>
      </c>
      <c r="J116" s="68"/>
      <c r="K116" s="68"/>
    </row>
    <row r="117" spans="1:14" x14ac:dyDescent="0.2">
      <c r="A117" s="63"/>
      <c r="B117" s="1"/>
      <c r="C117" s="62"/>
      <c r="D117" s="62"/>
      <c r="E117" s="62"/>
      <c r="F117" s="62"/>
      <c r="G117" s="85"/>
      <c r="H117" s="85"/>
      <c r="I117" s="85"/>
      <c r="J117" s="68"/>
      <c r="K117" s="68"/>
    </row>
    <row r="118" spans="1:14" x14ac:dyDescent="0.2">
      <c r="A118" s="63"/>
      <c r="B118" s="84" t="s">
        <v>663</v>
      </c>
      <c r="C118" s="84" t="s">
        <v>664</v>
      </c>
      <c r="D118" s="66"/>
      <c r="E118" s="62"/>
      <c r="F118" s="62"/>
      <c r="G118" s="73">
        <v>1312251855.8000002</v>
      </c>
      <c r="H118" s="73"/>
      <c r="I118" s="73">
        <v>1312251855.8000002</v>
      </c>
      <c r="J118" s="68"/>
      <c r="K118" s="68"/>
    </row>
    <row r="119" spans="1:14" x14ac:dyDescent="0.2">
      <c r="A119" s="63"/>
      <c r="B119" s="1"/>
      <c r="C119" s="62"/>
      <c r="D119" s="62"/>
      <c r="E119" s="62"/>
      <c r="F119" s="62"/>
      <c r="G119" s="73"/>
      <c r="H119" s="73"/>
      <c r="I119" s="73"/>
      <c r="J119" s="68"/>
      <c r="K119" s="68"/>
    </row>
    <row r="120" spans="1:14" x14ac:dyDescent="0.2">
      <c r="A120" s="63"/>
      <c r="B120" s="67" t="s">
        <v>665</v>
      </c>
      <c r="C120" s="65" t="s">
        <v>664</v>
      </c>
      <c r="D120" s="62"/>
      <c r="E120" s="62"/>
      <c r="F120" s="62"/>
      <c r="G120" s="73" t="e">
        <f>G116+G118</f>
        <v>#REF!</v>
      </c>
      <c r="H120" s="73"/>
      <c r="I120" s="73" t="e">
        <f>I116+I118</f>
        <v>#REF!</v>
      </c>
      <c r="J120" s="68"/>
      <c r="K120" s="68"/>
    </row>
    <row r="121" spans="1:14" x14ac:dyDescent="0.2">
      <c r="A121" s="61"/>
      <c r="B121" s="60"/>
      <c r="C121" s="60"/>
      <c r="D121" s="60"/>
      <c r="E121" s="60"/>
      <c r="F121" s="60"/>
      <c r="G121" s="91"/>
      <c r="H121" s="91"/>
      <c r="I121" s="91"/>
      <c r="J121" s="378"/>
      <c r="K121" s="378"/>
    </row>
    <row r="122" spans="1:14" ht="20.25" customHeight="1" x14ac:dyDescent="0.2">
      <c r="A122" s="459"/>
      <c r="B122" s="459"/>
      <c r="C122" s="459"/>
      <c r="D122" s="459"/>
      <c r="E122" s="459"/>
      <c r="F122" s="62"/>
      <c r="G122" s="92" t="e">
        <f>#REF!</f>
        <v>#REF!</v>
      </c>
      <c r="H122" s="92"/>
      <c r="I122" s="92"/>
      <c r="L122" s="90" t="e">
        <f>G120-G122</f>
        <v>#REF!</v>
      </c>
      <c r="M122" s="92"/>
      <c r="N122" s="92"/>
    </row>
    <row r="123" spans="1:14" x14ac:dyDescent="0.2">
      <c r="A123" s="447" t="s">
        <v>413</v>
      </c>
      <c r="B123" s="447"/>
      <c r="C123" s="447"/>
      <c r="D123" s="447"/>
      <c r="E123" s="447"/>
      <c r="F123" s="447" t="s">
        <v>410</v>
      </c>
      <c r="G123" s="447"/>
      <c r="H123" s="447"/>
      <c r="I123" s="447"/>
      <c r="J123" s="447"/>
      <c r="K123" s="447"/>
      <c r="L123" s="90"/>
      <c r="M123" s="81"/>
      <c r="N123" s="81"/>
    </row>
    <row r="124" spans="1:14" x14ac:dyDescent="0.2">
      <c r="A124" s="447" t="s">
        <v>480</v>
      </c>
      <c r="B124" s="447"/>
      <c r="C124" s="447"/>
      <c r="D124" s="447"/>
      <c r="E124" s="447"/>
      <c r="F124" s="447" t="s">
        <v>481</v>
      </c>
      <c r="G124" s="447"/>
      <c r="H124" s="447"/>
      <c r="I124" s="447"/>
      <c r="J124" s="447"/>
      <c r="K124" s="447"/>
      <c r="L124" s="90"/>
      <c r="M124" s="81"/>
      <c r="N124" s="81"/>
    </row>
    <row r="125" spans="1:14" x14ac:dyDescent="0.2">
      <c r="A125" s="447"/>
      <c r="B125" s="447"/>
      <c r="C125" s="447"/>
      <c r="D125" s="447"/>
      <c r="E125" s="447"/>
      <c r="F125" s="447"/>
      <c r="G125" s="447"/>
      <c r="H125" s="447"/>
      <c r="I125" s="447"/>
      <c r="J125" s="447"/>
      <c r="K125" s="447"/>
      <c r="L125" s="90"/>
      <c r="M125" s="81"/>
      <c r="N125" s="81"/>
    </row>
    <row r="126" spans="1:14" x14ac:dyDescent="0.2">
      <c r="A126" s="447"/>
      <c r="B126" s="447"/>
      <c r="C126" s="447"/>
      <c r="D126" s="447"/>
      <c r="E126" s="447"/>
      <c r="F126" s="447"/>
      <c r="G126" s="447"/>
      <c r="H126" s="447"/>
      <c r="I126" s="447"/>
      <c r="J126" s="447"/>
      <c r="K126" s="447"/>
      <c r="L126" s="90"/>
      <c r="M126" s="81"/>
      <c r="N126" s="81"/>
    </row>
    <row r="127" spans="1:14" x14ac:dyDescent="0.2">
      <c r="A127" s="447" t="s">
        <v>463</v>
      </c>
      <c r="B127" s="447"/>
      <c r="C127" s="447"/>
      <c r="D127" s="447"/>
      <c r="E127" s="447"/>
      <c r="F127" s="447" t="s">
        <v>411</v>
      </c>
      <c r="G127" s="447"/>
      <c r="H127" s="447"/>
      <c r="I127" s="447"/>
      <c r="J127" s="447"/>
      <c r="K127" s="447"/>
      <c r="L127" s="90"/>
      <c r="M127" s="81"/>
      <c r="N127" s="81"/>
    </row>
    <row r="128" spans="1:14" x14ac:dyDescent="0.2">
      <c r="A128" s="447"/>
      <c r="B128" s="447"/>
      <c r="C128" s="447"/>
      <c r="D128" s="447"/>
      <c r="E128" s="447"/>
      <c r="F128" s="447"/>
      <c r="G128" s="447"/>
      <c r="H128" s="447"/>
      <c r="I128" s="447"/>
      <c r="J128" s="447"/>
      <c r="K128" s="447"/>
      <c r="L128" s="90"/>
      <c r="M128" s="81"/>
      <c r="N128" s="81"/>
    </row>
    <row r="129" spans="1:14" x14ac:dyDescent="0.2">
      <c r="A129" s="447"/>
      <c r="B129" s="447"/>
      <c r="C129" s="447"/>
      <c r="D129" s="447"/>
      <c r="E129" s="447"/>
      <c r="F129" s="447"/>
      <c r="G129" s="447"/>
      <c r="H129" s="447"/>
      <c r="I129" s="447"/>
      <c r="J129" s="447"/>
      <c r="K129" s="447"/>
      <c r="L129" s="90"/>
      <c r="M129" s="81"/>
      <c r="N129" s="81"/>
    </row>
    <row r="130" spans="1:14" x14ac:dyDescent="0.2">
      <c r="A130" s="447"/>
      <c r="B130" s="447"/>
      <c r="C130" s="447"/>
      <c r="D130" s="447"/>
      <c r="E130" s="447"/>
      <c r="F130" s="447"/>
      <c r="G130" s="447"/>
      <c r="H130" s="447"/>
      <c r="I130" s="447"/>
      <c r="J130" s="447"/>
      <c r="K130" s="447"/>
      <c r="L130" s="90"/>
      <c r="M130" s="460"/>
      <c r="N130" s="460"/>
    </row>
    <row r="131" spans="1:14" x14ac:dyDescent="0.2">
      <c r="A131" s="447"/>
      <c r="B131" s="447"/>
      <c r="C131" s="447"/>
      <c r="D131" s="447"/>
      <c r="E131" s="447"/>
      <c r="F131" s="447"/>
      <c r="G131" s="447"/>
      <c r="H131" s="447"/>
      <c r="I131" s="447"/>
      <c r="J131" s="447"/>
      <c r="K131" s="447"/>
      <c r="L131" s="90"/>
      <c r="M131" s="81"/>
      <c r="N131" s="81"/>
    </row>
    <row r="132" spans="1:14" x14ac:dyDescent="0.2">
      <c r="A132" s="447"/>
      <c r="B132" s="447"/>
      <c r="C132" s="447"/>
      <c r="D132" s="447"/>
      <c r="E132" s="447"/>
      <c r="F132" s="447"/>
      <c r="G132" s="447"/>
      <c r="H132" s="447"/>
      <c r="I132" s="447"/>
      <c r="J132" s="447"/>
      <c r="K132" s="447"/>
      <c r="L132" s="90"/>
      <c r="M132" s="81"/>
      <c r="N132" s="81"/>
    </row>
    <row r="134" spans="1:14" x14ac:dyDescent="0.2">
      <c r="B134" s="62"/>
      <c r="C134" s="62"/>
      <c r="D134" s="62"/>
      <c r="E134" s="62"/>
      <c r="F134" s="62"/>
      <c r="G134" s="81"/>
      <c r="H134" s="81"/>
      <c r="I134" s="81"/>
    </row>
    <row r="135" spans="1:14" x14ac:dyDescent="0.2">
      <c r="B135" s="62"/>
      <c r="C135" s="62"/>
      <c r="D135" s="62"/>
      <c r="E135" s="62"/>
      <c r="F135" s="62"/>
      <c r="G135" s="81"/>
    </row>
    <row r="136" spans="1:14" x14ac:dyDescent="0.2">
      <c r="B136" s="62"/>
      <c r="C136" s="62"/>
      <c r="D136" s="62"/>
      <c r="E136" s="62"/>
      <c r="F136" s="62"/>
    </row>
    <row r="137" spans="1:14" x14ac:dyDescent="0.2">
      <c r="B137" s="62"/>
      <c r="C137" s="62"/>
      <c r="D137" s="62"/>
      <c r="E137" s="62"/>
      <c r="F137" s="62"/>
    </row>
    <row r="138" spans="1:14" x14ac:dyDescent="0.2">
      <c r="B138" s="62"/>
      <c r="C138" s="62"/>
      <c r="D138" s="62"/>
      <c r="E138" s="62"/>
      <c r="F138" s="62"/>
    </row>
    <row r="139" spans="1:14" x14ac:dyDescent="0.2">
      <c r="B139" s="62"/>
      <c r="C139" s="62"/>
      <c r="D139" s="62"/>
      <c r="E139" s="62"/>
      <c r="F139" s="62"/>
    </row>
    <row r="140" spans="1:14" x14ac:dyDescent="0.2">
      <c r="B140" s="62"/>
      <c r="C140" s="62"/>
      <c r="D140" s="62"/>
      <c r="E140" s="62"/>
      <c r="F140" s="62"/>
    </row>
    <row r="141" spans="1:14" x14ac:dyDescent="0.2">
      <c r="B141" s="62"/>
      <c r="C141" s="62"/>
      <c r="D141" s="62"/>
      <c r="E141" s="62"/>
      <c r="F141" s="62"/>
    </row>
    <row r="142" spans="1:14" x14ac:dyDescent="0.2">
      <c r="B142" s="62"/>
      <c r="C142" s="62"/>
      <c r="D142" s="62"/>
      <c r="E142" s="62"/>
      <c r="F142" s="62"/>
    </row>
    <row r="143" spans="1:14" x14ac:dyDescent="0.2">
      <c r="B143" s="62"/>
      <c r="C143" s="62"/>
      <c r="D143" s="62"/>
      <c r="E143" s="62"/>
      <c r="F143" s="62"/>
    </row>
    <row r="144" spans="1:14" x14ac:dyDescent="0.2">
      <c r="A144" s="450" t="s">
        <v>633</v>
      </c>
      <c r="B144" s="450"/>
      <c r="C144" s="374" t="s">
        <v>634</v>
      </c>
      <c r="D144" s="62"/>
      <c r="E144" s="62"/>
      <c r="F144" s="62"/>
    </row>
    <row r="145" spans="1:11" x14ac:dyDescent="0.2">
      <c r="B145" s="62"/>
      <c r="C145" s="62"/>
      <c r="D145" s="62"/>
      <c r="E145" s="62"/>
      <c r="F145" s="62"/>
    </row>
    <row r="146" spans="1:11" ht="15" x14ac:dyDescent="0.25">
      <c r="A146" s="69"/>
      <c r="B146" s="452"/>
      <c r="C146" s="452"/>
      <c r="D146" s="452"/>
      <c r="E146" s="452"/>
      <c r="F146" s="452"/>
      <c r="G146" s="452"/>
      <c r="H146" s="452"/>
      <c r="I146" s="452"/>
      <c r="J146" s="375"/>
      <c r="K146" s="375"/>
    </row>
    <row r="147" spans="1:11" ht="15" x14ac:dyDescent="0.25">
      <c r="A147" s="63"/>
      <c r="B147" s="448" t="s">
        <v>462</v>
      </c>
      <c r="C147" s="448"/>
      <c r="D147" s="448"/>
      <c r="E147" s="448"/>
      <c r="F147" s="448"/>
      <c r="G147" s="448"/>
      <c r="H147" s="448"/>
      <c r="I147" s="448"/>
      <c r="J147" s="68"/>
      <c r="K147" s="68"/>
    </row>
    <row r="148" spans="1:11" ht="15" x14ac:dyDescent="0.25">
      <c r="A148" s="63"/>
      <c r="B148" s="448" t="s">
        <v>15</v>
      </c>
      <c r="C148" s="448"/>
      <c r="D148" s="448"/>
      <c r="E148" s="448"/>
      <c r="F148" s="448"/>
      <c r="G148" s="448"/>
      <c r="H148" s="448"/>
      <c r="I148" s="448"/>
      <c r="J148" s="68"/>
      <c r="K148" s="68"/>
    </row>
    <row r="149" spans="1:11" ht="15" x14ac:dyDescent="0.25">
      <c r="A149" s="63"/>
      <c r="B149" s="451" t="s">
        <v>666</v>
      </c>
      <c r="C149" s="451"/>
      <c r="D149" s="451"/>
      <c r="E149" s="451"/>
      <c r="F149" s="451"/>
      <c r="G149" s="451"/>
      <c r="H149" s="451"/>
      <c r="I149" s="451"/>
      <c r="J149" s="68"/>
      <c r="K149" s="68"/>
    </row>
    <row r="150" spans="1:11" x14ac:dyDescent="0.2">
      <c r="A150" s="63"/>
      <c r="B150" s="62"/>
      <c r="C150" s="62"/>
      <c r="D150" s="62"/>
      <c r="E150" s="62"/>
      <c r="F150" s="62"/>
      <c r="J150" s="68"/>
      <c r="K150" s="68"/>
    </row>
    <row r="151" spans="1:11" x14ac:dyDescent="0.2">
      <c r="A151" s="63"/>
      <c r="B151" s="453" t="s">
        <v>10</v>
      </c>
      <c r="C151" s="454"/>
      <c r="D151" s="454"/>
      <c r="E151" s="455"/>
      <c r="F151" s="64"/>
      <c r="G151" s="82" t="s">
        <v>12</v>
      </c>
      <c r="H151" s="64"/>
      <c r="I151" s="82" t="s">
        <v>13</v>
      </c>
      <c r="J151" s="68"/>
      <c r="K151" s="68"/>
    </row>
    <row r="152" spans="1:11" x14ac:dyDescent="0.2">
      <c r="A152" s="63"/>
      <c r="B152" s="456"/>
      <c r="C152" s="457"/>
      <c r="D152" s="457"/>
      <c r="E152" s="458"/>
      <c r="F152" s="64"/>
      <c r="G152" s="83" t="s">
        <v>14</v>
      </c>
      <c r="H152" s="64"/>
      <c r="I152" s="83" t="s">
        <v>14</v>
      </c>
      <c r="J152" s="68"/>
      <c r="K152" s="68"/>
    </row>
    <row r="153" spans="1:11" x14ac:dyDescent="0.2">
      <c r="A153" s="63"/>
      <c r="B153" s="84" t="s">
        <v>636</v>
      </c>
      <c r="C153" s="84" t="s">
        <v>649</v>
      </c>
      <c r="D153" s="84"/>
      <c r="E153" s="62"/>
      <c r="F153" s="62"/>
      <c r="G153" s="85"/>
      <c r="H153" s="85"/>
      <c r="I153" s="85"/>
      <c r="J153" s="68"/>
      <c r="K153" s="68"/>
    </row>
    <row r="154" spans="1:11" x14ac:dyDescent="0.2">
      <c r="A154" s="63"/>
      <c r="B154" s="1"/>
      <c r="C154" s="65" t="s">
        <v>637</v>
      </c>
      <c r="D154" s="62"/>
      <c r="E154" s="62"/>
      <c r="F154" s="62"/>
      <c r="G154" s="85"/>
      <c r="H154" s="85"/>
      <c r="I154" s="85"/>
      <c r="J154" s="68"/>
      <c r="K154" s="68"/>
    </row>
    <row r="155" spans="1:11" x14ac:dyDescent="0.2">
      <c r="A155" s="63"/>
      <c r="B155" s="1"/>
      <c r="C155" s="62"/>
      <c r="D155" s="62">
        <v>1</v>
      </c>
      <c r="E155" s="62" t="s">
        <v>638</v>
      </c>
      <c r="F155" s="62"/>
      <c r="G155" s="85"/>
      <c r="H155" s="85"/>
      <c r="I155" s="85" t="e">
        <f>G155+I84</f>
        <v>#REF!</v>
      </c>
      <c r="J155" s="68"/>
      <c r="K155" s="68"/>
    </row>
    <row r="156" spans="1:11" x14ac:dyDescent="0.2">
      <c r="A156" s="63"/>
      <c r="B156" s="1"/>
      <c r="C156" s="62"/>
      <c r="D156" s="62">
        <v>2</v>
      </c>
      <c r="E156" s="62" t="s">
        <v>639</v>
      </c>
      <c r="F156" s="62"/>
      <c r="G156" s="85"/>
      <c r="H156" s="85"/>
      <c r="I156" s="85" t="e">
        <f t="shared" ref="I156:I160" si="5">G156+I85</f>
        <v>#REF!</v>
      </c>
      <c r="J156" s="68"/>
      <c r="K156" s="68"/>
    </row>
    <row r="157" spans="1:11" x14ac:dyDescent="0.2">
      <c r="A157" s="63"/>
      <c r="B157" s="1"/>
      <c r="C157" s="62"/>
      <c r="D157" s="62">
        <v>3</v>
      </c>
      <c r="E157" s="62" t="s">
        <v>640</v>
      </c>
      <c r="F157" s="62"/>
      <c r="G157" s="85"/>
      <c r="H157" s="85"/>
      <c r="I157" s="85" t="e">
        <f t="shared" si="5"/>
        <v>#REF!</v>
      </c>
      <c r="J157" s="68"/>
      <c r="K157" s="68"/>
    </row>
    <row r="158" spans="1:11" x14ac:dyDescent="0.2">
      <c r="A158" s="63"/>
      <c r="B158" s="1"/>
      <c r="C158" s="62"/>
      <c r="D158" s="62">
        <v>4</v>
      </c>
      <c r="E158" s="62" t="s">
        <v>645</v>
      </c>
      <c r="F158" s="62"/>
      <c r="G158" s="85"/>
      <c r="H158" s="85"/>
      <c r="I158" s="85">
        <f t="shared" si="5"/>
        <v>0</v>
      </c>
      <c r="J158" s="68"/>
      <c r="K158" s="68"/>
    </row>
    <row r="159" spans="1:11" x14ac:dyDescent="0.2">
      <c r="A159" s="63"/>
      <c r="B159" s="1"/>
      <c r="C159" s="62"/>
      <c r="D159" s="62">
        <v>5</v>
      </c>
      <c r="E159" s="62" t="s">
        <v>641</v>
      </c>
      <c r="F159" s="62"/>
      <c r="G159" s="85"/>
      <c r="H159" s="85"/>
      <c r="I159" s="85">
        <f t="shared" si="5"/>
        <v>0</v>
      </c>
      <c r="J159" s="68"/>
      <c r="K159" s="68"/>
    </row>
    <row r="160" spans="1:11" x14ac:dyDescent="0.2">
      <c r="A160" s="63"/>
      <c r="B160" s="1"/>
      <c r="C160" s="62"/>
      <c r="D160" s="62"/>
      <c r="E160" s="62"/>
      <c r="F160" s="62"/>
      <c r="G160" s="85"/>
      <c r="H160" s="85"/>
      <c r="I160" s="85">
        <f t="shared" si="5"/>
        <v>0</v>
      </c>
      <c r="J160" s="68"/>
      <c r="K160" s="68"/>
    </row>
    <row r="161" spans="1:11" x14ac:dyDescent="0.2">
      <c r="A161" s="63"/>
      <c r="B161" s="1"/>
      <c r="C161" s="65"/>
      <c r="D161" s="65" t="s">
        <v>16</v>
      </c>
      <c r="E161" s="65"/>
      <c r="F161" s="62"/>
      <c r="G161" s="86">
        <f>SUM(G155:G159)</f>
        <v>0</v>
      </c>
      <c r="H161" s="85"/>
      <c r="I161" s="86" t="e">
        <f>SUM(I155:I159)</f>
        <v>#REF!</v>
      </c>
      <c r="J161" s="68"/>
      <c r="K161" s="68"/>
    </row>
    <row r="162" spans="1:11" x14ac:dyDescent="0.2">
      <c r="A162" s="63"/>
      <c r="B162" s="1"/>
      <c r="C162" s="65"/>
      <c r="D162" s="65"/>
      <c r="E162" s="65"/>
      <c r="F162" s="62"/>
      <c r="G162" s="73"/>
      <c r="H162" s="85"/>
      <c r="I162" s="73"/>
      <c r="J162" s="68"/>
      <c r="K162" s="68"/>
    </row>
    <row r="163" spans="1:11" x14ac:dyDescent="0.2">
      <c r="A163" s="63"/>
      <c r="B163" s="1"/>
      <c r="C163" s="65" t="s">
        <v>642</v>
      </c>
      <c r="D163" s="62"/>
      <c r="E163" s="62"/>
      <c r="F163" s="62"/>
      <c r="G163" s="85"/>
      <c r="H163" s="85"/>
      <c r="I163" s="85"/>
      <c r="J163" s="68"/>
      <c r="K163" s="68"/>
    </row>
    <row r="164" spans="1:11" x14ac:dyDescent="0.2">
      <c r="A164" s="63"/>
      <c r="B164" s="1"/>
      <c r="C164" s="62"/>
      <c r="D164" s="62">
        <v>1</v>
      </c>
      <c r="E164" s="87" t="s">
        <v>190</v>
      </c>
      <c r="F164" s="62"/>
      <c r="G164" s="85"/>
      <c r="H164" s="85"/>
      <c r="I164" s="85">
        <f>G164+I93</f>
        <v>0</v>
      </c>
      <c r="J164" s="68"/>
      <c r="K164" s="68"/>
    </row>
    <row r="165" spans="1:11" x14ac:dyDescent="0.2">
      <c r="A165" s="63"/>
      <c r="B165" s="1"/>
      <c r="C165" s="62"/>
      <c r="D165" s="62">
        <v>2</v>
      </c>
      <c r="E165" s="87" t="s">
        <v>191</v>
      </c>
      <c r="F165" s="62"/>
      <c r="G165" s="85"/>
      <c r="H165" s="85"/>
      <c r="I165" s="85">
        <f t="shared" ref="I165:I170" si="6">G165+I94</f>
        <v>0</v>
      </c>
      <c r="J165" s="68"/>
      <c r="K165" s="68"/>
    </row>
    <row r="166" spans="1:11" x14ac:dyDescent="0.2">
      <c r="A166" s="63"/>
      <c r="B166" s="1"/>
      <c r="C166" s="62"/>
      <c r="D166" s="62">
        <v>3</v>
      </c>
      <c r="E166" s="87" t="s">
        <v>643</v>
      </c>
      <c r="F166" s="67"/>
      <c r="G166" s="85"/>
      <c r="H166" s="85"/>
      <c r="I166" s="85">
        <f t="shared" si="6"/>
        <v>1200000</v>
      </c>
      <c r="J166" s="68"/>
      <c r="K166" s="68"/>
    </row>
    <row r="167" spans="1:11" x14ac:dyDescent="0.2">
      <c r="A167" s="63"/>
      <c r="B167" s="1"/>
      <c r="C167" s="62"/>
      <c r="D167" s="62">
        <v>4</v>
      </c>
      <c r="E167" s="87" t="s">
        <v>644</v>
      </c>
      <c r="F167" s="62"/>
      <c r="G167" s="85"/>
      <c r="H167" s="85"/>
      <c r="I167" s="85">
        <f t="shared" si="6"/>
        <v>0</v>
      </c>
      <c r="J167" s="68"/>
      <c r="K167" s="68"/>
    </row>
    <row r="168" spans="1:11" x14ac:dyDescent="0.2">
      <c r="A168" s="63"/>
      <c r="B168" s="1"/>
      <c r="C168" s="62"/>
      <c r="D168" s="62">
        <v>5</v>
      </c>
      <c r="E168" s="87" t="s">
        <v>632</v>
      </c>
      <c r="F168" s="67"/>
      <c r="G168" s="85"/>
      <c r="H168" s="85"/>
      <c r="I168" s="85">
        <f t="shared" si="6"/>
        <v>0</v>
      </c>
      <c r="J168" s="68"/>
      <c r="K168" s="68"/>
    </row>
    <row r="169" spans="1:11" x14ac:dyDescent="0.2">
      <c r="A169" s="63"/>
      <c r="B169" s="1"/>
      <c r="C169" s="62"/>
      <c r="D169" s="62">
        <v>6</v>
      </c>
      <c r="E169" s="87" t="s">
        <v>646</v>
      </c>
      <c r="F169" s="67"/>
      <c r="G169" s="85"/>
      <c r="H169" s="85"/>
      <c r="I169" s="85">
        <f t="shared" si="6"/>
        <v>0</v>
      </c>
      <c r="J169" s="68"/>
      <c r="K169" s="68"/>
    </row>
    <row r="170" spans="1:11" x14ac:dyDescent="0.2">
      <c r="A170" s="63"/>
      <c r="B170" s="1"/>
      <c r="C170" s="62"/>
      <c r="D170" s="62">
        <v>7</v>
      </c>
      <c r="E170" s="87" t="s">
        <v>647</v>
      </c>
      <c r="F170" s="67"/>
      <c r="G170" s="85"/>
      <c r="H170" s="85"/>
      <c r="I170" s="85">
        <f t="shared" si="6"/>
        <v>0</v>
      </c>
      <c r="J170" s="68"/>
      <c r="K170" s="68"/>
    </row>
    <row r="171" spans="1:11" x14ac:dyDescent="0.2">
      <c r="A171" s="63"/>
      <c r="B171" s="67"/>
      <c r="C171" s="65"/>
      <c r="D171" s="62"/>
      <c r="E171" s="87"/>
      <c r="F171" s="62"/>
      <c r="G171" s="85"/>
      <c r="H171" s="85"/>
      <c r="I171" s="85"/>
      <c r="J171" s="68"/>
      <c r="K171" s="68"/>
    </row>
    <row r="172" spans="1:11" x14ac:dyDescent="0.2">
      <c r="A172" s="63"/>
      <c r="B172" s="1"/>
      <c r="C172" s="62"/>
      <c r="D172" s="65" t="s">
        <v>17</v>
      </c>
      <c r="E172" s="64"/>
      <c r="F172" s="88"/>
      <c r="G172" s="86">
        <f>SUM(G164:G171)</f>
        <v>0</v>
      </c>
      <c r="H172" s="85"/>
      <c r="I172" s="86">
        <f>SUM(I164:I171)</f>
        <v>1200000</v>
      </c>
      <c r="J172" s="68"/>
      <c r="K172" s="68"/>
    </row>
    <row r="173" spans="1:11" x14ac:dyDescent="0.2">
      <c r="A173" s="63"/>
      <c r="B173" s="1"/>
      <c r="C173" s="62"/>
      <c r="D173" s="62"/>
      <c r="E173" s="62"/>
      <c r="F173" s="62"/>
      <c r="G173" s="85"/>
      <c r="H173" s="85"/>
      <c r="I173" s="85"/>
      <c r="J173" s="68"/>
      <c r="K173" s="68"/>
    </row>
    <row r="174" spans="1:11" x14ac:dyDescent="0.2">
      <c r="A174" s="63"/>
      <c r="B174" s="1"/>
      <c r="C174" s="65" t="s">
        <v>648</v>
      </c>
      <c r="D174" s="65"/>
      <c r="E174" s="65"/>
      <c r="F174" s="62"/>
      <c r="G174" s="304">
        <f>G161-G172</f>
        <v>0</v>
      </c>
      <c r="H174" s="85"/>
      <c r="I174" s="304" t="e">
        <f>I161-I172</f>
        <v>#REF!</v>
      </c>
      <c r="K174" s="68"/>
    </row>
    <row r="175" spans="1:11" x14ac:dyDescent="0.2">
      <c r="A175" s="63"/>
      <c r="B175" s="1"/>
      <c r="C175" s="62"/>
      <c r="D175" s="62"/>
      <c r="E175" s="62"/>
      <c r="F175" s="62"/>
      <c r="G175" s="85"/>
      <c r="H175" s="85"/>
      <c r="I175" s="85"/>
      <c r="J175" s="68"/>
      <c r="K175" s="68"/>
    </row>
    <row r="176" spans="1:11" x14ac:dyDescent="0.2">
      <c r="A176" s="63"/>
      <c r="B176" s="84" t="s">
        <v>650</v>
      </c>
      <c r="C176" s="84" t="s">
        <v>651</v>
      </c>
      <c r="D176" s="74"/>
      <c r="E176" s="67"/>
      <c r="F176" s="67"/>
      <c r="G176" s="85"/>
      <c r="H176" s="85"/>
      <c r="I176" s="85"/>
      <c r="J176" s="68"/>
      <c r="K176" s="68"/>
    </row>
    <row r="177" spans="1:11" x14ac:dyDescent="0.2">
      <c r="A177" s="63"/>
      <c r="B177" s="67"/>
      <c r="C177" s="65"/>
      <c r="D177" s="62" t="s">
        <v>652</v>
      </c>
      <c r="E177" s="62"/>
      <c r="F177" s="62"/>
      <c r="G177" s="85" t="e">
        <f>#REF!</f>
        <v>#REF!</v>
      </c>
      <c r="H177" s="85"/>
      <c r="I177" s="85" t="e">
        <f>G177+I106</f>
        <v>#REF!</v>
      </c>
      <c r="J177" s="68"/>
      <c r="K177" s="68"/>
    </row>
    <row r="178" spans="1:11" x14ac:dyDescent="0.2">
      <c r="A178" s="63"/>
      <c r="B178" s="1"/>
      <c r="C178" s="65" t="s">
        <v>653</v>
      </c>
      <c r="D178" s="74"/>
      <c r="E178" s="74"/>
      <c r="F178" s="74"/>
      <c r="G178" s="86" t="e">
        <f>SUM(G177)</f>
        <v>#REF!</v>
      </c>
      <c r="H178" s="73"/>
      <c r="I178" s="86" t="e">
        <f>SUM(I177)</f>
        <v>#REF!</v>
      </c>
      <c r="J178" s="68"/>
      <c r="K178" s="68"/>
    </row>
    <row r="179" spans="1:11" x14ac:dyDescent="0.2">
      <c r="A179" s="63"/>
      <c r="B179" s="1"/>
      <c r="C179" s="449"/>
      <c r="D179" s="449"/>
      <c r="E179" s="449"/>
      <c r="F179" s="62"/>
      <c r="G179" s="264"/>
      <c r="H179" s="89"/>
      <c r="I179" s="264"/>
      <c r="J179" s="68"/>
      <c r="K179" s="68"/>
    </row>
    <row r="180" spans="1:11" x14ac:dyDescent="0.2">
      <c r="A180" s="63"/>
      <c r="B180" s="84" t="s">
        <v>654</v>
      </c>
      <c r="C180" s="84" t="s">
        <v>655</v>
      </c>
      <c r="D180" s="62"/>
      <c r="E180" s="62"/>
      <c r="F180" s="62"/>
      <c r="G180" s="89"/>
      <c r="H180" s="89"/>
      <c r="I180" s="89"/>
      <c r="J180" s="68"/>
      <c r="K180" s="68"/>
    </row>
    <row r="181" spans="1:11" x14ac:dyDescent="0.2">
      <c r="A181" s="63"/>
      <c r="B181" s="80"/>
      <c r="C181" s="80"/>
      <c r="D181" s="62" t="s">
        <v>656</v>
      </c>
      <c r="E181" s="80"/>
      <c r="F181" s="67"/>
      <c r="G181" s="264"/>
      <c r="H181" s="89"/>
      <c r="I181" s="85">
        <f>G181+I110</f>
        <v>0</v>
      </c>
      <c r="J181" s="68"/>
      <c r="K181" s="68"/>
    </row>
    <row r="182" spans="1:11" x14ac:dyDescent="0.2">
      <c r="A182" s="63"/>
      <c r="B182" s="84"/>
      <c r="C182" s="62"/>
      <c r="D182" s="62" t="s">
        <v>657</v>
      </c>
      <c r="E182" s="62"/>
      <c r="F182" s="62"/>
      <c r="G182" s="85"/>
      <c r="H182" s="85"/>
      <c r="I182" s="85">
        <f t="shared" ref="I182:I184" si="7">G182+I111</f>
        <v>0</v>
      </c>
      <c r="J182" s="68"/>
      <c r="K182" s="68"/>
    </row>
    <row r="183" spans="1:11" x14ac:dyDescent="0.2">
      <c r="A183" s="63"/>
      <c r="B183" s="1"/>
      <c r="C183" s="62"/>
      <c r="D183" s="74" t="s">
        <v>658</v>
      </c>
      <c r="E183" s="67"/>
      <c r="F183" s="67"/>
      <c r="G183" s="85"/>
      <c r="H183" s="85"/>
      <c r="I183" s="85">
        <f t="shared" si="7"/>
        <v>0</v>
      </c>
      <c r="J183" s="68"/>
      <c r="K183" s="68"/>
    </row>
    <row r="184" spans="1:11" x14ac:dyDescent="0.2">
      <c r="A184" s="63"/>
      <c r="B184" s="67"/>
      <c r="C184" s="65"/>
      <c r="D184" s="62" t="s">
        <v>659</v>
      </c>
      <c r="E184" s="62"/>
      <c r="F184" s="62"/>
      <c r="G184" s="377"/>
      <c r="H184" s="85"/>
      <c r="I184" s="85">
        <f t="shared" si="7"/>
        <v>0</v>
      </c>
      <c r="J184" s="68"/>
      <c r="K184" s="68"/>
    </row>
    <row r="185" spans="1:11" x14ac:dyDescent="0.2">
      <c r="A185" s="63"/>
      <c r="B185" s="1"/>
      <c r="C185" s="65" t="s">
        <v>660</v>
      </c>
      <c r="D185" s="74"/>
      <c r="E185" s="74"/>
      <c r="F185" s="74"/>
      <c r="G185" s="379">
        <f>SUM(G181:G184)</f>
        <v>0</v>
      </c>
      <c r="H185" s="85"/>
      <c r="I185" s="379">
        <f>SUM(I181:I184)</f>
        <v>0</v>
      </c>
      <c r="J185" s="68"/>
      <c r="K185" s="68"/>
    </row>
    <row r="186" spans="1:11" x14ac:dyDescent="0.2">
      <c r="A186" s="63"/>
      <c r="B186" s="1"/>
      <c r="C186" s="62"/>
      <c r="D186" s="62"/>
      <c r="E186" s="62"/>
      <c r="F186" s="62"/>
      <c r="G186" s="377"/>
      <c r="H186" s="85"/>
      <c r="I186" s="85"/>
      <c r="J186" s="68"/>
      <c r="K186" s="68"/>
    </row>
    <row r="187" spans="1:11" x14ac:dyDescent="0.2">
      <c r="A187" s="63"/>
      <c r="B187" s="84" t="s">
        <v>661</v>
      </c>
      <c r="C187" s="84" t="s">
        <v>662</v>
      </c>
      <c r="D187" s="66"/>
      <c r="E187" s="66"/>
      <c r="F187" s="62"/>
      <c r="G187" s="73" t="e">
        <f>G174-G178+G185</f>
        <v>#REF!</v>
      </c>
      <c r="H187" s="85"/>
      <c r="I187" s="73" t="e">
        <f>I174-I178+I185</f>
        <v>#REF!</v>
      </c>
      <c r="J187" s="68"/>
      <c r="K187" s="68"/>
    </row>
    <row r="188" spans="1:11" x14ac:dyDescent="0.2">
      <c r="A188" s="63"/>
      <c r="B188" s="1"/>
      <c r="C188" s="62"/>
      <c r="D188" s="62"/>
      <c r="E188" s="62"/>
      <c r="F188" s="62"/>
      <c r="G188" s="85"/>
      <c r="H188" s="85"/>
      <c r="I188" s="85"/>
      <c r="J188" s="68"/>
      <c r="K188" s="68"/>
    </row>
    <row r="189" spans="1:11" x14ac:dyDescent="0.2">
      <c r="A189" s="63"/>
      <c r="B189" s="84" t="s">
        <v>663</v>
      </c>
      <c r="C189" s="84" t="s">
        <v>664</v>
      </c>
      <c r="D189" s="66"/>
      <c r="E189" s="62"/>
      <c r="F189" s="62"/>
      <c r="G189" s="73" t="e">
        <f>G120</f>
        <v>#REF!</v>
      </c>
      <c r="H189" s="73"/>
      <c r="I189" s="73">
        <v>1312251855.8000002</v>
      </c>
      <c r="J189" s="68"/>
      <c r="K189" s="68"/>
    </row>
    <row r="190" spans="1:11" x14ac:dyDescent="0.2">
      <c r="A190" s="63"/>
      <c r="B190" s="1"/>
      <c r="C190" s="62"/>
      <c r="D190" s="62"/>
      <c r="E190" s="62"/>
      <c r="F190" s="62"/>
      <c r="G190" s="73"/>
      <c r="H190" s="73"/>
      <c r="I190" s="73"/>
      <c r="J190" s="68"/>
      <c r="K190" s="68"/>
    </row>
    <row r="191" spans="1:11" x14ac:dyDescent="0.2">
      <c r="A191" s="63"/>
      <c r="B191" s="67" t="s">
        <v>665</v>
      </c>
      <c r="C191" s="65" t="s">
        <v>664</v>
      </c>
      <c r="D191" s="62"/>
      <c r="E191" s="62"/>
      <c r="F191" s="62"/>
      <c r="G191" s="73" t="e">
        <f>G187+G189</f>
        <v>#REF!</v>
      </c>
      <c r="H191" s="73"/>
      <c r="I191" s="73" t="e">
        <f>I187+I189</f>
        <v>#REF!</v>
      </c>
      <c r="J191" s="68"/>
      <c r="K191" s="68"/>
    </row>
    <row r="192" spans="1:11" x14ac:dyDescent="0.2">
      <c r="A192" s="61"/>
      <c r="B192" s="60"/>
      <c r="C192" s="60"/>
      <c r="D192" s="60"/>
      <c r="E192" s="60"/>
      <c r="F192" s="60"/>
      <c r="G192" s="91"/>
      <c r="H192" s="91"/>
      <c r="I192" s="91"/>
      <c r="J192" s="378"/>
      <c r="K192" s="378"/>
    </row>
    <row r="193" spans="1:11" x14ac:dyDescent="0.2">
      <c r="A193" s="459"/>
      <c r="B193" s="459"/>
      <c r="C193" s="459"/>
      <c r="D193" s="459"/>
      <c r="E193" s="459"/>
      <c r="F193" s="62"/>
      <c r="G193" s="92" t="e">
        <f>#REF!</f>
        <v>#REF!</v>
      </c>
      <c r="H193" s="92"/>
      <c r="I193" s="92"/>
    </row>
    <row r="194" spans="1:11" x14ac:dyDescent="0.2">
      <c r="A194" s="447" t="s">
        <v>413</v>
      </c>
      <c r="B194" s="447"/>
      <c r="C194" s="447"/>
      <c r="D194" s="447"/>
      <c r="E194" s="447"/>
      <c r="F194" s="447" t="s">
        <v>410</v>
      </c>
      <c r="G194" s="447"/>
      <c r="H194" s="447"/>
      <c r="I194" s="447"/>
      <c r="J194" s="447"/>
      <c r="K194" s="447"/>
    </row>
    <row r="195" spans="1:11" x14ac:dyDescent="0.2">
      <c r="A195" s="447" t="s">
        <v>480</v>
      </c>
      <c r="B195" s="447"/>
      <c r="C195" s="447"/>
      <c r="D195" s="447"/>
      <c r="E195" s="447"/>
      <c r="F195" s="447" t="s">
        <v>481</v>
      </c>
      <c r="G195" s="447"/>
      <c r="H195" s="447"/>
      <c r="I195" s="447"/>
      <c r="J195" s="447"/>
      <c r="K195" s="447"/>
    </row>
    <row r="196" spans="1:11" x14ac:dyDescent="0.2">
      <c r="A196" s="447"/>
      <c r="B196" s="447"/>
      <c r="C196" s="447"/>
      <c r="D196" s="447"/>
      <c r="E196" s="447"/>
      <c r="F196" s="447"/>
      <c r="G196" s="447"/>
      <c r="H196" s="447"/>
      <c r="I196" s="447"/>
      <c r="J196" s="447"/>
      <c r="K196" s="447"/>
    </row>
    <row r="197" spans="1:11" x14ac:dyDescent="0.2">
      <c r="A197" s="447"/>
      <c r="B197" s="447"/>
      <c r="C197" s="447"/>
      <c r="D197" s="447"/>
      <c r="E197" s="447"/>
      <c r="F197" s="447"/>
      <c r="G197" s="447"/>
      <c r="H197" s="447"/>
      <c r="I197" s="447"/>
      <c r="J197" s="447"/>
      <c r="K197" s="447"/>
    </row>
    <row r="198" spans="1:11" x14ac:dyDescent="0.2">
      <c r="A198" s="447" t="s">
        <v>463</v>
      </c>
      <c r="B198" s="447"/>
      <c r="C198" s="447"/>
      <c r="D198" s="447"/>
      <c r="E198" s="447"/>
      <c r="F198" s="447" t="s">
        <v>411</v>
      </c>
      <c r="G198" s="447"/>
      <c r="H198" s="447"/>
      <c r="I198" s="447"/>
      <c r="J198" s="447"/>
      <c r="K198" s="447"/>
    </row>
    <row r="199" spans="1:11" x14ac:dyDescent="0.2">
      <c r="A199" s="447"/>
      <c r="B199" s="447"/>
      <c r="C199" s="447"/>
      <c r="D199" s="447"/>
      <c r="E199" s="447"/>
      <c r="F199" s="447"/>
      <c r="G199" s="447"/>
      <c r="H199" s="447"/>
      <c r="I199" s="447"/>
      <c r="J199" s="447"/>
      <c r="K199" s="447"/>
    </row>
    <row r="200" spans="1:11" x14ac:dyDescent="0.2">
      <c r="A200" s="447"/>
      <c r="B200" s="447"/>
      <c r="C200" s="447"/>
      <c r="D200" s="447"/>
      <c r="E200" s="447"/>
      <c r="F200" s="447"/>
      <c r="G200" s="447"/>
      <c r="H200" s="447"/>
      <c r="I200" s="447"/>
      <c r="J200" s="447"/>
      <c r="K200" s="447"/>
    </row>
    <row r="201" spans="1:11" x14ac:dyDescent="0.2">
      <c r="A201" s="447"/>
      <c r="B201" s="447"/>
      <c r="C201" s="447"/>
      <c r="D201" s="447"/>
      <c r="E201" s="447"/>
      <c r="F201" s="447"/>
      <c r="G201" s="447"/>
      <c r="H201" s="447"/>
      <c r="I201" s="447"/>
      <c r="J201" s="447"/>
      <c r="K201" s="447"/>
    </row>
    <row r="202" spans="1:11" x14ac:dyDescent="0.2">
      <c r="A202" s="447"/>
      <c r="B202" s="447"/>
      <c r="C202" s="447"/>
      <c r="D202" s="447"/>
      <c r="E202" s="447"/>
      <c r="F202" s="447"/>
      <c r="G202" s="447"/>
      <c r="H202" s="447"/>
      <c r="I202" s="447"/>
      <c r="J202" s="447"/>
      <c r="K202" s="447"/>
    </row>
    <row r="216" spans="1:11" x14ac:dyDescent="0.2">
      <c r="A216" s="450" t="s">
        <v>633</v>
      </c>
      <c r="B216" s="450"/>
      <c r="C216" s="374" t="s">
        <v>634</v>
      </c>
      <c r="D216" s="62"/>
      <c r="E216" s="62"/>
      <c r="F216" s="62"/>
    </row>
    <row r="217" spans="1:11" x14ac:dyDescent="0.2">
      <c r="B217" s="62"/>
      <c r="C217" s="62"/>
      <c r="D217" s="62"/>
      <c r="E217" s="62"/>
      <c r="F217" s="62"/>
    </row>
    <row r="218" spans="1:11" ht="15" x14ac:dyDescent="0.25">
      <c r="A218" s="69"/>
      <c r="B218" s="452"/>
      <c r="C218" s="452"/>
      <c r="D218" s="452"/>
      <c r="E218" s="452"/>
      <c r="F218" s="452"/>
      <c r="G218" s="452"/>
      <c r="H218" s="452"/>
      <c r="I218" s="452"/>
      <c r="J218" s="375"/>
      <c r="K218" s="375"/>
    </row>
    <row r="219" spans="1:11" ht="15" x14ac:dyDescent="0.25">
      <c r="A219" s="63"/>
      <c r="B219" s="448" t="s">
        <v>462</v>
      </c>
      <c r="C219" s="448"/>
      <c r="D219" s="448"/>
      <c r="E219" s="448"/>
      <c r="F219" s="448"/>
      <c r="G219" s="448"/>
      <c r="H219" s="448"/>
      <c r="I219" s="448"/>
      <c r="J219" s="68"/>
      <c r="K219" s="68"/>
    </row>
    <row r="220" spans="1:11" ht="15" x14ac:dyDescent="0.25">
      <c r="A220" s="63"/>
      <c r="B220" s="448" t="s">
        <v>15</v>
      </c>
      <c r="C220" s="448"/>
      <c r="D220" s="448"/>
      <c r="E220" s="448"/>
      <c r="F220" s="448"/>
      <c r="G220" s="448"/>
      <c r="H220" s="448"/>
      <c r="I220" s="448"/>
      <c r="J220" s="68"/>
      <c r="K220" s="68"/>
    </row>
    <row r="221" spans="1:11" ht="15" x14ac:dyDescent="0.25">
      <c r="A221" s="63"/>
      <c r="B221" s="451" t="s">
        <v>667</v>
      </c>
      <c r="C221" s="451"/>
      <c r="D221" s="451"/>
      <c r="E221" s="451"/>
      <c r="F221" s="451"/>
      <c r="G221" s="451"/>
      <c r="H221" s="451"/>
      <c r="I221" s="451"/>
      <c r="J221" s="68"/>
      <c r="K221" s="68"/>
    </row>
    <row r="222" spans="1:11" x14ac:dyDescent="0.2">
      <c r="A222" s="63"/>
      <c r="B222" s="62"/>
      <c r="C222" s="62"/>
      <c r="D222" s="62"/>
      <c r="E222" s="62"/>
      <c r="F222" s="62"/>
      <c r="J222" s="68"/>
      <c r="K222" s="68"/>
    </row>
    <row r="223" spans="1:11" x14ac:dyDescent="0.2">
      <c r="A223" s="63"/>
      <c r="B223" s="453" t="s">
        <v>10</v>
      </c>
      <c r="C223" s="454"/>
      <c r="D223" s="454"/>
      <c r="E223" s="455"/>
      <c r="F223" s="64"/>
      <c r="G223" s="82" t="s">
        <v>12</v>
      </c>
      <c r="H223" s="64"/>
      <c r="I223" s="82" t="s">
        <v>13</v>
      </c>
      <c r="J223" s="68"/>
      <c r="K223" s="68"/>
    </row>
    <row r="224" spans="1:11" x14ac:dyDescent="0.2">
      <c r="A224" s="63"/>
      <c r="B224" s="456"/>
      <c r="C224" s="457"/>
      <c r="D224" s="457"/>
      <c r="E224" s="458"/>
      <c r="F224" s="64"/>
      <c r="G224" s="83" t="s">
        <v>14</v>
      </c>
      <c r="H224" s="64"/>
      <c r="I224" s="83" t="s">
        <v>14</v>
      </c>
      <c r="J224" s="68"/>
      <c r="K224" s="68"/>
    </row>
    <row r="225" spans="1:11" x14ac:dyDescent="0.2">
      <c r="A225" s="63"/>
      <c r="B225" s="84" t="s">
        <v>636</v>
      </c>
      <c r="C225" s="84" t="s">
        <v>649</v>
      </c>
      <c r="D225" s="84"/>
      <c r="E225" s="62"/>
      <c r="F225" s="62"/>
      <c r="G225" s="85"/>
      <c r="H225" s="85"/>
      <c r="I225" s="85"/>
      <c r="J225" s="68"/>
      <c r="K225" s="68"/>
    </row>
    <row r="226" spans="1:11" x14ac:dyDescent="0.2">
      <c r="A226" s="63"/>
      <c r="B226" s="1"/>
      <c r="C226" s="65" t="s">
        <v>637</v>
      </c>
      <c r="D226" s="62"/>
      <c r="E226" s="62"/>
      <c r="F226" s="62"/>
      <c r="G226" s="85"/>
      <c r="H226" s="85"/>
      <c r="I226" s="85"/>
      <c r="J226" s="68"/>
      <c r="K226" s="68"/>
    </row>
    <row r="227" spans="1:11" x14ac:dyDescent="0.2">
      <c r="A227" s="63"/>
      <c r="B227" s="1"/>
      <c r="C227" s="62"/>
      <c r="D227" s="62">
        <v>1</v>
      </c>
      <c r="E227" s="62" t="s">
        <v>638</v>
      </c>
      <c r="F227" s="62"/>
      <c r="G227" s="85"/>
      <c r="H227" s="85"/>
      <c r="I227" s="85" t="e">
        <f>G227+I155</f>
        <v>#REF!</v>
      </c>
      <c r="J227" s="68"/>
      <c r="K227" s="68"/>
    </row>
    <row r="228" spans="1:11" x14ac:dyDescent="0.2">
      <c r="A228" s="63"/>
      <c r="B228" s="1"/>
      <c r="C228" s="62"/>
      <c r="D228" s="62">
        <v>2</v>
      </c>
      <c r="E228" s="62" t="s">
        <v>639</v>
      </c>
      <c r="F228" s="62"/>
      <c r="G228" s="85"/>
      <c r="H228" s="85"/>
      <c r="I228" s="85" t="e">
        <f t="shared" ref="I228:I231" si="8">G228+I156</f>
        <v>#REF!</v>
      </c>
      <c r="J228" s="68"/>
      <c r="K228" s="68"/>
    </row>
    <row r="229" spans="1:11" x14ac:dyDescent="0.2">
      <c r="A229" s="63"/>
      <c r="B229" s="1"/>
      <c r="C229" s="62"/>
      <c r="D229" s="62">
        <v>3</v>
      </c>
      <c r="E229" s="62" t="s">
        <v>640</v>
      </c>
      <c r="F229" s="62"/>
      <c r="G229" s="85"/>
      <c r="H229" s="85"/>
      <c r="I229" s="85" t="e">
        <f t="shared" si="8"/>
        <v>#REF!</v>
      </c>
      <c r="J229" s="68"/>
      <c r="K229" s="68"/>
    </row>
    <row r="230" spans="1:11" x14ac:dyDescent="0.2">
      <c r="A230" s="63"/>
      <c r="B230" s="1"/>
      <c r="C230" s="62"/>
      <c r="D230" s="62">
        <v>4</v>
      </c>
      <c r="E230" s="62" t="s">
        <v>645</v>
      </c>
      <c r="F230" s="62"/>
      <c r="G230" s="85"/>
      <c r="H230" s="85"/>
      <c r="I230" s="85">
        <f t="shared" si="8"/>
        <v>0</v>
      </c>
      <c r="J230" s="68"/>
      <c r="K230" s="68"/>
    </row>
    <row r="231" spans="1:11" x14ac:dyDescent="0.2">
      <c r="A231" s="63"/>
      <c r="B231" s="1"/>
      <c r="C231" s="62"/>
      <c r="D231" s="62">
        <v>5</v>
      </c>
      <c r="E231" s="62" t="s">
        <v>641</v>
      </c>
      <c r="F231" s="62"/>
      <c r="G231" s="85"/>
      <c r="H231" s="85"/>
      <c r="I231" s="85">
        <f t="shared" si="8"/>
        <v>0</v>
      </c>
      <c r="J231" s="68"/>
      <c r="K231" s="68"/>
    </row>
    <row r="232" spans="1:11" x14ac:dyDescent="0.2">
      <c r="A232" s="63"/>
      <c r="B232" s="1"/>
      <c r="C232" s="62"/>
      <c r="D232" s="62"/>
      <c r="E232" s="62"/>
      <c r="F232" s="62"/>
      <c r="G232" s="85"/>
      <c r="H232" s="85"/>
      <c r="I232" s="85"/>
      <c r="J232" s="68"/>
      <c r="K232" s="68"/>
    </row>
    <row r="233" spans="1:11" x14ac:dyDescent="0.2">
      <c r="A233" s="63"/>
      <c r="B233" s="1"/>
      <c r="C233" s="65"/>
      <c r="D233" s="65" t="s">
        <v>16</v>
      </c>
      <c r="E233" s="65"/>
      <c r="F233" s="62"/>
      <c r="G233" s="86">
        <f>SUM(G227:G231)</f>
        <v>0</v>
      </c>
      <c r="H233" s="85"/>
      <c r="I233" s="86" t="e">
        <f>SUM(I227:I231)</f>
        <v>#REF!</v>
      </c>
      <c r="J233" s="68"/>
      <c r="K233" s="68"/>
    </row>
    <row r="234" spans="1:11" x14ac:dyDescent="0.2">
      <c r="A234" s="63"/>
      <c r="B234" s="1"/>
      <c r="C234" s="65"/>
      <c r="D234" s="65"/>
      <c r="E234" s="65"/>
      <c r="F234" s="62"/>
      <c r="G234" s="73"/>
      <c r="H234" s="85"/>
      <c r="I234" s="73"/>
      <c r="J234" s="68"/>
      <c r="K234" s="68"/>
    </row>
    <row r="235" spans="1:11" x14ac:dyDescent="0.2">
      <c r="A235" s="63"/>
      <c r="B235" s="1"/>
      <c r="C235" s="65" t="s">
        <v>642</v>
      </c>
      <c r="D235" s="62"/>
      <c r="E235" s="62"/>
      <c r="F235" s="62"/>
      <c r="G235" s="85"/>
      <c r="H235" s="85"/>
      <c r="I235" s="85"/>
      <c r="J235" s="68"/>
      <c r="K235" s="68"/>
    </row>
    <row r="236" spans="1:11" x14ac:dyDescent="0.2">
      <c r="A236" s="63"/>
      <c r="B236" s="1"/>
      <c r="C236" s="62"/>
      <c r="D236" s="62">
        <v>1</v>
      </c>
      <c r="E236" s="87" t="s">
        <v>190</v>
      </c>
      <c r="F236" s="62"/>
      <c r="G236" s="85"/>
      <c r="H236" s="85"/>
      <c r="I236" s="85">
        <f>G236+I164</f>
        <v>0</v>
      </c>
      <c r="J236" s="68"/>
      <c r="K236" s="68"/>
    </row>
    <row r="237" spans="1:11" x14ac:dyDescent="0.2">
      <c r="A237" s="63"/>
      <c r="B237" s="1"/>
      <c r="C237" s="62"/>
      <c r="D237" s="62">
        <v>2</v>
      </c>
      <c r="E237" s="87" t="s">
        <v>191</v>
      </c>
      <c r="F237" s="62"/>
      <c r="G237" s="85"/>
      <c r="H237" s="85"/>
      <c r="I237" s="85">
        <f t="shared" ref="I237:I242" si="9">G237+I165</f>
        <v>0</v>
      </c>
      <c r="J237" s="68"/>
      <c r="K237" s="68"/>
    </row>
    <row r="238" spans="1:11" x14ac:dyDescent="0.2">
      <c r="A238" s="63"/>
      <c r="B238" s="1"/>
      <c r="C238" s="62"/>
      <c r="D238" s="62">
        <v>3</v>
      </c>
      <c r="E238" s="87" t="s">
        <v>643</v>
      </c>
      <c r="F238" s="67"/>
      <c r="G238" s="85"/>
      <c r="H238" s="85"/>
      <c r="I238" s="85">
        <f t="shared" si="9"/>
        <v>1200000</v>
      </c>
      <c r="J238" s="68"/>
      <c r="K238" s="68"/>
    </row>
    <row r="239" spans="1:11" x14ac:dyDescent="0.2">
      <c r="A239" s="63"/>
      <c r="B239" s="1"/>
      <c r="C239" s="62"/>
      <c r="D239" s="62">
        <v>4</v>
      </c>
      <c r="E239" s="87" t="s">
        <v>644</v>
      </c>
      <c r="F239" s="62"/>
      <c r="G239" s="85"/>
      <c r="H239" s="85"/>
      <c r="I239" s="85">
        <f t="shared" si="9"/>
        <v>0</v>
      </c>
      <c r="J239" s="68"/>
      <c r="K239" s="68"/>
    </row>
    <row r="240" spans="1:11" x14ac:dyDescent="0.2">
      <c r="A240" s="63"/>
      <c r="B240" s="1"/>
      <c r="C240" s="62"/>
      <c r="D240" s="62">
        <v>5</v>
      </c>
      <c r="E240" s="87" t="s">
        <v>632</v>
      </c>
      <c r="F240" s="67"/>
      <c r="G240" s="85"/>
      <c r="H240" s="85"/>
      <c r="I240" s="85">
        <f t="shared" si="9"/>
        <v>0</v>
      </c>
      <c r="J240" s="68"/>
      <c r="K240" s="68"/>
    </row>
    <row r="241" spans="1:11" x14ac:dyDescent="0.2">
      <c r="A241" s="63"/>
      <c r="B241" s="1"/>
      <c r="C241" s="62"/>
      <c r="D241" s="62">
        <v>6</v>
      </c>
      <c r="E241" s="87" t="s">
        <v>646</v>
      </c>
      <c r="F241" s="67"/>
      <c r="G241" s="85"/>
      <c r="H241" s="85"/>
      <c r="I241" s="85">
        <f t="shared" si="9"/>
        <v>0</v>
      </c>
      <c r="J241" s="68"/>
      <c r="K241" s="68"/>
    </row>
    <row r="242" spans="1:11" x14ac:dyDescent="0.2">
      <c r="A242" s="63"/>
      <c r="B242" s="1"/>
      <c r="C242" s="62"/>
      <c r="D242" s="62">
        <v>7</v>
      </c>
      <c r="E242" s="87" t="s">
        <v>647</v>
      </c>
      <c r="F242" s="67"/>
      <c r="G242" s="85"/>
      <c r="H242" s="85"/>
      <c r="I242" s="85">
        <f t="shared" si="9"/>
        <v>0</v>
      </c>
      <c r="J242" s="68"/>
      <c r="K242" s="68"/>
    </row>
    <row r="243" spans="1:11" x14ac:dyDescent="0.2">
      <c r="A243" s="63"/>
      <c r="B243" s="67"/>
      <c r="C243" s="65"/>
      <c r="D243" s="62"/>
      <c r="E243" s="87"/>
      <c r="F243" s="62"/>
      <c r="G243" s="85"/>
      <c r="H243" s="85"/>
      <c r="I243" s="85"/>
      <c r="J243" s="68"/>
      <c r="K243" s="68"/>
    </row>
    <row r="244" spans="1:11" x14ac:dyDescent="0.2">
      <c r="A244" s="63"/>
      <c r="B244" s="1"/>
      <c r="C244" s="62"/>
      <c r="D244" s="65" t="s">
        <v>17</v>
      </c>
      <c r="E244" s="64"/>
      <c r="F244" s="88"/>
      <c r="G244" s="86">
        <f>SUM(G236:G243)</f>
        <v>0</v>
      </c>
      <c r="H244" s="85"/>
      <c r="I244" s="86">
        <f>SUM(I236:I243)</f>
        <v>1200000</v>
      </c>
      <c r="J244" s="68"/>
      <c r="K244" s="68"/>
    </row>
    <row r="245" spans="1:11" x14ac:dyDescent="0.2">
      <c r="A245" s="63"/>
      <c r="B245" s="1"/>
      <c r="C245" s="62"/>
      <c r="D245" s="62"/>
      <c r="E245" s="62"/>
      <c r="F245" s="62"/>
      <c r="G245" s="85"/>
      <c r="H245" s="85"/>
      <c r="I245" s="85"/>
      <c r="J245" s="68"/>
      <c r="K245" s="68"/>
    </row>
    <row r="246" spans="1:11" x14ac:dyDescent="0.2">
      <c r="A246" s="63"/>
      <c r="B246" s="1"/>
      <c r="C246" s="65" t="s">
        <v>648</v>
      </c>
      <c r="D246" s="65"/>
      <c r="E246" s="65"/>
      <c r="F246" s="62"/>
      <c r="G246" s="304">
        <f>G233-G244</f>
        <v>0</v>
      </c>
      <c r="H246" s="85"/>
      <c r="I246" s="304" t="e">
        <f>I233-I244</f>
        <v>#REF!</v>
      </c>
      <c r="K246" s="68"/>
    </row>
    <row r="247" spans="1:11" x14ac:dyDescent="0.2">
      <c r="A247" s="63"/>
      <c r="B247" s="1"/>
      <c r="C247" s="62"/>
      <c r="D247" s="62"/>
      <c r="E247" s="62"/>
      <c r="F247" s="62"/>
      <c r="G247" s="85"/>
      <c r="H247" s="85"/>
      <c r="I247" s="85"/>
      <c r="J247" s="68"/>
      <c r="K247" s="68"/>
    </row>
    <row r="248" spans="1:11" x14ac:dyDescent="0.2">
      <c r="A248" s="63"/>
      <c r="B248" s="84" t="s">
        <v>650</v>
      </c>
      <c r="C248" s="84" t="s">
        <v>651</v>
      </c>
      <c r="D248" s="74"/>
      <c r="E248" s="67"/>
      <c r="F248" s="67"/>
      <c r="G248" s="85"/>
      <c r="H248" s="85"/>
      <c r="I248" s="85"/>
      <c r="J248" s="68"/>
      <c r="K248" s="68"/>
    </row>
    <row r="249" spans="1:11" x14ac:dyDescent="0.2">
      <c r="A249" s="63"/>
      <c r="B249" s="67"/>
      <c r="C249" s="65"/>
      <c r="D249" s="62" t="s">
        <v>652</v>
      </c>
      <c r="E249" s="62"/>
      <c r="F249" s="62"/>
      <c r="G249" s="85"/>
      <c r="H249" s="85"/>
      <c r="I249" s="85" t="e">
        <f>G249+I177</f>
        <v>#REF!</v>
      </c>
      <c r="J249" s="68"/>
      <c r="K249" s="68"/>
    </row>
    <row r="250" spans="1:11" x14ac:dyDescent="0.2">
      <c r="A250" s="63"/>
      <c r="B250" s="1"/>
      <c r="C250" s="65" t="s">
        <v>653</v>
      </c>
      <c r="D250" s="74"/>
      <c r="E250" s="74"/>
      <c r="F250" s="74"/>
      <c r="G250" s="86">
        <f>SUM(G249)</f>
        <v>0</v>
      </c>
      <c r="H250" s="73"/>
      <c r="I250" s="86" t="e">
        <f>SUM(I249)</f>
        <v>#REF!</v>
      </c>
      <c r="J250" s="68"/>
      <c r="K250" s="68"/>
    </row>
    <row r="251" spans="1:11" x14ac:dyDescent="0.2">
      <c r="A251" s="63"/>
      <c r="B251" s="1"/>
      <c r="C251" s="449"/>
      <c r="D251" s="449"/>
      <c r="E251" s="449"/>
      <c r="F251" s="62"/>
      <c r="G251" s="264"/>
      <c r="H251" s="89"/>
      <c r="I251" s="264"/>
      <c r="J251" s="68"/>
      <c r="K251" s="68"/>
    </row>
    <row r="252" spans="1:11" x14ac:dyDescent="0.2">
      <c r="A252" s="63"/>
      <c r="B252" s="84" t="s">
        <v>654</v>
      </c>
      <c r="C252" s="84" t="s">
        <v>655</v>
      </c>
      <c r="D252" s="62"/>
      <c r="E252" s="62"/>
      <c r="F252" s="62"/>
      <c r="G252" s="89"/>
      <c r="H252" s="89"/>
      <c r="I252" s="89"/>
      <c r="J252" s="68"/>
      <c r="K252" s="68"/>
    </row>
    <row r="253" spans="1:11" x14ac:dyDescent="0.2">
      <c r="A253" s="63"/>
      <c r="B253" s="80"/>
      <c r="C253" s="80"/>
      <c r="D253" s="62" t="s">
        <v>656</v>
      </c>
      <c r="E253" s="80"/>
      <c r="F253" s="67"/>
      <c r="G253" s="264"/>
      <c r="H253" s="89"/>
      <c r="I253" s="85">
        <f>G253+I182</f>
        <v>0</v>
      </c>
      <c r="J253" s="68"/>
      <c r="K253" s="68"/>
    </row>
    <row r="254" spans="1:11" x14ac:dyDescent="0.2">
      <c r="A254" s="63"/>
      <c r="B254" s="84"/>
      <c r="C254" s="62"/>
      <c r="D254" s="62" t="s">
        <v>657</v>
      </c>
      <c r="E254" s="62"/>
      <c r="F254" s="62"/>
      <c r="G254" s="85"/>
      <c r="H254" s="85"/>
      <c r="I254" s="85">
        <f t="shared" ref="I254:I256" si="10">G254+I183</f>
        <v>0</v>
      </c>
      <c r="J254" s="68"/>
      <c r="K254" s="68"/>
    </row>
    <row r="255" spans="1:11" x14ac:dyDescent="0.2">
      <c r="A255" s="63"/>
      <c r="B255" s="1"/>
      <c r="C255" s="62"/>
      <c r="D255" s="74" t="s">
        <v>658</v>
      </c>
      <c r="E255" s="67"/>
      <c r="F255" s="67"/>
      <c r="G255" s="85"/>
      <c r="H255" s="85"/>
      <c r="I255" s="85">
        <f t="shared" si="10"/>
        <v>0</v>
      </c>
      <c r="J255" s="68"/>
      <c r="K255" s="68"/>
    </row>
    <row r="256" spans="1:11" x14ac:dyDescent="0.2">
      <c r="A256" s="63"/>
      <c r="B256" s="67"/>
      <c r="C256" s="65"/>
      <c r="D256" s="62" t="s">
        <v>659</v>
      </c>
      <c r="E256" s="62"/>
      <c r="F256" s="62"/>
      <c r="G256" s="377"/>
      <c r="H256" s="85"/>
      <c r="I256" s="85">
        <f t="shared" si="10"/>
        <v>0</v>
      </c>
      <c r="J256" s="68"/>
      <c r="K256" s="68"/>
    </row>
    <row r="257" spans="1:11" x14ac:dyDescent="0.2">
      <c r="A257" s="63"/>
      <c r="B257" s="1"/>
      <c r="C257" s="65" t="s">
        <v>660</v>
      </c>
      <c r="D257" s="74"/>
      <c r="E257" s="74"/>
      <c r="F257" s="74"/>
      <c r="G257" s="379">
        <f>SUM(G253:G256)</f>
        <v>0</v>
      </c>
      <c r="H257" s="85"/>
      <c r="I257" s="379">
        <f>SUM(I253:I256)</f>
        <v>0</v>
      </c>
      <c r="J257" s="68"/>
      <c r="K257" s="68"/>
    </row>
    <row r="258" spans="1:11" x14ac:dyDescent="0.2">
      <c r="A258" s="63"/>
      <c r="B258" s="1"/>
      <c r="C258" s="62"/>
      <c r="D258" s="62"/>
      <c r="E258" s="62"/>
      <c r="F258" s="62"/>
      <c r="G258" s="377"/>
      <c r="H258" s="85"/>
      <c r="I258" s="85"/>
      <c r="J258" s="68"/>
      <c r="K258" s="68"/>
    </row>
    <row r="259" spans="1:11" x14ac:dyDescent="0.2">
      <c r="A259" s="63"/>
      <c r="B259" s="84" t="s">
        <v>661</v>
      </c>
      <c r="C259" s="84" t="s">
        <v>662</v>
      </c>
      <c r="D259" s="66"/>
      <c r="E259" s="66"/>
      <c r="F259" s="62"/>
      <c r="G259" s="73">
        <f>G246-G250+G257</f>
        <v>0</v>
      </c>
      <c r="H259" s="85"/>
      <c r="I259" s="73" t="e">
        <f>I246-I250+I257</f>
        <v>#REF!</v>
      </c>
      <c r="J259" s="68"/>
      <c r="K259" s="68"/>
    </row>
    <row r="260" spans="1:11" x14ac:dyDescent="0.2">
      <c r="A260" s="63"/>
      <c r="B260" s="1"/>
      <c r="C260" s="62"/>
      <c r="D260" s="62"/>
      <c r="E260" s="62"/>
      <c r="F260" s="62"/>
      <c r="G260" s="85"/>
      <c r="H260" s="85"/>
      <c r="I260" s="85"/>
      <c r="J260" s="68"/>
      <c r="K260" s="68"/>
    </row>
    <row r="261" spans="1:11" x14ac:dyDescent="0.2">
      <c r="A261" s="63"/>
      <c r="B261" s="84" t="s">
        <v>663</v>
      </c>
      <c r="C261" s="84" t="s">
        <v>664</v>
      </c>
      <c r="D261" s="66"/>
      <c r="E261" s="62"/>
      <c r="F261" s="62"/>
      <c r="G261" s="73" t="e">
        <f>G191</f>
        <v>#REF!</v>
      </c>
      <c r="H261" s="73"/>
      <c r="I261" s="73">
        <v>1312251855.8000002</v>
      </c>
      <c r="J261" s="68"/>
      <c r="K261" s="68"/>
    </row>
    <row r="262" spans="1:11" x14ac:dyDescent="0.2">
      <c r="A262" s="63"/>
      <c r="B262" s="1"/>
      <c r="C262" s="62"/>
      <c r="D262" s="62"/>
      <c r="E262" s="62"/>
      <c r="F262" s="62"/>
      <c r="G262" s="73"/>
      <c r="H262" s="73"/>
      <c r="I262" s="73"/>
      <c r="J262" s="68"/>
      <c r="K262" s="68"/>
    </row>
    <row r="263" spans="1:11" x14ac:dyDescent="0.2">
      <c r="A263" s="63"/>
      <c r="B263" s="67" t="s">
        <v>665</v>
      </c>
      <c r="C263" s="65" t="s">
        <v>664</v>
      </c>
      <c r="D263" s="62"/>
      <c r="E263" s="62"/>
      <c r="F263" s="62"/>
      <c r="G263" s="73" t="e">
        <f>G259+G261</f>
        <v>#REF!</v>
      </c>
      <c r="H263" s="73"/>
      <c r="I263" s="73" t="e">
        <f>I259+I261</f>
        <v>#REF!</v>
      </c>
      <c r="J263" s="68"/>
      <c r="K263" s="68"/>
    </row>
    <row r="264" spans="1:11" x14ac:dyDescent="0.2">
      <c r="A264" s="61"/>
      <c r="B264" s="60"/>
      <c r="C264" s="60"/>
      <c r="D264" s="60"/>
      <c r="E264" s="60"/>
      <c r="F264" s="60"/>
      <c r="G264" s="91"/>
      <c r="H264" s="91"/>
      <c r="I264" s="91"/>
      <c r="J264" s="378"/>
      <c r="K264" s="378"/>
    </row>
    <row r="265" spans="1:11" x14ac:dyDescent="0.2">
      <c r="A265" s="459"/>
      <c r="B265" s="459"/>
      <c r="C265" s="459"/>
      <c r="D265" s="459"/>
      <c r="E265" s="459"/>
      <c r="F265" s="62"/>
      <c r="G265" s="92" t="e">
        <f>#REF!</f>
        <v>#REF!</v>
      </c>
      <c r="H265" s="92"/>
      <c r="I265" s="92"/>
    </row>
    <row r="266" spans="1:11" x14ac:dyDescent="0.2">
      <c r="A266" s="447" t="s">
        <v>413</v>
      </c>
      <c r="B266" s="447"/>
      <c r="C266" s="447"/>
      <c r="D266" s="447"/>
      <c r="E266" s="447"/>
      <c r="F266" s="447" t="s">
        <v>410</v>
      </c>
      <c r="G266" s="447"/>
      <c r="H266" s="447"/>
      <c r="I266" s="447"/>
      <c r="J266" s="447"/>
      <c r="K266" s="447"/>
    </row>
    <row r="267" spans="1:11" x14ac:dyDescent="0.2">
      <c r="A267" s="447" t="s">
        <v>480</v>
      </c>
      <c r="B267" s="447"/>
      <c r="C267" s="447"/>
      <c r="D267" s="447"/>
      <c r="E267" s="447"/>
      <c r="F267" s="447" t="s">
        <v>481</v>
      </c>
      <c r="G267" s="447"/>
      <c r="H267" s="447"/>
      <c r="I267" s="447"/>
      <c r="J267" s="447"/>
      <c r="K267" s="447"/>
    </row>
    <row r="268" spans="1:11" x14ac:dyDescent="0.2">
      <c r="A268" s="447"/>
      <c r="B268" s="447"/>
      <c r="C268" s="447"/>
      <c r="D268" s="447"/>
      <c r="E268" s="447"/>
      <c r="F268" s="447"/>
      <c r="G268" s="447"/>
      <c r="H268" s="447"/>
      <c r="I268" s="447"/>
      <c r="J268" s="447"/>
      <c r="K268" s="447"/>
    </row>
    <row r="269" spans="1:11" x14ac:dyDescent="0.2">
      <c r="A269" s="447"/>
      <c r="B269" s="447"/>
      <c r="C269" s="447"/>
      <c r="D269" s="447"/>
      <c r="E269" s="447"/>
      <c r="F269" s="447"/>
      <c r="G269" s="447"/>
      <c r="H269" s="447"/>
      <c r="I269" s="447"/>
      <c r="J269" s="447"/>
      <c r="K269" s="447"/>
    </row>
    <row r="270" spans="1:11" x14ac:dyDescent="0.2">
      <c r="A270" s="447" t="s">
        <v>463</v>
      </c>
      <c r="B270" s="447"/>
      <c r="C270" s="447"/>
      <c r="D270" s="447"/>
      <c r="E270" s="447"/>
      <c r="F270" s="447" t="s">
        <v>411</v>
      </c>
      <c r="G270" s="447"/>
      <c r="H270" s="447"/>
      <c r="I270" s="447"/>
      <c r="J270" s="447"/>
      <c r="K270" s="447"/>
    </row>
    <row r="271" spans="1:11" x14ac:dyDescent="0.2">
      <c r="A271" s="447"/>
      <c r="B271" s="447"/>
      <c r="C271" s="447"/>
      <c r="D271" s="447"/>
      <c r="E271" s="447"/>
      <c r="F271" s="447"/>
      <c r="G271" s="447"/>
      <c r="H271" s="447"/>
      <c r="I271" s="447"/>
      <c r="J271" s="447"/>
      <c r="K271" s="447"/>
    </row>
    <row r="272" spans="1:11" x14ac:dyDescent="0.2">
      <c r="A272" s="447"/>
      <c r="B272" s="447"/>
      <c r="C272" s="447"/>
      <c r="D272" s="447"/>
      <c r="E272" s="447"/>
      <c r="F272" s="447"/>
      <c r="G272" s="447"/>
      <c r="H272" s="447"/>
      <c r="I272" s="447"/>
      <c r="J272" s="447"/>
      <c r="K272" s="447"/>
    </row>
    <row r="288" spans="1:6" x14ac:dyDescent="0.2">
      <c r="A288" s="450" t="s">
        <v>633</v>
      </c>
      <c r="B288" s="450"/>
      <c r="C288" s="374" t="s">
        <v>634</v>
      </c>
      <c r="D288" s="62"/>
      <c r="E288" s="62"/>
      <c r="F288" s="62"/>
    </row>
    <row r="289" spans="1:11" x14ac:dyDescent="0.2">
      <c r="B289" s="62"/>
      <c r="C289" s="62"/>
      <c r="D289" s="62"/>
      <c r="E289" s="62"/>
      <c r="F289" s="62"/>
    </row>
    <row r="290" spans="1:11" ht="15" x14ac:dyDescent="0.25">
      <c r="A290" s="69"/>
      <c r="B290" s="452"/>
      <c r="C290" s="452"/>
      <c r="D290" s="452"/>
      <c r="E290" s="452"/>
      <c r="F290" s="452"/>
      <c r="G290" s="452"/>
      <c r="H290" s="452"/>
      <c r="I290" s="452"/>
      <c r="J290" s="375"/>
      <c r="K290" s="375"/>
    </row>
    <row r="291" spans="1:11" ht="15" x14ac:dyDescent="0.25">
      <c r="A291" s="63"/>
      <c r="B291" s="448" t="s">
        <v>462</v>
      </c>
      <c r="C291" s="448"/>
      <c r="D291" s="448"/>
      <c r="E291" s="448"/>
      <c r="F291" s="448"/>
      <c r="G291" s="448"/>
      <c r="H291" s="448"/>
      <c r="I291" s="448"/>
      <c r="J291" s="68"/>
      <c r="K291" s="68"/>
    </row>
    <row r="292" spans="1:11" ht="15" x14ac:dyDescent="0.25">
      <c r="A292" s="63"/>
      <c r="B292" s="448" t="s">
        <v>15</v>
      </c>
      <c r="C292" s="448"/>
      <c r="D292" s="448"/>
      <c r="E292" s="448"/>
      <c r="F292" s="448"/>
      <c r="G292" s="448"/>
      <c r="H292" s="448"/>
      <c r="I292" s="448"/>
      <c r="J292" s="68"/>
      <c r="K292" s="68"/>
    </row>
    <row r="293" spans="1:11" ht="15" x14ac:dyDescent="0.25">
      <c r="A293" s="63"/>
      <c r="B293" s="451" t="s">
        <v>668</v>
      </c>
      <c r="C293" s="451"/>
      <c r="D293" s="451"/>
      <c r="E293" s="451"/>
      <c r="F293" s="451"/>
      <c r="G293" s="451"/>
      <c r="H293" s="451"/>
      <c r="I293" s="451"/>
      <c r="J293" s="68"/>
      <c r="K293" s="68"/>
    </row>
    <row r="294" spans="1:11" x14ac:dyDescent="0.2">
      <c r="A294" s="63"/>
      <c r="B294" s="62"/>
      <c r="C294" s="62"/>
      <c r="D294" s="62"/>
      <c r="E294" s="62"/>
      <c r="F294" s="62"/>
      <c r="J294" s="68"/>
      <c r="K294" s="68"/>
    </row>
    <row r="295" spans="1:11" x14ac:dyDescent="0.2">
      <c r="A295" s="63"/>
      <c r="B295" s="453" t="s">
        <v>10</v>
      </c>
      <c r="C295" s="454"/>
      <c r="D295" s="454"/>
      <c r="E295" s="455"/>
      <c r="F295" s="64"/>
      <c r="G295" s="82" t="s">
        <v>12</v>
      </c>
      <c r="H295" s="64"/>
      <c r="I295" s="82" t="s">
        <v>13</v>
      </c>
      <c r="J295" s="68"/>
      <c r="K295" s="68"/>
    </row>
    <row r="296" spans="1:11" x14ac:dyDescent="0.2">
      <c r="A296" s="63"/>
      <c r="B296" s="456"/>
      <c r="C296" s="457"/>
      <c r="D296" s="457"/>
      <c r="E296" s="458"/>
      <c r="F296" s="64"/>
      <c r="G296" s="83" t="s">
        <v>14</v>
      </c>
      <c r="H296" s="64"/>
      <c r="I296" s="83" t="s">
        <v>14</v>
      </c>
      <c r="J296" s="68"/>
      <c r="K296" s="68"/>
    </row>
    <row r="297" spans="1:11" x14ac:dyDescent="0.2">
      <c r="A297" s="63"/>
      <c r="B297" s="84" t="s">
        <v>636</v>
      </c>
      <c r="C297" s="84" t="s">
        <v>649</v>
      </c>
      <c r="D297" s="84"/>
      <c r="E297" s="62"/>
      <c r="F297" s="62"/>
      <c r="G297" s="85"/>
      <c r="H297" s="85"/>
      <c r="I297" s="85"/>
      <c r="J297" s="68"/>
      <c r="K297" s="68"/>
    </row>
    <row r="298" spans="1:11" x14ac:dyDescent="0.2">
      <c r="A298" s="63"/>
      <c r="B298" s="1"/>
      <c r="C298" s="65" t="s">
        <v>637</v>
      </c>
      <c r="D298" s="62"/>
      <c r="E298" s="62"/>
      <c r="F298" s="62"/>
      <c r="G298" s="85"/>
      <c r="H298" s="85"/>
      <c r="I298" s="85"/>
      <c r="J298" s="68"/>
      <c r="K298" s="68"/>
    </row>
    <row r="299" spans="1:11" x14ac:dyDescent="0.2">
      <c r="A299" s="63"/>
      <c r="B299" s="1"/>
      <c r="C299" s="62"/>
      <c r="D299" s="62">
        <v>1</v>
      </c>
      <c r="E299" s="62" t="s">
        <v>638</v>
      </c>
      <c r="F299" s="62"/>
      <c r="G299" s="85"/>
      <c r="H299" s="85"/>
      <c r="I299" s="85" t="e">
        <f>G299+I227</f>
        <v>#REF!</v>
      </c>
      <c r="J299" s="68"/>
      <c r="K299" s="68"/>
    </row>
    <row r="300" spans="1:11" x14ac:dyDescent="0.2">
      <c r="A300" s="63"/>
      <c r="B300" s="1"/>
      <c r="C300" s="62"/>
      <c r="D300" s="62">
        <v>2</v>
      </c>
      <c r="E300" s="62" t="s">
        <v>639</v>
      </c>
      <c r="F300" s="62"/>
      <c r="G300" s="85"/>
      <c r="H300" s="85"/>
      <c r="I300" s="85" t="e">
        <f t="shared" ref="I300:I303" si="11">G300+I228</f>
        <v>#REF!</v>
      </c>
      <c r="J300" s="68"/>
      <c r="K300" s="68"/>
    </row>
    <row r="301" spans="1:11" x14ac:dyDescent="0.2">
      <c r="A301" s="63"/>
      <c r="B301" s="1"/>
      <c r="C301" s="62"/>
      <c r="D301" s="62">
        <v>3</v>
      </c>
      <c r="E301" s="62" t="s">
        <v>640</v>
      </c>
      <c r="F301" s="62"/>
      <c r="G301" s="85"/>
      <c r="H301" s="85"/>
      <c r="I301" s="85" t="e">
        <f t="shared" si="11"/>
        <v>#REF!</v>
      </c>
      <c r="J301" s="68"/>
      <c r="K301" s="68"/>
    </row>
    <row r="302" spans="1:11" x14ac:dyDescent="0.2">
      <c r="A302" s="63"/>
      <c r="B302" s="1"/>
      <c r="C302" s="62"/>
      <c r="D302" s="62">
        <v>4</v>
      </c>
      <c r="E302" s="62" t="s">
        <v>645</v>
      </c>
      <c r="F302" s="62"/>
      <c r="G302" s="85"/>
      <c r="H302" s="85"/>
      <c r="I302" s="85">
        <f t="shared" si="11"/>
        <v>0</v>
      </c>
      <c r="J302" s="68"/>
      <c r="K302" s="68"/>
    </row>
    <row r="303" spans="1:11" x14ac:dyDescent="0.2">
      <c r="A303" s="63"/>
      <c r="B303" s="1"/>
      <c r="C303" s="62"/>
      <c r="D303" s="62">
        <v>5</v>
      </c>
      <c r="E303" s="62" t="s">
        <v>641</v>
      </c>
      <c r="F303" s="62"/>
      <c r="G303" s="85"/>
      <c r="H303" s="85"/>
      <c r="I303" s="85">
        <f t="shared" si="11"/>
        <v>0</v>
      </c>
      <c r="J303" s="68"/>
      <c r="K303" s="68"/>
    </row>
    <row r="304" spans="1:11" x14ac:dyDescent="0.2">
      <c r="A304" s="63"/>
      <c r="B304" s="1"/>
      <c r="C304" s="62"/>
      <c r="D304" s="62"/>
      <c r="E304" s="62"/>
      <c r="F304" s="62"/>
      <c r="G304" s="85"/>
      <c r="H304" s="85"/>
      <c r="I304" s="85"/>
      <c r="J304" s="68"/>
      <c r="K304" s="68"/>
    </row>
    <row r="305" spans="1:11" x14ac:dyDescent="0.2">
      <c r="A305" s="63"/>
      <c r="B305" s="1"/>
      <c r="C305" s="65"/>
      <c r="D305" s="65" t="s">
        <v>16</v>
      </c>
      <c r="E305" s="65"/>
      <c r="F305" s="62"/>
      <c r="G305" s="86">
        <f>SUM(G299:G303)</f>
        <v>0</v>
      </c>
      <c r="H305" s="85"/>
      <c r="I305" s="86" t="e">
        <f>SUM(I299:I303)</f>
        <v>#REF!</v>
      </c>
      <c r="J305" s="68"/>
      <c r="K305" s="68"/>
    </row>
    <row r="306" spans="1:11" x14ac:dyDescent="0.2">
      <c r="A306" s="63"/>
      <c r="B306" s="1"/>
      <c r="C306" s="65"/>
      <c r="D306" s="65"/>
      <c r="E306" s="65"/>
      <c r="F306" s="62"/>
      <c r="G306" s="73"/>
      <c r="H306" s="85"/>
      <c r="I306" s="73"/>
      <c r="J306" s="68"/>
      <c r="K306" s="68"/>
    </row>
    <row r="307" spans="1:11" x14ac:dyDescent="0.2">
      <c r="A307" s="63"/>
      <c r="B307" s="1"/>
      <c r="C307" s="65" t="s">
        <v>642</v>
      </c>
      <c r="D307" s="62"/>
      <c r="E307" s="62"/>
      <c r="F307" s="62"/>
      <c r="G307" s="85"/>
      <c r="H307" s="85"/>
      <c r="I307" s="85"/>
      <c r="J307" s="68"/>
      <c r="K307" s="68"/>
    </row>
    <row r="308" spans="1:11" x14ac:dyDescent="0.2">
      <c r="A308" s="63"/>
      <c r="B308" s="1"/>
      <c r="C308" s="62"/>
      <c r="D308" s="62">
        <v>1</v>
      </c>
      <c r="E308" s="87" t="s">
        <v>190</v>
      </c>
      <c r="F308" s="62"/>
      <c r="G308" s="85"/>
      <c r="H308" s="85"/>
      <c r="I308" s="85">
        <f>G308+I236</f>
        <v>0</v>
      </c>
      <c r="J308" s="68"/>
      <c r="K308" s="68"/>
    </row>
    <row r="309" spans="1:11" x14ac:dyDescent="0.2">
      <c r="A309" s="63"/>
      <c r="B309" s="1"/>
      <c r="C309" s="62"/>
      <c r="D309" s="62">
        <v>2</v>
      </c>
      <c r="E309" s="87" t="s">
        <v>191</v>
      </c>
      <c r="F309" s="62"/>
      <c r="G309" s="85"/>
      <c r="H309" s="85"/>
      <c r="I309" s="85">
        <f t="shared" ref="I309:I314" si="12">G309+I237</f>
        <v>0</v>
      </c>
      <c r="J309" s="68"/>
      <c r="K309" s="68"/>
    </row>
    <row r="310" spans="1:11" x14ac:dyDescent="0.2">
      <c r="A310" s="63"/>
      <c r="B310" s="1"/>
      <c r="C310" s="62"/>
      <c r="D310" s="62">
        <v>3</v>
      </c>
      <c r="E310" s="87" t="s">
        <v>643</v>
      </c>
      <c r="F310" s="67"/>
      <c r="G310" s="85"/>
      <c r="H310" s="85"/>
      <c r="I310" s="85">
        <f t="shared" si="12"/>
        <v>1200000</v>
      </c>
      <c r="J310" s="68"/>
      <c r="K310" s="68"/>
    </row>
    <row r="311" spans="1:11" x14ac:dyDescent="0.2">
      <c r="A311" s="63"/>
      <c r="B311" s="1"/>
      <c r="C311" s="62"/>
      <c r="D311" s="62">
        <v>4</v>
      </c>
      <c r="E311" s="87" t="s">
        <v>644</v>
      </c>
      <c r="F311" s="62"/>
      <c r="G311" s="85"/>
      <c r="H311" s="85"/>
      <c r="I311" s="85">
        <f t="shared" si="12"/>
        <v>0</v>
      </c>
      <c r="J311" s="68"/>
      <c r="K311" s="68"/>
    </row>
    <row r="312" spans="1:11" x14ac:dyDescent="0.2">
      <c r="A312" s="63"/>
      <c r="B312" s="1"/>
      <c r="C312" s="62"/>
      <c r="D312" s="62">
        <v>5</v>
      </c>
      <c r="E312" s="87" t="s">
        <v>632</v>
      </c>
      <c r="F312" s="67"/>
      <c r="G312" s="85"/>
      <c r="H312" s="85"/>
      <c r="I312" s="85">
        <f t="shared" si="12"/>
        <v>0</v>
      </c>
      <c r="J312" s="68"/>
      <c r="K312" s="68"/>
    </row>
    <row r="313" spans="1:11" x14ac:dyDescent="0.2">
      <c r="A313" s="63"/>
      <c r="B313" s="1"/>
      <c r="C313" s="62"/>
      <c r="D313" s="62">
        <v>6</v>
      </c>
      <c r="E313" s="87" t="s">
        <v>646</v>
      </c>
      <c r="F313" s="67"/>
      <c r="G313" s="85"/>
      <c r="H313" s="85"/>
      <c r="I313" s="85">
        <f t="shared" si="12"/>
        <v>0</v>
      </c>
      <c r="J313" s="68"/>
      <c r="K313" s="68"/>
    </row>
    <row r="314" spans="1:11" x14ac:dyDescent="0.2">
      <c r="A314" s="63"/>
      <c r="B314" s="1"/>
      <c r="C314" s="62"/>
      <c r="D314" s="62">
        <v>7</v>
      </c>
      <c r="E314" s="87" t="s">
        <v>647</v>
      </c>
      <c r="F314" s="67"/>
      <c r="G314" s="85"/>
      <c r="H314" s="85"/>
      <c r="I314" s="85">
        <f t="shared" si="12"/>
        <v>0</v>
      </c>
      <c r="J314" s="68"/>
      <c r="K314" s="68"/>
    </row>
    <row r="315" spans="1:11" x14ac:dyDescent="0.2">
      <c r="A315" s="63"/>
      <c r="B315" s="67"/>
      <c r="C315" s="65"/>
      <c r="D315" s="62"/>
      <c r="E315" s="87"/>
      <c r="F315" s="62"/>
      <c r="G315" s="85"/>
      <c r="H315" s="85"/>
      <c r="I315" s="85"/>
      <c r="J315" s="68"/>
      <c r="K315" s="68"/>
    </row>
    <row r="316" spans="1:11" x14ac:dyDescent="0.2">
      <c r="A316" s="63"/>
      <c r="B316" s="1"/>
      <c r="C316" s="62"/>
      <c r="D316" s="65" t="s">
        <v>17</v>
      </c>
      <c r="E316" s="64"/>
      <c r="F316" s="88"/>
      <c r="G316" s="86">
        <f>SUM(G308:G315)</f>
        <v>0</v>
      </c>
      <c r="H316" s="85"/>
      <c r="I316" s="86">
        <f>SUM(I308:I315)</f>
        <v>1200000</v>
      </c>
      <c r="J316" s="68"/>
      <c r="K316" s="68"/>
    </row>
    <row r="317" spans="1:11" x14ac:dyDescent="0.2">
      <c r="A317" s="63"/>
      <c r="B317" s="1"/>
      <c r="C317" s="62"/>
      <c r="D317" s="62"/>
      <c r="E317" s="62"/>
      <c r="F317" s="62"/>
      <c r="G317" s="85"/>
      <c r="H317" s="85"/>
      <c r="I317" s="85"/>
      <c r="J317" s="68"/>
      <c r="K317" s="68"/>
    </row>
    <row r="318" spans="1:11" x14ac:dyDescent="0.2">
      <c r="A318" s="63"/>
      <c r="B318" s="1"/>
      <c r="C318" s="65" t="s">
        <v>648</v>
      </c>
      <c r="D318" s="65"/>
      <c r="E318" s="65"/>
      <c r="F318" s="62"/>
      <c r="G318" s="304">
        <f>G305-G316</f>
        <v>0</v>
      </c>
      <c r="H318" s="85"/>
      <c r="I318" s="304" t="e">
        <f>I305-I316</f>
        <v>#REF!</v>
      </c>
      <c r="K318" s="68"/>
    </row>
    <row r="319" spans="1:11" x14ac:dyDescent="0.2">
      <c r="A319" s="63"/>
      <c r="B319" s="1"/>
      <c r="C319" s="62"/>
      <c r="D319" s="62"/>
      <c r="E319" s="62"/>
      <c r="F319" s="62"/>
      <c r="G319" s="85"/>
      <c r="H319" s="85"/>
      <c r="I319" s="85"/>
      <c r="J319" s="68"/>
      <c r="K319" s="68"/>
    </row>
    <row r="320" spans="1:11" x14ac:dyDescent="0.2">
      <c r="A320" s="63"/>
      <c r="B320" s="84" t="s">
        <v>650</v>
      </c>
      <c r="C320" s="84" t="s">
        <v>651</v>
      </c>
      <c r="D320" s="74"/>
      <c r="E320" s="67"/>
      <c r="F320" s="67"/>
      <c r="G320" s="85"/>
      <c r="H320" s="85"/>
      <c r="I320" s="85"/>
      <c r="J320" s="68"/>
      <c r="K320" s="68"/>
    </row>
    <row r="321" spans="1:11" x14ac:dyDescent="0.2">
      <c r="A321" s="63"/>
      <c r="B321" s="67"/>
      <c r="C321" s="65"/>
      <c r="D321" s="62" t="s">
        <v>652</v>
      </c>
      <c r="E321" s="62"/>
      <c r="F321" s="62"/>
      <c r="G321" s="85"/>
      <c r="H321" s="85"/>
      <c r="I321" s="85" t="e">
        <f>G321+I249</f>
        <v>#REF!</v>
      </c>
      <c r="J321" s="68"/>
      <c r="K321" s="68"/>
    </row>
    <row r="322" spans="1:11" x14ac:dyDescent="0.2">
      <c r="A322" s="63"/>
      <c r="B322" s="1"/>
      <c r="C322" s="65" t="s">
        <v>653</v>
      </c>
      <c r="D322" s="74"/>
      <c r="E322" s="74"/>
      <c r="F322" s="74"/>
      <c r="G322" s="86">
        <f>SUM(G321)</f>
        <v>0</v>
      </c>
      <c r="H322" s="73"/>
      <c r="I322" s="86" t="e">
        <f>SUM(I321)</f>
        <v>#REF!</v>
      </c>
      <c r="J322" s="68"/>
      <c r="K322" s="68"/>
    </row>
    <row r="323" spans="1:11" x14ac:dyDescent="0.2">
      <c r="A323" s="63"/>
      <c r="B323" s="1"/>
      <c r="C323" s="449"/>
      <c r="D323" s="449"/>
      <c r="E323" s="449"/>
      <c r="F323" s="62"/>
      <c r="G323" s="264"/>
      <c r="H323" s="89"/>
      <c r="I323" s="264"/>
      <c r="J323" s="68"/>
      <c r="K323" s="68"/>
    </row>
    <row r="324" spans="1:11" x14ac:dyDescent="0.2">
      <c r="A324" s="63"/>
      <c r="B324" s="84" t="s">
        <v>654</v>
      </c>
      <c r="C324" s="84" t="s">
        <v>655</v>
      </c>
      <c r="D324" s="62"/>
      <c r="E324" s="62"/>
      <c r="F324" s="62"/>
      <c r="G324" s="89"/>
      <c r="H324" s="89"/>
      <c r="I324" s="89"/>
      <c r="J324" s="68"/>
      <c r="K324" s="68"/>
    </row>
    <row r="325" spans="1:11" x14ac:dyDescent="0.2">
      <c r="A325" s="63"/>
      <c r="B325" s="80"/>
      <c r="C325" s="80"/>
      <c r="D325" s="62" t="s">
        <v>656</v>
      </c>
      <c r="E325" s="80"/>
      <c r="F325" s="67"/>
      <c r="G325" s="264"/>
      <c r="H325" s="89"/>
      <c r="I325" s="85">
        <f>G325+I254</f>
        <v>0</v>
      </c>
      <c r="J325" s="68"/>
      <c r="K325" s="68"/>
    </row>
    <row r="326" spans="1:11" x14ac:dyDescent="0.2">
      <c r="A326" s="63"/>
      <c r="B326" s="84"/>
      <c r="C326" s="62"/>
      <c r="D326" s="62" t="s">
        <v>657</v>
      </c>
      <c r="E326" s="62"/>
      <c r="F326" s="62"/>
      <c r="G326" s="85"/>
      <c r="H326" s="85"/>
      <c r="I326" s="85">
        <f t="shared" ref="I326:I328" si="13">G326+I255</f>
        <v>0</v>
      </c>
      <c r="J326" s="68"/>
      <c r="K326" s="68"/>
    </row>
    <row r="327" spans="1:11" x14ac:dyDescent="0.2">
      <c r="A327" s="63"/>
      <c r="B327" s="1"/>
      <c r="C327" s="62"/>
      <c r="D327" s="74" t="s">
        <v>658</v>
      </c>
      <c r="E327" s="67"/>
      <c r="F327" s="67"/>
      <c r="G327" s="85"/>
      <c r="H327" s="85"/>
      <c r="I327" s="85">
        <f t="shared" si="13"/>
        <v>0</v>
      </c>
      <c r="J327" s="68"/>
      <c r="K327" s="68"/>
    </row>
    <row r="328" spans="1:11" x14ac:dyDescent="0.2">
      <c r="A328" s="63"/>
      <c r="B328" s="67"/>
      <c r="C328" s="65"/>
      <c r="D328" s="62" t="s">
        <v>659</v>
      </c>
      <c r="E328" s="62"/>
      <c r="F328" s="62"/>
      <c r="G328" s="377"/>
      <c r="H328" s="85"/>
      <c r="I328" s="85">
        <f t="shared" si="13"/>
        <v>0</v>
      </c>
      <c r="J328" s="68"/>
      <c r="K328" s="68"/>
    </row>
    <row r="329" spans="1:11" x14ac:dyDescent="0.2">
      <c r="A329" s="63"/>
      <c r="B329" s="1"/>
      <c r="C329" s="65" t="s">
        <v>660</v>
      </c>
      <c r="D329" s="74"/>
      <c r="E329" s="74"/>
      <c r="F329" s="74"/>
      <c r="G329" s="379">
        <f>SUM(G325:G328)</f>
        <v>0</v>
      </c>
      <c r="H329" s="85"/>
      <c r="I329" s="379">
        <f>SUM(I325:I328)</f>
        <v>0</v>
      </c>
      <c r="J329" s="68"/>
      <c r="K329" s="68"/>
    </row>
    <row r="330" spans="1:11" x14ac:dyDescent="0.2">
      <c r="A330" s="63"/>
      <c r="B330" s="1"/>
      <c r="C330" s="62"/>
      <c r="D330" s="62"/>
      <c r="E330" s="62"/>
      <c r="F330" s="62"/>
      <c r="G330" s="377"/>
      <c r="H330" s="85"/>
      <c r="I330" s="85"/>
      <c r="J330" s="68"/>
      <c r="K330" s="68"/>
    </row>
    <row r="331" spans="1:11" x14ac:dyDescent="0.2">
      <c r="A331" s="63"/>
      <c r="B331" s="84" t="s">
        <v>661</v>
      </c>
      <c r="C331" s="84" t="s">
        <v>662</v>
      </c>
      <c r="D331" s="66"/>
      <c r="E331" s="66"/>
      <c r="F331" s="62"/>
      <c r="G331" s="73">
        <f>G318-G322+G329</f>
        <v>0</v>
      </c>
      <c r="H331" s="85"/>
      <c r="I331" s="73" t="e">
        <f>I318-I322+I329</f>
        <v>#REF!</v>
      </c>
      <c r="J331" s="68"/>
      <c r="K331" s="68"/>
    </row>
    <row r="332" spans="1:11" x14ac:dyDescent="0.2">
      <c r="A332" s="63"/>
      <c r="B332" s="1"/>
      <c r="C332" s="62"/>
      <c r="D332" s="62"/>
      <c r="E332" s="62"/>
      <c r="F332" s="62"/>
      <c r="G332" s="85"/>
      <c r="H332" s="85"/>
      <c r="I332" s="85"/>
      <c r="J332" s="68"/>
      <c r="K332" s="68"/>
    </row>
    <row r="333" spans="1:11" x14ac:dyDescent="0.2">
      <c r="A333" s="63"/>
      <c r="B333" s="84" t="s">
        <v>663</v>
      </c>
      <c r="C333" s="84" t="s">
        <v>664</v>
      </c>
      <c r="D333" s="66"/>
      <c r="E333" s="62"/>
      <c r="F333" s="62"/>
      <c r="G333" s="73" t="e">
        <f>G263</f>
        <v>#REF!</v>
      </c>
      <c r="H333" s="73"/>
      <c r="I333" s="73">
        <v>1312251855.8000002</v>
      </c>
      <c r="J333" s="68"/>
      <c r="K333" s="68"/>
    </row>
    <row r="334" spans="1:11" x14ac:dyDescent="0.2">
      <c r="A334" s="63"/>
      <c r="B334" s="1"/>
      <c r="C334" s="62"/>
      <c r="D334" s="62"/>
      <c r="E334" s="62"/>
      <c r="F334" s="62"/>
      <c r="G334" s="73"/>
      <c r="H334" s="73"/>
      <c r="I334" s="73"/>
      <c r="J334" s="68"/>
      <c r="K334" s="68"/>
    </row>
    <row r="335" spans="1:11" x14ac:dyDescent="0.2">
      <c r="A335" s="63"/>
      <c r="B335" s="67" t="s">
        <v>665</v>
      </c>
      <c r="C335" s="65" t="s">
        <v>664</v>
      </c>
      <c r="D335" s="62"/>
      <c r="E335" s="62"/>
      <c r="F335" s="62"/>
      <c r="G335" s="73" t="e">
        <f>G331+G333</f>
        <v>#REF!</v>
      </c>
      <c r="H335" s="73"/>
      <c r="I335" s="73" t="e">
        <f>I331+I333</f>
        <v>#REF!</v>
      </c>
      <c r="J335" s="68"/>
      <c r="K335" s="68"/>
    </row>
    <row r="336" spans="1:11" x14ac:dyDescent="0.2">
      <c r="A336" s="61"/>
      <c r="B336" s="60"/>
      <c r="C336" s="60"/>
      <c r="D336" s="60"/>
      <c r="E336" s="60"/>
      <c r="F336" s="60"/>
      <c r="G336" s="91"/>
      <c r="H336" s="91"/>
      <c r="I336" s="91"/>
      <c r="J336" s="378"/>
      <c r="K336" s="378"/>
    </row>
    <row r="337" spans="1:11" x14ac:dyDescent="0.2">
      <c r="A337" s="459"/>
      <c r="B337" s="459"/>
      <c r="C337" s="459"/>
      <c r="D337" s="459"/>
      <c r="E337" s="459"/>
      <c r="F337" s="62"/>
      <c r="G337" s="92" t="e">
        <f>#REF!</f>
        <v>#REF!</v>
      </c>
      <c r="H337" s="92"/>
      <c r="I337" s="92"/>
    </row>
    <row r="338" spans="1:11" x14ac:dyDescent="0.2">
      <c r="A338" s="447" t="s">
        <v>413</v>
      </c>
      <c r="B338" s="447"/>
      <c r="C338" s="447"/>
      <c r="D338" s="447"/>
      <c r="E338" s="447"/>
      <c r="F338" s="447" t="s">
        <v>410</v>
      </c>
      <c r="G338" s="447"/>
      <c r="H338" s="447"/>
      <c r="I338" s="447"/>
      <c r="J338" s="447"/>
      <c r="K338" s="447"/>
    </row>
    <row r="339" spans="1:11" x14ac:dyDescent="0.2">
      <c r="A339" s="447" t="s">
        <v>480</v>
      </c>
      <c r="B339" s="447"/>
      <c r="C339" s="447"/>
      <c r="D339" s="447"/>
      <c r="E339" s="447"/>
      <c r="F339" s="447" t="s">
        <v>481</v>
      </c>
      <c r="G339" s="447"/>
      <c r="H339" s="447"/>
      <c r="I339" s="447"/>
      <c r="J339" s="447"/>
      <c r="K339" s="447"/>
    </row>
    <row r="340" spans="1:11" x14ac:dyDescent="0.2">
      <c r="A340" s="447"/>
      <c r="B340" s="447"/>
      <c r="C340" s="447"/>
      <c r="D340" s="447"/>
      <c r="E340" s="447"/>
      <c r="F340" s="447"/>
      <c r="G340" s="447"/>
      <c r="H340" s="447"/>
      <c r="I340" s="447"/>
      <c r="J340" s="447"/>
      <c r="K340" s="447"/>
    </row>
    <row r="341" spans="1:11" x14ac:dyDescent="0.2">
      <c r="A341" s="447"/>
      <c r="B341" s="447"/>
      <c r="C341" s="447"/>
      <c r="D341" s="447"/>
      <c r="E341" s="447"/>
      <c r="F341" s="447"/>
      <c r="G341" s="447"/>
      <c r="H341" s="447"/>
      <c r="I341" s="447"/>
      <c r="J341" s="447"/>
      <c r="K341" s="447"/>
    </row>
    <row r="342" spans="1:11" x14ac:dyDescent="0.2">
      <c r="A342" s="447" t="s">
        <v>463</v>
      </c>
      <c r="B342" s="447"/>
      <c r="C342" s="447"/>
      <c r="D342" s="447"/>
      <c r="E342" s="447"/>
      <c r="F342" s="447" t="s">
        <v>411</v>
      </c>
      <c r="G342" s="447"/>
      <c r="H342" s="447"/>
      <c r="I342" s="447"/>
      <c r="J342" s="447"/>
      <c r="K342" s="447"/>
    </row>
    <row r="343" spans="1:11" x14ac:dyDescent="0.2">
      <c r="A343" s="447"/>
      <c r="B343" s="447"/>
      <c r="C343" s="447"/>
      <c r="D343" s="447"/>
      <c r="E343" s="447"/>
      <c r="F343" s="447"/>
      <c r="G343" s="447"/>
      <c r="H343" s="447"/>
      <c r="I343" s="447"/>
      <c r="J343" s="447"/>
      <c r="K343" s="447"/>
    </row>
    <row r="344" spans="1:11" x14ac:dyDescent="0.2">
      <c r="A344" s="447"/>
      <c r="B344" s="447"/>
      <c r="C344" s="447"/>
      <c r="D344" s="447"/>
      <c r="E344" s="447"/>
      <c r="F344" s="447"/>
      <c r="G344" s="447"/>
      <c r="H344" s="447"/>
      <c r="I344" s="447"/>
      <c r="J344" s="447"/>
      <c r="K344" s="447"/>
    </row>
    <row r="360" spans="1:11" x14ac:dyDescent="0.2">
      <c r="A360" s="450" t="s">
        <v>633</v>
      </c>
      <c r="B360" s="450"/>
      <c r="C360" s="374" t="s">
        <v>634</v>
      </c>
      <c r="D360" s="62"/>
      <c r="E360" s="62"/>
      <c r="F360" s="62"/>
    </row>
    <row r="361" spans="1:11" x14ac:dyDescent="0.2">
      <c r="B361" s="62"/>
      <c r="C361" s="62"/>
      <c r="D361" s="62"/>
      <c r="E361" s="62"/>
      <c r="F361" s="62"/>
    </row>
    <row r="362" spans="1:11" ht="15" x14ac:dyDescent="0.25">
      <c r="A362" s="69"/>
      <c r="B362" s="452"/>
      <c r="C362" s="452"/>
      <c r="D362" s="452"/>
      <c r="E362" s="452"/>
      <c r="F362" s="452"/>
      <c r="G362" s="452"/>
      <c r="H362" s="452"/>
      <c r="I362" s="452"/>
      <c r="J362" s="375"/>
      <c r="K362" s="375"/>
    </row>
    <row r="363" spans="1:11" ht="15" x14ac:dyDescent="0.25">
      <c r="A363" s="63"/>
      <c r="B363" s="448" t="s">
        <v>462</v>
      </c>
      <c r="C363" s="448"/>
      <c r="D363" s="448"/>
      <c r="E363" s="448"/>
      <c r="F363" s="448"/>
      <c r="G363" s="448"/>
      <c r="H363" s="448"/>
      <c r="I363" s="448"/>
      <c r="J363" s="68"/>
      <c r="K363" s="68"/>
    </row>
    <row r="364" spans="1:11" ht="15" x14ac:dyDescent="0.25">
      <c r="A364" s="63"/>
      <c r="B364" s="448" t="s">
        <v>15</v>
      </c>
      <c r="C364" s="448"/>
      <c r="D364" s="448"/>
      <c r="E364" s="448"/>
      <c r="F364" s="448"/>
      <c r="G364" s="448"/>
      <c r="H364" s="448"/>
      <c r="I364" s="448"/>
      <c r="J364" s="68"/>
      <c r="K364" s="68"/>
    </row>
    <row r="365" spans="1:11" ht="15" x14ac:dyDescent="0.25">
      <c r="A365" s="63"/>
      <c r="B365" s="451" t="s">
        <v>669</v>
      </c>
      <c r="C365" s="451"/>
      <c r="D365" s="451"/>
      <c r="E365" s="451"/>
      <c r="F365" s="451"/>
      <c r="G365" s="451"/>
      <c r="H365" s="451"/>
      <c r="I365" s="451"/>
      <c r="J365" s="68"/>
      <c r="K365" s="68"/>
    </row>
    <row r="366" spans="1:11" x14ac:dyDescent="0.2">
      <c r="A366" s="63"/>
      <c r="B366" s="62"/>
      <c r="C366" s="62"/>
      <c r="D366" s="62"/>
      <c r="E366" s="62"/>
      <c r="F366" s="62"/>
      <c r="J366" s="68"/>
      <c r="K366" s="68"/>
    </row>
    <row r="367" spans="1:11" x14ac:dyDescent="0.2">
      <c r="A367" s="63"/>
      <c r="B367" s="453" t="s">
        <v>10</v>
      </c>
      <c r="C367" s="454"/>
      <c r="D367" s="454"/>
      <c r="E367" s="455"/>
      <c r="F367" s="64"/>
      <c r="G367" s="82" t="s">
        <v>12</v>
      </c>
      <c r="H367" s="64"/>
      <c r="I367" s="82" t="s">
        <v>13</v>
      </c>
      <c r="J367" s="68"/>
      <c r="K367" s="68"/>
    </row>
    <row r="368" spans="1:11" x14ac:dyDescent="0.2">
      <c r="A368" s="63"/>
      <c r="B368" s="456"/>
      <c r="C368" s="457"/>
      <c r="D368" s="457"/>
      <c r="E368" s="458"/>
      <c r="F368" s="64"/>
      <c r="G368" s="83" t="s">
        <v>14</v>
      </c>
      <c r="H368" s="64"/>
      <c r="I368" s="83" t="s">
        <v>14</v>
      </c>
      <c r="J368" s="68"/>
      <c r="K368" s="68"/>
    </row>
    <row r="369" spans="1:11" x14ac:dyDescent="0.2">
      <c r="A369" s="63"/>
      <c r="B369" s="84" t="s">
        <v>636</v>
      </c>
      <c r="C369" s="84" t="s">
        <v>649</v>
      </c>
      <c r="D369" s="84"/>
      <c r="E369" s="62"/>
      <c r="F369" s="62"/>
      <c r="G369" s="85"/>
      <c r="H369" s="85"/>
      <c r="I369" s="85"/>
      <c r="J369" s="68"/>
      <c r="K369" s="68"/>
    </row>
    <row r="370" spans="1:11" x14ac:dyDescent="0.2">
      <c r="A370" s="63"/>
      <c r="B370" s="1"/>
      <c r="C370" s="65" t="s">
        <v>637</v>
      </c>
      <c r="D370" s="62"/>
      <c r="E370" s="62"/>
      <c r="F370" s="62"/>
      <c r="G370" s="85"/>
      <c r="H370" s="85"/>
      <c r="I370" s="85"/>
      <c r="J370" s="68"/>
      <c r="K370" s="68"/>
    </row>
    <row r="371" spans="1:11" x14ac:dyDescent="0.2">
      <c r="A371" s="63"/>
      <c r="B371" s="1"/>
      <c r="C371" s="62"/>
      <c r="D371" s="62">
        <v>1</v>
      </c>
      <c r="E371" s="62" t="s">
        <v>638</v>
      </c>
      <c r="F371" s="62"/>
      <c r="G371" s="85"/>
      <c r="H371" s="85"/>
      <c r="I371" s="85" t="e">
        <f>G371+I299</f>
        <v>#REF!</v>
      </c>
      <c r="J371" s="68"/>
      <c r="K371" s="68"/>
    </row>
    <row r="372" spans="1:11" x14ac:dyDescent="0.2">
      <c r="A372" s="63"/>
      <c r="B372" s="1"/>
      <c r="C372" s="62"/>
      <c r="D372" s="62">
        <v>2</v>
      </c>
      <c r="E372" s="62" t="s">
        <v>639</v>
      </c>
      <c r="F372" s="62"/>
      <c r="G372" s="85"/>
      <c r="H372" s="85"/>
      <c r="I372" s="85" t="e">
        <f t="shared" ref="I372:I375" si="14">G372+I300</f>
        <v>#REF!</v>
      </c>
      <c r="J372" s="68"/>
      <c r="K372" s="68"/>
    </row>
    <row r="373" spans="1:11" x14ac:dyDescent="0.2">
      <c r="A373" s="63"/>
      <c r="B373" s="1"/>
      <c r="C373" s="62"/>
      <c r="D373" s="62">
        <v>3</v>
      </c>
      <c r="E373" s="62" t="s">
        <v>640</v>
      </c>
      <c r="F373" s="62"/>
      <c r="G373" s="85"/>
      <c r="H373" s="85"/>
      <c r="I373" s="85" t="e">
        <f t="shared" si="14"/>
        <v>#REF!</v>
      </c>
      <c r="J373" s="68"/>
      <c r="K373" s="68"/>
    </row>
    <row r="374" spans="1:11" x14ac:dyDescent="0.2">
      <c r="A374" s="63"/>
      <c r="B374" s="1"/>
      <c r="C374" s="62"/>
      <c r="D374" s="62">
        <v>4</v>
      </c>
      <c r="E374" s="62" t="s">
        <v>645</v>
      </c>
      <c r="F374" s="62"/>
      <c r="G374" s="85"/>
      <c r="H374" s="85"/>
      <c r="I374" s="85">
        <f t="shared" si="14"/>
        <v>0</v>
      </c>
      <c r="J374" s="68"/>
      <c r="K374" s="68"/>
    </row>
    <row r="375" spans="1:11" x14ac:dyDescent="0.2">
      <c r="A375" s="63"/>
      <c r="B375" s="1"/>
      <c r="C375" s="62"/>
      <c r="D375" s="62">
        <v>5</v>
      </c>
      <c r="E375" s="62" t="s">
        <v>641</v>
      </c>
      <c r="F375" s="62"/>
      <c r="G375" s="85"/>
      <c r="H375" s="85"/>
      <c r="I375" s="85">
        <f t="shared" si="14"/>
        <v>0</v>
      </c>
      <c r="J375" s="68"/>
      <c r="K375" s="68"/>
    </row>
    <row r="376" spans="1:11" x14ac:dyDescent="0.2">
      <c r="A376" s="63"/>
      <c r="B376" s="1"/>
      <c r="C376" s="62"/>
      <c r="D376" s="62"/>
      <c r="E376" s="62"/>
      <c r="F376" s="62"/>
      <c r="G376" s="85"/>
      <c r="H376" s="85"/>
      <c r="I376" s="85"/>
      <c r="J376" s="68"/>
      <c r="K376" s="68"/>
    </row>
    <row r="377" spans="1:11" x14ac:dyDescent="0.2">
      <c r="A377" s="63"/>
      <c r="B377" s="1"/>
      <c r="C377" s="65"/>
      <c r="D377" s="65" t="s">
        <v>16</v>
      </c>
      <c r="E377" s="65"/>
      <c r="F377" s="62"/>
      <c r="G377" s="86">
        <f>SUM(G371:G375)</f>
        <v>0</v>
      </c>
      <c r="H377" s="85"/>
      <c r="I377" s="86" t="e">
        <f>SUM(I371:I375)</f>
        <v>#REF!</v>
      </c>
      <c r="J377" s="68"/>
      <c r="K377" s="68"/>
    </row>
    <row r="378" spans="1:11" x14ac:dyDescent="0.2">
      <c r="A378" s="63"/>
      <c r="B378" s="1"/>
      <c r="C378" s="65"/>
      <c r="D378" s="65"/>
      <c r="E378" s="65"/>
      <c r="F378" s="62"/>
      <c r="G378" s="73"/>
      <c r="H378" s="85"/>
      <c r="I378" s="73"/>
      <c r="J378" s="68"/>
      <c r="K378" s="68"/>
    </row>
    <row r="379" spans="1:11" x14ac:dyDescent="0.2">
      <c r="A379" s="63"/>
      <c r="B379" s="1"/>
      <c r="C379" s="65" t="s">
        <v>642</v>
      </c>
      <c r="D379" s="62"/>
      <c r="E379" s="62"/>
      <c r="F379" s="62"/>
      <c r="G379" s="85"/>
      <c r="H379" s="85"/>
      <c r="I379" s="85"/>
      <c r="J379" s="68"/>
      <c r="K379" s="68"/>
    </row>
    <row r="380" spans="1:11" x14ac:dyDescent="0.2">
      <c r="A380" s="63"/>
      <c r="B380" s="1"/>
      <c r="C380" s="62"/>
      <c r="D380" s="62">
        <v>1</v>
      </c>
      <c r="E380" s="87" t="s">
        <v>190</v>
      </c>
      <c r="F380" s="62"/>
      <c r="G380" s="85"/>
      <c r="H380" s="85"/>
      <c r="I380" s="85">
        <f>G380+I308</f>
        <v>0</v>
      </c>
      <c r="J380" s="68"/>
      <c r="K380" s="68"/>
    </row>
    <row r="381" spans="1:11" x14ac:dyDescent="0.2">
      <c r="A381" s="63"/>
      <c r="B381" s="1"/>
      <c r="C381" s="62"/>
      <c r="D381" s="62">
        <v>2</v>
      </c>
      <c r="E381" s="87" t="s">
        <v>191</v>
      </c>
      <c r="F381" s="62"/>
      <c r="G381" s="85"/>
      <c r="H381" s="85"/>
      <c r="I381" s="85">
        <f t="shared" ref="I381:I386" si="15">G381+I309</f>
        <v>0</v>
      </c>
      <c r="J381" s="68"/>
      <c r="K381" s="68"/>
    </row>
    <row r="382" spans="1:11" x14ac:dyDescent="0.2">
      <c r="A382" s="63"/>
      <c r="B382" s="1"/>
      <c r="C382" s="62"/>
      <c r="D382" s="62">
        <v>3</v>
      </c>
      <c r="E382" s="87" t="s">
        <v>643</v>
      </c>
      <c r="F382" s="67"/>
      <c r="G382" s="85"/>
      <c r="H382" s="85"/>
      <c r="I382" s="85">
        <f t="shared" si="15"/>
        <v>1200000</v>
      </c>
      <c r="J382" s="68"/>
      <c r="K382" s="68"/>
    </row>
    <row r="383" spans="1:11" x14ac:dyDescent="0.2">
      <c r="A383" s="63"/>
      <c r="B383" s="1"/>
      <c r="C383" s="62"/>
      <c r="D383" s="62">
        <v>4</v>
      </c>
      <c r="E383" s="87" t="s">
        <v>644</v>
      </c>
      <c r="F383" s="62"/>
      <c r="G383" s="85"/>
      <c r="H383" s="85"/>
      <c r="I383" s="85">
        <f t="shared" si="15"/>
        <v>0</v>
      </c>
      <c r="J383" s="68"/>
      <c r="K383" s="68"/>
    </row>
    <row r="384" spans="1:11" x14ac:dyDescent="0.2">
      <c r="A384" s="63"/>
      <c r="B384" s="1"/>
      <c r="C384" s="62"/>
      <c r="D384" s="62">
        <v>5</v>
      </c>
      <c r="E384" s="87" t="s">
        <v>632</v>
      </c>
      <c r="F384" s="67"/>
      <c r="G384" s="85"/>
      <c r="H384" s="85"/>
      <c r="I384" s="85">
        <f t="shared" si="15"/>
        <v>0</v>
      </c>
      <c r="J384" s="68"/>
      <c r="K384" s="68"/>
    </row>
    <row r="385" spans="1:11" x14ac:dyDescent="0.2">
      <c r="A385" s="63"/>
      <c r="B385" s="1"/>
      <c r="C385" s="62"/>
      <c r="D385" s="62">
        <v>6</v>
      </c>
      <c r="E385" s="87" t="s">
        <v>646</v>
      </c>
      <c r="F385" s="67"/>
      <c r="G385" s="85"/>
      <c r="H385" s="85"/>
      <c r="I385" s="85">
        <f t="shared" si="15"/>
        <v>0</v>
      </c>
      <c r="J385" s="68"/>
      <c r="K385" s="68"/>
    </row>
    <row r="386" spans="1:11" x14ac:dyDescent="0.2">
      <c r="A386" s="63"/>
      <c r="B386" s="1"/>
      <c r="C386" s="62"/>
      <c r="D386" s="62">
        <v>7</v>
      </c>
      <c r="E386" s="87" t="s">
        <v>647</v>
      </c>
      <c r="F386" s="67"/>
      <c r="G386" s="85"/>
      <c r="H386" s="85"/>
      <c r="I386" s="85">
        <f t="shared" si="15"/>
        <v>0</v>
      </c>
      <c r="J386" s="68"/>
      <c r="K386" s="68"/>
    </row>
    <row r="387" spans="1:11" x14ac:dyDescent="0.2">
      <c r="A387" s="63"/>
      <c r="B387" s="67"/>
      <c r="C387" s="65"/>
      <c r="D387" s="62"/>
      <c r="E387" s="87"/>
      <c r="F387" s="62"/>
      <c r="G387" s="85"/>
      <c r="H387" s="85"/>
      <c r="I387" s="85"/>
      <c r="J387" s="68"/>
      <c r="K387" s="68"/>
    </row>
    <row r="388" spans="1:11" x14ac:dyDescent="0.2">
      <c r="A388" s="63"/>
      <c r="B388" s="1"/>
      <c r="C388" s="62"/>
      <c r="D388" s="65" t="s">
        <v>17</v>
      </c>
      <c r="E388" s="64"/>
      <c r="F388" s="88"/>
      <c r="G388" s="86">
        <f>SUM(G380:G387)</f>
        <v>0</v>
      </c>
      <c r="H388" s="85"/>
      <c r="I388" s="86">
        <f>SUM(I380:I387)</f>
        <v>1200000</v>
      </c>
      <c r="J388" s="68"/>
      <c r="K388" s="68"/>
    </row>
    <row r="389" spans="1:11" x14ac:dyDescent="0.2">
      <c r="A389" s="63"/>
      <c r="B389" s="1"/>
      <c r="C389" s="62"/>
      <c r="D389" s="62"/>
      <c r="E389" s="62"/>
      <c r="F389" s="62"/>
      <c r="G389" s="85"/>
      <c r="H389" s="85"/>
      <c r="I389" s="85"/>
      <c r="J389" s="68"/>
      <c r="K389" s="68"/>
    </row>
    <row r="390" spans="1:11" x14ac:dyDescent="0.2">
      <c r="A390" s="63"/>
      <c r="B390" s="1"/>
      <c r="C390" s="65" t="s">
        <v>648</v>
      </c>
      <c r="D390" s="65"/>
      <c r="E390" s="65"/>
      <c r="F390" s="62"/>
      <c r="G390" s="304">
        <f>G377-G388</f>
        <v>0</v>
      </c>
      <c r="H390" s="85"/>
      <c r="I390" s="304" t="e">
        <f>I377-I388</f>
        <v>#REF!</v>
      </c>
      <c r="K390" s="68"/>
    </row>
    <row r="391" spans="1:11" x14ac:dyDescent="0.2">
      <c r="A391" s="63"/>
      <c r="B391" s="1"/>
      <c r="C391" s="62"/>
      <c r="D391" s="62"/>
      <c r="E391" s="62"/>
      <c r="F391" s="62"/>
      <c r="G391" s="85"/>
      <c r="H391" s="85"/>
      <c r="I391" s="85"/>
      <c r="J391" s="68"/>
      <c r="K391" s="68"/>
    </row>
    <row r="392" spans="1:11" x14ac:dyDescent="0.2">
      <c r="A392" s="63"/>
      <c r="B392" s="84" t="s">
        <v>650</v>
      </c>
      <c r="C392" s="84" t="s">
        <v>651</v>
      </c>
      <c r="D392" s="74"/>
      <c r="E392" s="67"/>
      <c r="F392" s="67"/>
      <c r="G392" s="85"/>
      <c r="H392" s="85"/>
      <c r="I392" s="85"/>
      <c r="J392" s="68"/>
      <c r="K392" s="68"/>
    </row>
    <row r="393" spans="1:11" x14ac:dyDescent="0.2">
      <c r="A393" s="63"/>
      <c r="B393" s="67"/>
      <c r="C393" s="65"/>
      <c r="D393" s="62" t="s">
        <v>652</v>
      </c>
      <c r="E393" s="62"/>
      <c r="F393" s="62"/>
      <c r="G393" s="85"/>
      <c r="H393" s="85"/>
      <c r="I393" s="85" t="e">
        <f>G393+I321</f>
        <v>#REF!</v>
      </c>
      <c r="J393" s="68"/>
      <c r="K393" s="68"/>
    </row>
    <row r="394" spans="1:11" x14ac:dyDescent="0.2">
      <c r="A394" s="63"/>
      <c r="B394" s="1"/>
      <c r="C394" s="65" t="s">
        <v>653</v>
      </c>
      <c r="D394" s="74"/>
      <c r="E394" s="74"/>
      <c r="F394" s="74"/>
      <c r="G394" s="86">
        <f>SUM(G393)</f>
        <v>0</v>
      </c>
      <c r="H394" s="73"/>
      <c r="I394" s="86" t="e">
        <f>SUM(I393)</f>
        <v>#REF!</v>
      </c>
      <c r="J394" s="68"/>
      <c r="K394" s="68"/>
    </row>
    <row r="395" spans="1:11" x14ac:dyDescent="0.2">
      <c r="A395" s="63"/>
      <c r="B395" s="1"/>
      <c r="C395" s="449"/>
      <c r="D395" s="449"/>
      <c r="E395" s="449"/>
      <c r="F395" s="62"/>
      <c r="G395" s="264"/>
      <c r="H395" s="89"/>
      <c r="I395" s="264"/>
      <c r="J395" s="68"/>
      <c r="K395" s="68"/>
    </row>
    <row r="396" spans="1:11" x14ac:dyDescent="0.2">
      <c r="A396" s="63"/>
      <c r="B396" s="84" t="s">
        <v>654</v>
      </c>
      <c r="C396" s="84" t="s">
        <v>655</v>
      </c>
      <c r="D396" s="62"/>
      <c r="E396" s="62"/>
      <c r="F396" s="62"/>
      <c r="G396" s="89"/>
      <c r="H396" s="89"/>
      <c r="I396" s="89"/>
      <c r="J396" s="68"/>
      <c r="K396" s="68"/>
    </row>
    <row r="397" spans="1:11" x14ac:dyDescent="0.2">
      <c r="A397" s="63"/>
      <c r="B397" s="80"/>
      <c r="C397" s="80"/>
      <c r="D397" s="62" t="s">
        <v>656</v>
      </c>
      <c r="E397" s="80"/>
      <c r="F397" s="67"/>
      <c r="G397" s="264"/>
      <c r="H397" s="89"/>
      <c r="I397" s="85">
        <f>G397+I326</f>
        <v>0</v>
      </c>
      <c r="J397" s="68"/>
      <c r="K397" s="68"/>
    </row>
    <row r="398" spans="1:11" x14ac:dyDescent="0.2">
      <c r="A398" s="63"/>
      <c r="B398" s="84"/>
      <c r="C398" s="62"/>
      <c r="D398" s="62" t="s">
        <v>657</v>
      </c>
      <c r="E398" s="62"/>
      <c r="F398" s="62"/>
      <c r="G398" s="85"/>
      <c r="H398" s="85"/>
      <c r="I398" s="85">
        <f t="shared" ref="I398:I400" si="16">G398+I327</f>
        <v>0</v>
      </c>
      <c r="J398" s="68"/>
      <c r="K398" s="68"/>
    </row>
    <row r="399" spans="1:11" x14ac:dyDescent="0.2">
      <c r="A399" s="63"/>
      <c r="B399" s="1"/>
      <c r="C399" s="62"/>
      <c r="D399" s="74" t="s">
        <v>658</v>
      </c>
      <c r="E399" s="67"/>
      <c r="F399" s="67"/>
      <c r="G399" s="85"/>
      <c r="H399" s="85"/>
      <c r="I399" s="85">
        <f t="shared" si="16"/>
        <v>0</v>
      </c>
      <c r="J399" s="68"/>
      <c r="K399" s="68"/>
    </row>
    <row r="400" spans="1:11" x14ac:dyDescent="0.2">
      <c r="A400" s="63"/>
      <c r="B400" s="67"/>
      <c r="C400" s="65"/>
      <c r="D400" s="62" t="s">
        <v>659</v>
      </c>
      <c r="E400" s="62"/>
      <c r="F400" s="62"/>
      <c r="G400" s="377"/>
      <c r="H400" s="85"/>
      <c r="I400" s="85">
        <f t="shared" si="16"/>
        <v>0</v>
      </c>
      <c r="J400" s="68"/>
      <c r="K400" s="68"/>
    </row>
    <row r="401" spans="1:11" x14ac:dyDescent="0.2">
      <c r="A401" s="63"/>
      <c r="B401" s="1"/>
      <c r="C401" s="65" t="s">
        <v>660</v>
      </c>
      <c r="D401" s="74"/>
      <c r="E401" s="74"/>
      <c r="F401" s="74"/>
      <c r="G401" s="379">
        <f>SUM(G397:G400)</f>
        <v>0</v>
      </c>
      <c r="H401" s="85"/>
      <c r="I401" s="379">
        <f>SUM(I397:I400)</f>
        <v>0</v>
      </c>
      <c r="J401" s="68"/>
      <c r="K401" s="68"/>
    </row>
    <row r="402" spans="1:11" x14ac:dyDescent="0.2">
      <c r="A402" s="63"/>
      <c r="B402" s="1"/>
      <c r="C402" s="62"/>
      <c r="D402" s="62"/>
      <c r="E402" s="62"/>
      <c r="F402" s="62"/>
      <c r="G402" s="377"/>
      <c r="H402" s="85"/>
      <c r="I402" s="85"/>
      <c r="J402" s="68"/>
      <c r="K402" s="68"/>
    </row>
    <row r="403" spans="1:11" x14ac:dyDescent="0.2">
      <c r="A403" s="63"/>
      <c r="B403" s="84" t="s">
        <v>661</v>
      </c>
      <c r="C403" s="84" t="s">
        <v>662</v>
      </c>
      <c r="D403" s="66"/>
      <c r="E403" s="66"/>
      <c r="F403" s="62"/>
      <c r="G403" s="73">
        <f>G390-G394+G401</f>
        <v>0</v>
      </c>
      <c r="H403" s="85"/>
      <c r="I403" s="73" t="e">
        <f>I390-I394+I401</f>
        <v>#REF!</v>
      </c>
      <c r="J403" s="68"/>
      <c r="K403" s="68"/>
    </row>
    <row r="404" spans="1:11" x14ac:dyDescent="0.2">
      <c r="A404" s="63"/>
      <c r="B404" s="1"/>
      <c r="C404" s="62"/>
      <c r="D404" s="62"/>
      <c r="E404" s="62"/>
      <c r="F404" s="62"/>
      <c r="G404" s="85"/>
      <c r="H404" s="85"/>
      <c r="I404" s="85"/>
      <c r="J404" s="68"/>
      <c r="K404" s="68"/>
    </row>
    <row r="405" spans="1:11" x14ac:dyDescent="0.2">
      <c r="A405" s="63"/>
      <c r="B405" s="84" t="s">
        <v>663</v>
      </c>
      <c r="C405" s="84" t="s">
        <v>664</v>
      </c>
      <c r="D405" s="66"/>
      <c r="E405" s="62"/>
      <c r="F405" s="62"/>
      <c r="G405" s="73" t="e">
        <f>G335</f>
        <v>#REF!</v>
      </c>
      <c r="H405" s="73"/>
      <c r="I405" s="73">
        <v>1312251855.8000002</v>
      </c>
      <c r="J405" s="68"/>
      <c r="K405" s="68"/>
    </row>
    <row r="406" spans="1:11" x14ac:dyDescent="0.2">
      <c r="A406" s="63"/>
      <c r="B406" s="1"/>
      <c r="C406" s="62"/>
      <c r="D406" s="62"/>
      <c r="E406" s="62"/>
      <c r="F406" s="62"/>
      <c r="G406" s="73"/>
      <c r="H406" s="73"/>
      <c r="I406" s="73"/>
      <c r="J406" s="68"/>
      <c r="K406" s="68"/>
    </row>
    <row r="407" spans="1:11" x14ac:dyDescent="0.2">
      <c r="A407" s="63"/>
      <c r="B407" s="67" t="s">
        <v>665</v>
      </c>
      <c r="C407" s="65" t="s">
        <v>664</v>
      </c>
      <c r="D407" s="62"/>
      <c r="E407" s="62"/>
      <c r="F407" s="62"/>
      <c r="G407" s="73" t="e">
        <f>G403+G405</f>
        <v>#REF!</v>
      </c>
      <c r="H407" s="73"/>
      <c r="I407" s="73" t="e">
        <f>I403+I405</f>
        <v>#REF!</v>
      </c>
      <c r="J407" s="68"/>
      <c r="K407" s="68"/>
    </row>
    <row r="408" spans="1:11" x14ac:dyDescent="0.2">
      <c r="A408" s="61"/>
      <c r="B408" s="60"/>
      <c r="C408" s="60"/>
      <c r="D408" s="60"/>
      <c r="E408" s="60"/>
      <c r="F408" s="60"/>
      <c r="G408" s="91"/>
      <c r="H408" s="91"/>
      <c r="I408" s="91"/>
      <c r="J408" s="378"/>
      <c r="K408" s="378"/>
    </row>
    <row r="409" spans="1:11" x14ac:dyDescent="0.2">
      <c r="A409" s="459"/>
      <c r="B409" s="459"/>
      <c r="C409" s="459"/>
      <c r="D409" s="459"/>
      <c r="E409" s="459"/>
      <c r="F409" s="62"/>
      <c r="G409" s="92" t="e">
        <f>#REF!</f>
        <v>#REF!</v>
      </c>
      <c r="H409" s="92"/>
      <c r="I409" s="92"/>
    </row>
    <row r="410" spans="1:11" x14ac:dyDescent="0.2">
      <c r="A410" s="447" t="s">
        <v>413</v>
      </c>
      <c r="B410" s="447"/>
      <c r="C410" s="447"/>
      <c r="D410" s="447"/>
      <c r="E410" s="447"/>
      <c r="F410" s="447" t="s">
        <v>410</v>
      </c>
      <c r="G410" s="447"/>
      <c r="H410" s="447"/>
      <c r="I410" s="447"/>
      <c r="J410" s="447"/>
      <c r="K410" s="447"/>
    </row>
    <row r="411" spans="1:11" x14ac:dyDescent="0.2">
      <c r="A411" s="447" t="s">
        <v>480</v>
      </c>
      <c r="B411" s="447"/>
      <c r="C411" s="447"/>
      <c r="D411" s="447"/>
      <c r="E411" s="447"/>
      <c r="F411" s="447" t="s">
        <v>481</v>
      </c>
      <c r="G411" s="447"/>
      <c r="H411" s="447"/>
      <c r="I411" s="447"/>
      <c r="J411" s="447"/>
      <c r="K411" s="447"/>
    </row>
    <row r="412" spans="1:11" x14ac:dyDescent="0.2">
      <c r="A412" s="447"/>
      <c r="B412" s="447"/>
      <c r="C412" s="447"/>
      <c r="D412" s="447"/>
      <c r="E412" s="447"/>
      <c r="F412" s="447"/>
      <c r="G412" s="447"/>
      <c r="H412" s="447"/>
      <c r="I412" s="447"/>
      <c r="J412" s="447"/>
      <c r="K412" s="447"/>
    </row>
    <row r="413" spans="1:11" x14ac:dyDescent="0.2">
      <c r="A413" s="447"/>
      <c r="B413" s="447"/>
      <c r="C413" s="447"/>
      <c r="D413" s="447"/>
      <c r="E413" s="447"/>
      <c r="F413" s="447"/>
      <c r="G413" s="447"/>
      <c r="H413" s="447"/>
      <c r="I413" s="447"/>
      <c r="J413" s="447"/>
      <c r="K413" s="447"/>
    </row>
    <row r="414" spans="1:11" x14ac:dyDescent="0.2">
      <c r="A414" s="447" t="s">
        <v>463</v>
      </c>
      <c r="B414" s="447"/>
      <c r="C414" s="447"/>
      <c r="D414" s="447"/>
      <c r="E414" s="447"/>
      <c r="F414" s="447" t="s">
        <v>411</v>
      </c>
      <c r="G414" s="447"/>
      <c r="H414" s="447"/>
      <c r="I414" s="447"/>
      <c r="J414" s="447"/>
      <c r="K414" s="447"/>
    </row>
    <row r="415" spans="1:11" x14ac:dyDescent="0.2">
      <c r="A415" s="447"/>
      <c r="B415" s="447"/>
      <c r="C415" s="447"/>
      <c r="D415" s="447"/>
      <c r="E415" s="447"/>
      <c r="F415" s="447"/>
      <c r="G415" s="447"/>
      <c r="H415" s="447"/>
      <c r="I415" s="447"/>
      <c r="J415" s="447"/>
      <c r="K415" s="447"/>
    </row>
    <row r="416" spans="1:11" x14ac:dyDescent="0.2">
      <c r="A416" s="447"/>
      <c r="B416" s="447"/>
      <c r="C416" s="447"/>
      <c r="D416" s="447"/>
      <c r="E416" s="447"/>
      <c r="F416" s="447"/>
      <c r="G416" s="447"/>
      <c r="H416" s="447"/>
      <c r="I416" s="447"/>
      <c r="J416" s="447"/>
      <c r="K416" s="447"/>
    </row>
    <row r="432" spans="1:6" x14ac:dyDescent="0.2">
      <c r="A432" s="450" t="s">
        <v>633</v>
      </c>
      <c r="B432" s="450"/>
      <c r="C432" s="374" t="s">
        <v>634</v>
      </c>
      <c r="D432" s="62"/>
      <c r="E432" s="62"/>
      <c r="F432" s="62"/>
    </row>
    <row r="433" spans="1:11" x14ac:dyDescent="0.2">
      <c r="B433" s="62"/>
      <c r="C433" s="62"/>
      <c r="D433" s="62"/>
      <c r="E433" s="62"/>
      <c r="F433" s="62"/>
    </row>
    <row r="434" spans="1:11" ht="15" x14ac:dyDescent="0.25">
      <c r="A434" s="69"/>
      <c r="B434" s="452"/>
      <c r="C434" s="452"/>
      <c r="D434" s="452"/>
      <c r="E434" s="452"/>
      <c r="F434" s="452"/>
      <c r="G434" s="452"/>
      <c r="H434" s="452"/>
      <c r="I434" s="452"/>
      <c r="J434" s="375"/>
      <c r="K434" s="375"/>
    </row>
    <row r="435" spans="1:11" ht="15" x14ac:dyDescent="0.25">
      <c r="A435" s="63"/>
      <c r="B435" s="448" t="s">
        <v>462</v>
      </c>
      <c r="C435" s="448"/>
      <c r="D435" s="448"/>
      <c r="E435" s="448"/>
      <c r="F435" s="448"/>
      <c r="G435" s="448"/>
      <c r="H435" s="448"/>
      <c r="I435" s="448"/>
      <c r="J435" s="68"/>
      <c r="K435" s="68"/>
    </row>
    <row r="436" spans="1:11" ht="15" x14ac:dyDescent="0.25">
      <c r="A436" s="63"/>
      <c r="B436" s="448" t="s">
        <v>15</v>
      </c>
      <c r="C436" s="448"/>
      <c r="D436" s="448"/>
      <c r="E436" s="448"/>
      <c r="F436" s="448"/>
      <c r="G436" s="448"/>
      <c r="H436" s="448"/>
      <c r="I436" s="448"/>
      <c r="J436" s="68"/>
      <c r="K436" s="68"/>
    </row>
    <row r="437" spans="1:11" ht="15" x14ac:dyDescent="0.25">
      <c r="A437" s="63"/>
      <c r="B437" s="451" t="s">
        <v>670</v>
      </c>
      <c r="C437" s="451"/>
      <c r="D437" s="451"/>
      <c r="E437" s="451"/>
      <c r="F437" s="451"/>
      <c r="G437" s="451"/>
      <c r="H437" s="451"/>
      <c r="I437" s="451"/>
      <c r="J437" s="68"/>
      <c r="K437" s="68"/>
    </row>
    <row r="438" spans="1:11" x14ac:dyDescent="0.2">
      <c r="A438" s="63"/>
      <c r="B438" s="62"/>
      <c r="C438" s="62"/>
      <c r="D438" s="62"/>
      <c r="E438" s="62"/>
      <c r="F438" s="62"/>
      <c r="J438" s="68"/>
      <c r="K438" s="68"/>
    </row>
    <row r="439" spans="1:11" x14ac:dyDescent="0.2">
      <c r="A439" s="63"/>
      <c r="B439" s="453" t="s">
        <v>10</v>
      </c>
      <c r="C439" s="454"/>
      <c r="D439" s="454"/>
      <c r="E439" s="455"/>
      <c r="F439" s="64"/>
      <c r="G439" s="82" t="s">
        <v>12</v>
      </c>
      <c r="H439" s="64"/>
      <c r="I439" s="82" t="s">
        <v>13</v>
      </c>
      <c r="J439" s="68"/>
      <c r="K439" s="68"/>
    </row>
    <row r="440" spans="1:11" x14ac:dyDescent="0.2">
      <c r="A440" s="63"/>
      <c r="B440" s="456"/>
      <c r="C440" s="457"/>
      <c r="D440" s="457"/>
      <c r="E440" s="458"/>
      <c r="F440" s="64"/>
      <c r="G440" s="83" t="s">
        <v>14</v>
      </c>
      <c r="H440" s="64"/>
      <c r="I440" s="83" t="s">
        <v>14</v>
      </c>
      <c r="J440" s="68"/>
      <c r="K440" s="68"/>
    </row>
    <row r="441" spans="1:11" x14ac:dyDescent="0.2">
      <c r="A441" s="63"/>
      <c r="B441" s="84" t="s">
        <v>636</v>
      </c>
      <c r="C441" s="84" t="s">
        <v>649</v>
      </c>
      <c r="D441" s="84"/>
      <c r="E441" s="62"/>
      <c r="F441" s="62"/>
      <c r="G441" s="85"/>
      <c r="H441" s="85"/>
      <c r="I441" s="85"/>
      <c r="J441" s="68"/>
      <c r="K441" s="68"/>
    </row>
    <row r="442" spans="1:11" x14ac:dyDescent="0.2">
      <c r="A442" s="63"/>
      <c r="B442" s="1"/>
      <c r="C442" s="65" t="s">
        <v>637</v>
      </c>
      <c r="D442" s="62"/>
      <c r="E442" s="62"/>
      <c r="F442" s="62"/>
      <c r="G442" s="85"/>
      <c r="H442" s="85"/>
      <c r="I442" s="85"/>
      <c r="J442" s="68"/>
      <c r="K442" s="68"/>
    </row>
    <row r="443" spans="1:11" x14ac:dyDescent="0.2">
      <c r="A443" s="63"/>
      <c r="B443" s="1"/>
      <c r="C443" s="62"/>
      <c r="D443" s="62">
        <v>1</v>
      </c>
      <c r="E443" s="62" t="s">
        <v>638</v>
      </c>
      <c r="F443" s="62"/>
      <c r="G443" s="85"/>
      <c r="H443" s="85"/>
      <c r="I443" s="85" t="e">
        <f>G443+I371</f>
        <v>#REF!</v>
      </c>
      <c r="J443" s="68"/>
      <c r="K443" s="68"/>
    </row>
    <row r="444" spans="1:11" x14ac:dyDescent="0.2">
      <c r="A444" s="63"/>
      <c r="B444" s="1"/>
      <c r="C444" s="62"/>
      <c r="D444" s="62">
        <v>2</v>
      </c>
      <c r="E444" s="62" t="s">
        <v>639</v>
      </c>
      <c r="F444" s="62"/>
      <c r="G444" s="85"/>
      <c r="H444" s="85"/>
      <c r="I444" s="85" t="e">
        <f t="shared" ref="I444:I447" si="17">G444+I372</f>
        <v>#REF!</v>
      </c>
      <c r="J444" s="68"/>
      <c r="K444" s="68"/>
    </row>
    <row r="445" spans="1:11" x14ac:dyDescent="0.2">
      <c r="A445" s="63"/>
      <c r="B445" s="1"/>
      <c r="C445" s="62"/>
      <c r="D445" s="62">
        <v>3</v>
      </c>
      <c r="E445" s="62" t="s">
        <v>640</v>
      </c>
      <c r="F445" s="62"/>
      <c r="G445" s="85"/>
      <c r="H445" s="85"/>
      <c r="I445" s="85" t="e">
        <f t="shared" si="17"/>
        <v>#REF!</v>
      </c>
      <c r="J445" s="68"/>
      <c r="K445" s="68"/>
    </row>
    <row r="446" spans="1:11" x14ac:dyDescent="0.2">
      <c r="A446" s="63"/>
      <c r="B446" s="1"/>
      <c r="C446" s="62"/>
      <c r="D446" s="62">
        <v>4</v>
      </c>
      <c r="E446" s="62" t="s">
        <v>645</v>
      </c>
      <c r="F446" s="62"/>
      <c r="G446" s="85"/>
      <c r="H446" s="85"/>
      <c r="I446" s="85">
        <f t="shared" si="17"/>
        <v>0</v>
      </c>
      <c r="J446" s="68"/>
      <c r="K446" s="68"/>
    </row>
    <row r="447" spans="1:11" x14ac:dyDescent="0.2">
      <c r="A447" s="63"/>
      <c r="B447" s="1"/>
      <c r="C447" s="62"/>
      <c r="D447" s="62">
        <v>5</v>
      </c>
      <c r="E447" s="62" t="s">
        <v>641</v>
      </c>
      <c r="F447" s="62"/>
      <c r="G447" s="85"/>
      <c r="H447" s="85"/>
      <c r="I447" s="85">
        <f t="shared" si="17"/>
        <v>0</v>
      </c>
      <c r="J447" s="68"/>
      <c r="K447" s="68"/>
    </row>
    <row r="448" spans="1:11" x14ac:dyDescent="0.2">
      <c r="A448" s="63"/>
      <c r="B448" s="1"/>
      <c r="C448" s="62"/>
      <c r="D448" s="62"/>
      <c r="E448" s="62"/>
      <c r="F448" s="62"/>
      <c r="G448" s="85"/>
      <c r="H448" s="85"/>
      <c r="I448" s="85"/>
      <c r="J448" s="68"/>
      <c r="K448" s="68"/>
    </row>
    <row r="449" spans="1:11" x14ac:dyDescent="0.2">
      <c r="A449" s="63"/>
      <c r="B449" s="1"/>
      <c r="C449" s="65"/>
      <c r="D449" s="65" t="s">
        <v>16</v>
      </c>
      <c r="E449" s="65"/>
      <c r="F449" s="62"/>
      <c r="G449" s="86">
        <f>SUM(G443:G447)</f>
        <v>0</v>
      </c>
      <c r="H449" s="85"/>
      <c r="I449" s="86" t="e">
        <f>SUM(I443:I447)</f>
        <v>#REF!</v>
      </c>
      <c r="J449" s="68"/>
      <c r="K449" s="68"/>
    </row>
    <row r="450" spans="1:11" x14ac:dyDescent="0.2">
      <c r="A450" s="63"/>
      <c r="B450" s="1"/>
      <c r="C450" s="65"/>
      <c r="D450" s="65"/>
      <c r="E450" s="65"/>
      <c r="F450" s="62"/>
      <c r="G450" s="73"/>
      <c r="H450" s="85"/>
      <c r="I450" s="73"/>
      <c r="J450" s="68"/>
      <c r="K450" s="68"/>
    </row>
    <row r="451" spans="1:11" x14ac:dyDescent="0.2">
      <c r="A451" s="63"/>
      <c r="B451" s="1"/>
      <c r="C451" s="65" t="s">
        <v>642</v>
      </c>
      <c r="D451" s="62"/>
      <c r="E451" s="62"/>
      <c r="F451" s="62"/>
      <c r="G451" s="85"/>
      <c r="H451" s="85"/>
      <c r="I451" s="85"/>
      <c r="J451" s="68"/>
      <c r="K451" s="68"/>
    </row>
    <row r="452" spans="1:11" x14ac:dyDescent="0.2">
      <c r="A452" s="63"/>
      <c r="B452" s="1"/>
      <c r="C452" s="62"/>
      <c r="D452" s="62">
        <v>1</v>
      </c>
      <c r="E452" s="87" t="s">
        <v>190</v>
      </c>
      <c r="F452" s="62"/>
      <c r="G452" s="85"/>
      <c r="H452" s="85"/>
      <c r="I452" s="85">
        <f>G452+I380</f>
        <v>0</v>
      </c>
      <c r="J452" s="68"/>
      <c r="K452" s="68"/>
    </row>
    <row r="453" spans="1:11" x14ac:dyDescent="0.2">
      <c r="A453" s="63"/>
      <c r="B453" s="1"/>
      <c r="C453" s="62"/>
      <c r="D453" s="62">
        <v>2</v>
      </c>
      <c r="E453" s="87" t="s">
        <v>191</v>
      </c>
      <c r="F453" s="62"/>
      <c r="G453" s="85"/>
      <c r="H453" s="85"/>
      <c r="I453" s="85">
        <f t="shared" ref="I453:I458" si="18">G453+I381</f>
        <v>0</v>
      </c>
      <c r="J453" s="68"/>
      <c r="K453" s="68"/>
    </row>
    <row r="454" spans="1:11" x14ac:dyDescent="0.2">
      <c r="A454" s="63"/>
      <c r="B454" s="1"/>
      <c r="C454" s="62"/>
      <c r="D454" s="62">
        <v>3</v>
      </c>
      <c r="E454" s="87" t="s">
        <v>643</v>
      </c>
      <c r="F454" s="67"/>
      <c r="G454" s="85"/>
      <c r="H454" s="85"/>
      <c r="I454" s="85">
        <f t="shared" si="18"/>
        <v>1200000</v>
      </c>
      <c r="J454" s="68"/>
      <c r="K454" s="68"/>
    </row>
    <row r="455" spans="1:11" x14ac:dyDescent="0.2">
      <c r="A455" s="63"/>
      <c r="B455" s="1"/>
      <c r="C455" s="62"/>
      <c r="D455" s="62">
        <v>4</v>
      </c>
      <c r="E455" s="87" t="s">
        <v>644</v>
      </c>
      <c r="F455" s="62"/>
      <c r="G455" s="85"/>
      <c r="H455" s="85"/>
      <c r="I455" s="85">
        <f t="shared" si="18"/>
        <v>0</v>
      </c>
      <c r="J455" s="68"/>
      <c r="K455" s="68"/>
    </row>
    <row r="456" spans="1:11" x14ac:dyDescent="0.2">
      <c r="A456" s="63"/>
      <c r="B456" s="1"/>
      <c r="C456" s="62"/>
      <c r="D456" s="62">
        <v>5</v>
      </c>
      <c r="E456" s="87" t="s">
        <v>632</v>
      </c>
      <c r="F456" s="67"/>
      <c r="G456" s="85"/>
      <c r="H456" s="85"/>
      <c r="I456" s="85">
        <f t="shared" si="18"/>
        <v>0</v>
      </c>
      <c r="J456" s="68"/>
      <c r="K456" s="68"/>
    </row>
    <row r="457" spans="1:11" x14ac:dyDescent="0.2">
      <c r="A457" s="63"/>
      <c r="B457" s="1"/>
      <c r="C457" s="62"/>
      <c r="D457" s="62">
        <v>6</v>
      </c>
      <c r="E457" s="87" t="s">
        <v>646</v>
      </c>
      <c r="F457" s="67"/>
      <c r="G457" s="85"/>
      <c r="H457" s="85"/>
      <c r="I457" s="85">
        <f t="shared" si="18"/>
        <v>0</v>
      </c>
      <c r="J457" s="68"/>
      <c r="K457" s="68"/>
    </row>
    <row r="458" spans="1:11" x14ac:dyDescent="0.2">
      <c r="A458" s="63"/>
      <c r="B458" s="1"/>
      <c r="C458" s="62"/>
      <c r="D458" s="62">
        <v>7</v>
      </c>
      <c r="E458" s="87" t="s">
        <v>647</v>
      </c>
      <c r="F458" s="67"/>
      <c r="G458" s="85"/>
      <c r="H458" s="85"/>
      <c r="I458" s="85">
        <f t="shared" si="18"/>
        <v>0</v>
      </c>
      <c r="J458" s="68"/>
      <c r="K458" s="68"/>
    </row>
    <row r="459" spans="1:11" x14ac:dyDescent="0.2">
      <c r="A459" s="63"/>
      <c r="B459" s="67"/>
      <c r="C459" s="65"/>
      <c r="D459" s="62"/>
      <c r="E459" s="87"/>
      <c r="F459" s="62"/>
      <c r="G459" s="85"/>
      <c r="H459" s="85"/>
      <c r="I459" s="85"/>
      <c r="J459" s="68"/>
      <c r="K459" s="68"/>
    </row>
    <row r="460" spans="1:11" x14ac:dyDescent="0.2">
      <c r="A460" s="63"/>
      <c r="B460" s="1"/>
      <c r="C460" s="62"/>
      <c r="D460" s="65" t="s">
        <v>17</v>
      </c>
      <c r="E460" s="64"/>
      <c r="F460" s="88"/>
      <c r="G460" s="86">
        <f>SUM(G452:G459)</f>
        <v>0</v>
      </c>
      <c r="H460" s="85"/>
      <c r="I460" s="86">
        <f>SUM(I452:I459)</f>
        <v>1200000</v>
      </c>
      <c r="J460" s="68"/>
      <c r="K460" s="68"/>
    </row>
    <row r="461" spans="1:11" x14ac:dyDescent="0.2">
      <c r="A461" s="63"/>
      <c r="B461" s="1"/>
      <c r="C461" s="62"/>
      <c r="D461" s="62"/>
      <c r="E461" s="62"/>
      <c r="F461" s="62"/>
      <c r="G461" s="85"/>
      <c r="H461" s="85"/>
      <c r="I461" s="85"/>
      <c r="J461" s="68"/>
      <c r="K461" s="68"/>
    </row>
    <row r="462" spans="1:11" x14ac:dyDescent="0.2">
      <c r="A462" s="63"/>
      <c r="B462" s="1"/>
      <c r="C462" s="65" t="s">
        <v>648</v>
      </c>
      <c r="D462" s="65"/>
      <c r="E462" s="65"/>
      <c r="F462" s="62"/>
      <c r="G462" s="304">
        <f>G449-G460</f>
        <v>0</v>
      </c>
      <c r="H462" s="85"/>
      <c r="I462" s="304" t="e">
        <f>I449-I460</f>
        <v>#REF!</v>
      </c>
      <c r="K462" s="68"/>
    </row>
    <row r="463" spans="1:11" x14ac:dyDescent="0.2">
      <c r="A463" s="63"/>
      <c r="B463" s="1"/>
      <c r="C463" s="62"/>
      <c r="D463" s="62"/>
      <c r="E463" s="62"/>
      <c r="F463" s="62"/>
      <c r="G463" s="85"/>
      <c r="H463" s="85"/>
      <c r="I463" s="85"/>
      <c r="J463" s="68"/>
      <c r="K463" s="68"/>
    </row>
    <row r="464" spans="1:11" x14ac:dyDescent="0.2">
      <c r="A464" s="63"/>
      <c r="B464" s="84" t="s">
        <v>650</v>
      </c>
      <c r="C464" s="84" t="s">
        <v>651</v>
      </c>
      <c r="D464" s="74"/>
      <c r="E464" s="67"/>
      <c r="F464" s="67"/>
      <c r="G464" s="85"/>
      <c r="H464" s="85"/>
      <c r="I464" s="85"/>
      <c r="J464" s="68"/>
      <c r="K464" s="68"/>
    </row>
    <row r="465" spans="1:11" x14ac:dyDescent="0.2">
      <c r="A465" s="63"/>
      <c r="B465" s="67"/>
      <c r="C465" s="65"/>
      <c r="D465" s="62" t="s">
        <v>652</v>
      </c>
      <c r="E465" s="62"/>
      <c r="F465" s="62"/>
      <c r="G465" s="85"/>
      <c r="H465" s="85"/>
      <c r="I465" s="85" t="e">
        <f>G465+I393</f>
        <v>#REF!</v>
      </c>
      <c r="J465" s="68"/>
      <c r="K465" s="68"/>
    </row>
    <row r="466" spans="1:11" x14ac:dyDescent="0.2">
      <c r="A466" s="63"/>
      <c r="B466" s="1"/>
      <c r="C466" s="65" t="s">
        <v>653</v>
      </c>
      <c r="D466" s="74"/>
      <c r="E466" s="74"/>
      <c r="F466" s="74"/>
      <c r="G466" s="86">
        <f>SUM(G465)</f>
        <v>0</v>
      </c>
      <c r="H466" s="73"/>
      <c r="I466" s="86" t="e">
        <f>SUM(I465)</f>
        <v>#REF!</v>
      </c>
      <c r="J466" s="68"/>
      <c r="K466" s="68"/>
    </row>
    <row r="467" spans="1:11" x14ac:dyDescent="0.2">
      <c r="A467" s="63"/>
      <c r="B467" s="1"/>
      <c r="C467" s="449"/>
      <c r="D467" s="449"/>
      <c r="E467" s="449"/>
      <c r="F467" s="62"/>
      <c r="G467" s="264"/>
      <c r="H467" s="89"/>
      <c r="I467" s="264"/>
      <c r="J467" s="68"/>
      <c r="K467" s="68"/>
    </row>
    <row r="468" spans="1:11" x14ac:dyDescent="0.2">
      <c r="A468" s="63"/>
      <c r="B468" s="84" t="s">
        <v>654</v>
      </c>
      <c r="C468" s="84" t="s">
        <v>655</v>
      </c>
      <c r="D468" s="62"/>
      <c r="E468" s="62"/>
      <c r="F468" s="62"/>
      <c r="G468" s="89"/>
      <c r="H468" s="89"/>
      <c r="I468" s="89"/>
      <c r="J468" s="68"/>
      <c r="K468" s="68"/>
    </row>
    <row r="469" spans="1:11" x14ac:dyDescent="0.2">
      <c r="A469" s="63"/>
      <c r="B469" s="80"/>
      <c r="C469" s="80"/>
      <c r="D469" s="62" t="s">
        <v>656</v>
      </c>
      <c r="E469" s="80"/>
      <c r="F469" s="67"/>
      <c r="G469" s="264"/>
      <c r="H469" s="89"/>
      <c r="I469" s="85">
        <f>G469+I398</f>
        <v>0</v>
      </c>
      <c r="J469" s="68"/>
      <c r="K469" s="68"/>
    </row>
    <row r="470" spans="1:11" x14ac:dyDescent="0.2">
      <c r="A470" s="63"/>
      <c r="B470" s="84"/>
      <c r="C470" s="62"/>
      <c r="D470" s="62" t="s">
        <v>657</v>
      </c>
      <c r="E470" s="62"/>
      <c r="F470" s="62"/>
      <c r="G470" s="85"/>
      <c r="H470" s="85"/>
      <c r="I470" s="85">
        <f t="shared" ref="I470:I472" si="19">G470+I399</f>
        <v>0</v>
      </c>
      <c r="J470" s="68"/>
      <c r="K470" s="68"/>
    </row>
    <row r="471" spans="1:11" x14ac:dyDescent="0.2">
      <c r="A471" s="63"/>
      <c r="B471" s="1"/>
      <c r="C471" s="62"/>
      <c r="D471" s="74" t="s">
        <v>658</v>
      </c>
      <c r="E471" s="67"/>
      <c r="F471" s="67"/>
      <c r="G471" s="85"/>
      <c r="H471" s="85"/>
      <c r="I471" s="85">
        <f t="shared" si="19"/>
        <v>0</v>
      </c>
      <c r="J471" s="68"/>
      <c r="K471" s="68"/>
    </row>
    <row r="472" spans="1:11" x14ac:dyDescent="0.2">
      <c r="A472" s="63"/>
      <c r="B472" s="67"/>
      <c r="C472" s="65"/>
      <c r="D472" s="62" t="s">
        <v>659</v>
      </c>
      <c r="E472" s="62"/>
      <c r="F472" s="62"/>
      <c r="G472" s="377"/>
      <c r="H472" s="85"/>
      <c r="I472" s="85">
        <f t="shared" si="19"/>
        <v>0</v>
      </c>
      <c r="J472" s="68"/>
      <c r="K472" s="68"/>
    </row>
    <row r="473" spans="1:11" x14ac:dyDescent="0.2">
      <c r="A473" s="63"/>
      <c r="B473" s="1"/>
      <c r="C473" s="65" t="s">
        <v>660</v>
      </c>
      <c r="D473" s="74"/>
      <c r="E473" s="74"/>
      <c r="F473" s="74"/>
      <c r="G473" s="379">
        <f>SUM(G469:G472)</f>
        <v>0</v>
      </c>
      <c r="H473" s="85"/>
      <c r="I473" s="379">
        <f>SUM(I469:I472)</f>
        <v>0</v>
      </c>
      <c r="J473" s="68"/>
      <c r="K473" s="68"/>
    </row>
    <row r="474" spans="1:11" x14ac:dyDescent="0.2">
      <c r="A474" s="63"/>
      <c r="B474" s="1"/>
      <c r="C474" s="62"/>
      <c r="D474" s="62"/>
      <c r="E474" s="62"/>
      <c r="F474" s="62"/>
      <c r="G474" s="377"/>
      <c r="H474" s="85"/>
      <c r="I474" s="85"/>
      <c r="J474" s="68"/>
      <c r="K474" s="68"/>
    </row>
    <row r="475" spans="1:11" x14ac:dyDescent="0.2">
      <c r="A475" s="63"/>
      <c r="B475" s="84" t="s">
        <v>661</v>
      </c>
      <c r="C475" s="84" t="s">
        <v>662</v>
      </c>
      <c r="D475" s="66"/>
      <c r="E475" s="66"/>
      <c r="F475" s="62"/>
      <c r="G475" s="73">
        <f>G462-G466+G473</f>
        <v>0</v>
      </c>
      <c r="H475" s="85"/>
      <c r="I475" s="73" t="e">
        <f>I462-I466+I473</f>
        <v>#REF!</v>
      </c>
      <c r="J475" s="68"/>
      <c r="K475" s="68"/>
    </row>
    <row r="476" spans="1:11" x14ac:dyDescent="0.2">
      <c r="A476" s="63"/>
      <c r="B476" s="1"/>
      <c r="C476" s="62"/>
      <c r="D476" s="62"/>
      <c r="E476" s="62"/>
      <c r="F476" s="62"/>
      <c r="G476" s="85"/>
      <c r="H476" s="85"/>
      <c r="I476" s="85"/>
      <c r="J476" s="68"/>
      <c r="K476" s="68"/>
    </row>
    <row r="477" spans="1:11" x14ac:dyDescent="0.2">
      <c r="A477" s="63"/>
      <c r="B477" s="84" t="s">
        <v>663</v>
      </c>
      <c r="C477" s="84" t="s">
        <v>664</v>
      </c>
      <c r="D477" s="66"/>
      <c r="E477" s="62"/>
      <c r="F477" s="62"/>
      <c r="G477" s="73" t="e">
        <f>G407</f>
        <v>#REF!</v>
      </c>
      <c r="H477" s="73"/>
      <c r="I477" s="73">
        <v>1312251855.8000002</v>
      </c>
      <c r="J477" s="68"/>
      <c r="K477" s="68"/>
    </row>
    <row r="478" spans="1:11" x14ac:dyDescent="0.2">
      <c r="A478" s="63"/>
      <c r="B478" s="1"/>
      <c r="C478" s="62"/>
      <c r="D478" s="62"/>
      <c r="E478" s="62"/>
      <c r="F478" s="62"/>
      <c r="G478" s="73"/>
      <c r="H478" s="73"/>
      <c r="I478" s="73"/>
      <c r="J478" s="68"/>
      <c r="K478" s="68"/>
    </row>
    <row r="479" spans="1:11" x14ac:dyDescent="0.2">
      <c r="A479" s="63"/>
      <c r="B479" s="67" t="s">
        <v>665</v>
      </c>
      <c r="C479" s="65" t="s">
        <v>664</v>
      </c>
      <c r="D479" s="62"/>
      <c r="E479" s="62"/>
      <c r="F479" s="62"/>
      <c r="G479" s="73" t="e">
        <f>G475+G477</f>
        <v>#REF!</v>
      </c>
      <c r="H479" s="73"/>
      <c r="I479" s="73" t="e">
        <f>I475+I477</f>
        <v>#REF!</v>
      </c>
      <c r="J479" s="68"/>
      <c r="K479" s="68"/>
    </row>
    <row r="480" spans="1:11" x14ac:dyDescent="0.2">
      <c r="A480" s="61"/>
      <c r="B480" s="60"/>
      <c r="C480" s="60"/>
      <c r="D480" s="60"/>
      <c r="E480" s="60"/>
      <c r="F480" s="60"/>
      <c r="G480" s="91"/>
      <c r="H480" s="91"/>
      <c r="I480" s="91"/>
      <c r="J480" s="378"/>
      <c r="K480" s="378"/>
    </row>
    <row r="481" spans="1:11" x14ac:dyDescent="0.2">
      <c r="A481" s="459"/>
      <c r="B481" s="459"/>
      <c r="C481" s="459"/>
      <c r="D481" s="459"/>
      <c r="E481" s="459"/>
      <c r="F481" s="62"/>
      <c r="G481" s="92" t="e">
        <f>#REF!</f>
        <v>#REF!</v>
      </c>
      <c r="H481" s="92"/>
      <c r="I481" s="92"/>
    </row>
    <row r="482" spans="1:11" x14ac:dyDescent="0.2">
      <c r="A482" s="447" t="s">
        <v>413</v>
      </c>
      <c r="B482" s="447"/>
      <c r="C482" s="447"/>
      <c r="D482" s="447"/>
      <c r="E482" s="447"/>
      <c r="F482" s="447" t="s">
        <v>410</v>
      </c>
      <c r="G482" s="447"/>
      <c r="H482" s="447"/>
      <c r="I482" s="447"/>
      <c r="J482" s="447"/>
      <c r="K482" s="447"/>
    </row>
    <row r="483" spans="1:11" x14ac:dyDescent="0.2">
      <c r="A483" s="447" t="s">
        <v>480</v>
      </c>
      <c r="B483" s="447"/>
      <c r="C483" s="447"/>
      <c r="D483" s="447"/>
      <c r="E483" s="447"/>
      <c r="F483" s="447" t="s">
        <v>481</v>
      </c>
      <c r="G483" s="447"/>
      <c r="H483" s="447"/>
      <c r="I483" s="447"/>
      <c r="J483" s="447"/>
      <c r="K483" s="447"/>
    </row>
    <row r="484" spans="1:11" x14ac:dyDescent="0.2">
      <c r="A484" s="447"/>
      <c r="B484" s="447"/>
      <c r="C484" s="447"/>
      <c r="D484" s="447"/>
      <c r="E484" s="447"/>
      <c r="F484" s="447"/>
      <c r="G484" s="447"/>
      <c r="H484" s="447"/>
      <c r="I484" s="447"/>
      <c r="J484" s="447"/>
      <c r="K484" s="447"/>
    </row>
    <row r="485" spans="1:11" x14ac:dyDescent="0.2">
      <c r="A485" s="447"/>
      <c r="B485" s="447"/>
      <c r="C485" s="447"/>
      <c r="D485" s="447"/>
      <c r="E485" s="447"/>
      <c r="F485" s="447"/>
      <c r="G485" s="447"/>
      <c r="H485" s="447"/>
      <c r="I485" s="447"/>
      <c r="J485" s="447"/>
      <c r="K485" s="447"/>
    </row>
    <row r="486" spans="1:11" x14ac:dyDescent="0.2">
      <c r="A486" s="447" t="s">
        <v>463</v>
      </c>
      <c r="B486" s="447"/>
      <c r="C486" s="447"/>
      <c r="D486" s="447"/>
      <c r="E486" s="447"/>
      <c r="F486" s="447" t="s">
        <v>411</v>
      </c>
      <c r="G486" s="447"/>
      <c r="H486" s="447"/>
      <c r="I486" s="447"/>
      <c r="J486" s="447"/>
      <c r="K486" s="447"/>
    </row>
    <row r="487" spans="1:11" x14ac:dyDescent="0.2">
      <c r="A487" s="447"/>
      <c r="B487" s="447"/>
      <c r="C487" s="447"/>
      <c r="D487" s="447"/>
      <c r="E487" s="447"/>
      <c r="F487" s="447"/>
      <c r="G487" s="447"/>
      <c r="H487" s="447"/>
      <c r="I487" s="447"/>
      <c r="J487" s="447"/>
      <c r="K487" s="447"/>
    </row>
    <row r="504" spans="1:11" x14ac:dyDescent="0.2">
      <c r="A504" s="450" t="s">
        <v>633</v>
      </c>
      <c r="B504" s="450"/>
      <c r="C504" s="374" t="s">
        <v>634</v>
      </c>
      <c r="D504" s="62"/>
      <c r="E504" s="62"/>
      <c r="F504" s="62"/>
    </row>
    <row r="505" spans="1:11" x14ac:dyDescent="0.2">
      <c r="B505" s="62"/>
      <c r="C505" s="62"/>
      <c r="D505" s="62"/>
      <c r="E505" s="62"/>
      <c r="F505" s="62"/>
    </row>
    <row r="506" spans="1:11" ht="15" x14ac:dyDescent="0.25">
      <c r="A506" s="69"/>
      <c r="B506" s="452"/>
      <c r="C506" s="452"/>
      <c r="D506" s="452"/>
      <c r="E506" s="452"/>
      <c r="F506" s="452"/>
      <c r="G506" s="452"/>
      <c r="H506" s="452"/>
      <c r="I506" s="452"/>
      <c r="J506" s="375"/>
      <c r="K506" s="375"/>
    </row>
    <row r="507" spans="1:11" ht="15" x14ac:dyDescent="0.25">
      <c r="A507" s="63"/>
      <c r="B507" s="448" t="s">
        <v>462</v>
      </c>
      <c r="C507" s="448"/>
      <c r="D507" s="448"/>
      <c r="E507" s="448"/>
      <c r="F507" s="448"/>
      <c r="G507" s="448"/>
      <c r="H507" s="448"/>
      <c r="I507" s="448"/>
      <c r="J507" s="68"/>
      <c r="K507" s="68"/>
    </row>
    <row r="508" spans="1:11" ht="15" x14ac:dyDescent="0.25">
      <c r="A508" s="63"/>
      <c r="B508" s="448" t="s">
        <v>15</v>
      </c>
      <c r="C508" s="448"/>
      <c r="D508" s="448"/>
      <c r="E508" s="448"/>
      <c r="F508" s="448"/>
      <c r="G508" s="448"/>
      <c r="H508" s="448"/>
      <c r="I508" s="448"/>
      <c r="J508" s="68"/>
      <c r="K508" s="68"/>
    </row>
    <row r="509" spans="1:11" ht="15" x14ac:dyDescent="0.25">
      <c r="A509" s="63"/>
      <c r="B509" s="451" t="s">
        <v>671</v>
      </c>
      <c r="C509" s="451"/>
      <c r="D509" s="451"/>
      <c r="E509" s="451"/>
      <c r="F509" s="451"/>
      <c r="G509" s="451"/>
      <c r="H509" s="451"/>
      <c r="I509" s="451"/>
      <c r="J509" s="68"/>
      <c r="K509" s="68"/>
    </row>
    <row r="510" spans="1:11" x14ac:dyDescent="0.2">
      <c r="A510" s="63"/>
      <c r="B510" s="62"/>
      <c r="C510" s="62"/>
      <c r="D510" s="62"/>
      <c r="E510" s="62"/>
      <c r="F510" s="62"/>
      <c r="J510" s="68"/>
      <c r="K510" s="68"/>
    </row>
    <row r="511" spans="1:11" x14ac:dyDescent="0.2">
      <c r="A511" s="63"/>
      <c r="B511" s="453" t="s">
        <v>10</v>
      </c>
      <c r="C511" s="454"/>
      <c r="D511" s="454"/>
      <c r="E511" s="455"/>
      <c r="F511" s="64"/>
      <c r="G511" s="82" t="s">
        <v>12</v>
      </c>
      <c r="H511" s="64"/>
      <c r="I511" s="82" t="s">
        <v>13</v>
      </c>
      <c r="J511" s="68"/>
      <c r="K511" s="68"/>
    </row>
    <row r="512" spans="1:11" x14ac:dyDescent="0.2">
      <c r="A512" s="63"/>
      <c r="B512" s="456"/>
      <c r="C512" s="457"/>
      <c r="D512" s="457"/>
      <c r="E512" s="458"/>
      <c r="F512" s="64"/>
      <c r="G512" s="83" t="s">
        <v>14</v>
      </c>
      <c r="H512" s="64"/>
      <c r="I512" s="83" t="s">
        <v>14</v>
      </c>
      <c r="J512" s="68"/>
      <c r="K512" s="68"/>
    </row>
    <row r="513" spans="1:11" x14ac:dyDescent="0.2">
      <c r="A513" s="63"/>
      <c r="B513" s="84" t="s">
        <v>636</v>
      </c>
      <c r="C513" s="84" t="s">
        <v>649</v>
      </c>
      <c r="D513" s="84"/>
      <c r="E513" s="62"/>
      <c r="F513" s="62"/>
      <c r="G513" s="85"/>
      <c r="H513" s="85"/>
      <c r="I513" s="85"/>
      <c r="J513" s="68"/>
      <c r="K513" s="68"/>
    </row>
    <row r="514" spans="1:11" x14ac:dyDescent="0.2">
      <c r="A514" s="63"/>
      <c r="B514" s="1"/>
      <c r="C514" s="65" t="s">
        <v>637</v>
      </c>
      <c r="D514" s="62"/>
      <c r="E514" s="62"/>
      <c r="F514" s="62"/>
      <c r="G514" s="85"/>
      <c r="H514" s="85"/>
      <c r="I514" s="85"/>
      <c r="J514" s="68"/>
      <c r="K514" s="68"/>
    </row>
    <row r="515" spans="1:11" x14ac:dyDescent="0.2">
      <c r="A515" s="63"/>
      <c r="B515" s="1"/>
      <c r="C515" s="62"/>
      <c r="D515" s="62">
        <v>1</v>
      </c>
      <c r="E515" s="62" t="s">
        <v>638</v>
      </c>
      <c r="F515" s="62"/>
      <c r="G515" s="85"/>
      <c r="H515" s="85"/>
      <c r="I515" s="85" t="e">
        <f>G515+I443</f>
        <v>#REF!</v>
      </c>
      <c r="J515" s="68"/>
      <c r="K515" s="68"/>
    </row>
    <row r="516" spans="1:11" x14ac:dyDescent="0.2">
      <c r="A516" s="63"/>
      <c r="B516" s="1"/>
      <c r="C516" s="62"/>
      <c r="D516" s="62">
        <v>2</v>
      </c>
      <c r="E516" s="62" t="s">
        <v>639</v>
      </c>
      <c r="F516" s="62"/>
      <c r="G516" s="85"/>
      <c r="H516" s="85"/>
      <c r="I516" s="85" t="e">
        <f t="shared" ref="I516:I519" si="20">G516+I444</f>
        <v>#REF!</v>
      </c>
      <c r="J516" s="68"/>
      <c r="K516" s="68"/>
    </row>
    <row r="517" spans="1:11" x14ac:dyDescent="0.2">
      <c r="A517" s="63"/>
      <c r="B517" s="1"/>
      <c r="C517" s="62"/>
      <c r="D517" s="62">
        <v>3</v>
      </c>
      <c r="E517" s="62" t="s">
        <v>640</v>
      </c>
      <c r="F517" s="62"/>
      <c r="G517" s="85"/>
      <c r="H517" s="85"/>
      <c r="I517" s="85" t="e">
        <f t="shared" si="20"/>
        <v>#REF!</v>
      </c>
      <c r="J517" s="68"/>
      <c r="K517" s="68"/>
    </row>
    <row r="518" spans="1:11" x14ac:dyDescent="0.2">
      <c r="A518" s="63"/>
      <c r="B518" s="1"/>
      <c r="C518" s="62"/>
      <c r="D518" s="62">
        <v>4</v>
      </c>
      <c r="E518" s="62" t="s">
        <v>645</v>
      </c>
      <c r="F518" s="62"/>
      <c r="G518" s="85"/>
      <c r="H518" s="85"/>
      <c r="I518" s="85">
        <f t="shared" si="20"/>
        <v>0</v>
      </c>
      <c r="J518" s="68"/>
      <c r="K518" s="68"/>
    </row>
    <row r="519" spans="1:11" x14ac:dyDescent="0.2">
      <c r="A519" s="63"/>
      <c r="B519" s="1"/>
      <c r="C519" s="62"/>
      <c r="D519" s="62">
        <v>5</v>
      </c>
      <c r="E519" s="62" t="s">
        <v>641</v>
      </c>
      <c r="F519" s="62"/>
      <c r="G519" s="85"/>
      <c r="H519" s="85"/>
      <c r="I519" s="85">
        <f t="shared" si="20"/>
        <v>0</v>
      </c>
      <c r="J519" s="68"/>
      <c r="K519" s="68"/>
    </row>
    <row r="520" spans="1:11" x14ac:dyDescent="0.2">
      <c r="A520" s="63"/>
      <c r="B520" s="1"/>
      <c r="C520" s="62"/>
      <c r="D520" s="62"/>
      <c r="E520" s="62"/>
      <c r="F520" s="62"/>
      <c r="G520" s="85"/>
      <c r="H520" s="85"/>
      <c r="I520" s="85"/>
      <c r="J520" s="68"/>
      <c r="K520" s="68"/>
    </row>
    <row r="521" spans="1:11" x14ac:dyDescent="0.2">
      <c r="A521" s="63"/>
      <c r="B521" s="1"/>
      <c r="C521" s="65"/>
      <c r="D521" s="65" t="s">
        <v>16</v>
      </c>
      <c r="E521" s="65"/>
      <c r="F521" s="62"/>
      <c r="G521" s="86">
        <f>SUM(G515:G519)</f>
        <v>0</v>
      </c>
      <c r="H521" s="85"/>
      <c r="I521" s="86" t="e">
        <f>SUM(I515:I519)</f>
        <v>#REF!</v>
      </c>
      <c r="J521" s="68"/>
      <c r="K521" s="68"/>
    </row>
    <row r="522" spans="1:11" x14ac:dyDescent="0.2">
      <c r="A522" s="63"/>
      <c r="B522" s="1"/>
      <c r="C522" s="65"/>
      <c r="D522" s="65"/>
      <c r="E522" s="65"/>
      <c r="F522" s="62"/>
      <c r="G522" s="73"/>
      <c r="H522" s="85"/>
      <c r="I522" s="73"/>
      <c r="J522" s="68"/>
      <c r="K522" s="68"/>
    </row>
    <row r="523" spans="1:11" x14ac:dyDescent="0.2">
      <c r="A523" s="63"/>
      <c r="B523" s="1"/>
      <c r="C523" s="65" t="s">
        <v>642</v>
      </c>
      <c r="D523" s="62"/>
      <c r="E523" s="62"/>
      <c r="F523" s="62"/>
      <c r="G523" s="85"/>
      <c r="H523" s="85"/>
      <c r="I523" s="85"/>
      <c r="J523" s="68"/>
      <c r="K523" s="68"/>
    </row>
    <row r="524" spans="1:11" x14ac:dyDescent="0.2">
      <c r="A524" s="63"/>
      <c r="B524" s="1"/>
      <c r="C524" s="62"/>
      <c r="D524" s="62">
        <v>1</v>
      </c>
      <c r="E524" s="87" t="s">
        <v>190</v>
      </c>
      <c r="F524" s="62"/>
      <c r="G524" s="85"/>
      <c r="H524" s="85"/>
      <c r="I524" s="85">
        <f>G524+I452</f>
        <v>0</v>
      </c>
      <c r="J524" s="68"/>
      <c r="K524" s="68"/>
    </row>
    <row r="525" spans="1:11" x14ac:dyDescent="0.2">
      <c r="A525" s="63"/>
      <c r="B525" s="1"/>
      <c r="C525" s="62"/>
      <c r="D525" s="62">
        <v>2</v>
      </c>
      <c r="E525" s="87" t="s">
        <v>191</v>
      </c>
      <c r="F525" s="62"/>
      <c r="G525" s="85"/>
      <c r="H525" s="85"/>
      <c r="I525" s="85">
        <f t="shared" ref="I525:I530" si="21">G525+I453</f>
        <v>0</v>
      </c>
      <c r="J525" s="68"/>
      <c r="K525" s="68"/>
    </row>
    <row r="526" spans="1:11" x14ac:dyDescent="0.2">
      <c r="A526" s="63"/>
      <c r="B526" s="1"/>
      <c r="C526" s="62"/>
      <c r="D526" s="62">
        <v>3</v>
      </c>
      <c r="E526" s="87" t="s">
        <v>643</v>
      </c>
      <c r="F526" s="67"/>
      <c r="G526" s="85"/>
      <c r="H526" s="85"/>
      <c r="I526" s="85">
        <f t="shared" si="21"/>
        <v>1200000</v>
      </c>
      <c r="J526" s="68"/>
      <c r="K526" s="68"/>
    </row>
    <row r="527" spans="1:11" x14ac:dyDescent="0.2">
      <c r="A527" s="63"/>
      <c r="B527" s="1"/>
      <c r="C527" s="62"/>
      <c r="D527" s="62">
        <v>4</v>
      </c>
      <c r="E527" s="87" t="s">
        <v>644</v>
      </c>
      <c r="F527" s="62"/>
      <c r="G527" s="85"/>
      <c r="H527" s="85"/>
      <c r="I527" s="85">
        <f t="shared" si="21"/>
        <v>0</v>
      </c>
      <c r="J527" s="68"/>
      <c r="K527" s="68"/>
    </row>
    <row r="528" spans="1:11" x14ac:dyDescent="0.2">
      <c r="A528" s="63"/>
      <c r="B528" s="1"/>
      <c r="C528" s="62"/>
      <c r="D528" s="62">
        <v>5</v>
      </c>
      <c r="E528" s="87" t="s">
        <v>632</v>
      </c>
      <c r="F528" s="67"/>
      <c r="G528" s="85"/>
      <c r="H528" s="85"/>
      <c r="I528" s="85">
        <f t="shared" si="21"/>
        <v>0</v>
      </c>
      <c r="J528" s="68"/>
      <c r="K528" s="68"/>
    </row>
    <row r="529" spans="1:11" x14ac:dyDescent="0.2">
      <c r="A529" s="63"/>
      <c r="B529" s="1"/>
      <c r="C529" s="62"/>
      <c r="D529" s="62">
        <v>6</v>
      </c>
      <c r="E529" s="87" t="s">
        <v>646</v>
      </c>
      <c r="F529" s="67"/>
      <c r="G529" s="85"/>
      <c r="H529" s="85"/>
      <c r="I529" s="85">
        <f t="shared" si="21"/>
        <v>0</v>
      </c>
      <c r="J529" s="68"/>
      <c r="K529" s="68"/>
    </row>
    <row r="530" spans="1:11" x14ac:dyDescent="0.2">
      <c r="A530" s="63"/>
      <c r="B530" s="1"/>
      <c r="C530" s="62"/>
      <c r="D530" s="62">
        <v>7</v>
      </c>
      <c r="E530" s="87" t="s">
        <v>647</v>
      </c>
      <c r="F530" s="67"/>
      <c r="G530" s="85"/>
      <c r="H530" s="85"/>
      <c r="I530" s="85">
        <f t="shared" si="21"/>
        <v>0</v>
      </c>
      <c r="J530" s="68"/>
      <c r="K530" s="68"/>
    </row>
    <row r="531" spans="1:11" x14ac:dyDescent="0.2">
      <c r="A531" s="63"/>
      <c r="B531" s="67"/>
      <c r="C531" s="65"/>
      <c r="D531" s="62"/>
      <c r="E531" s="87"/>
      <c r="F531" s="62"/>
      <c r="G531" s="85"/>
      <c r="H531" s="85"/>
      <c r="I531" s="85"/>
      <c r="J531" s="68"/>
      <c r="K531" s="68"/>
    </row>
    <row r="532" spans="1:11" x14ac:dyDescent="0.2">
      <c r="A532" s="63"/>
      <c r="B532" s="1"/>
      <c r="C532" s="62"/>
      <c r="D532" s="65" t="s">
        <v>17</v>
      </c>
      <c r="E532" s="64"/>
      <c r="F532" s="88"/>
      <c r="G532" s="86">
        <f>SUM(G524:G531)</f>
        <v>0</v>
      </c>
      <c r="H532" s="85"/>
      <c r="I532" s="86">
        <f>SUM(I524:I531)</f>
        <v>1200000</v>
      </c>
      <c r="J532" s="68"/>
      <c r="K532" s="68"/>
    </row>
    <row r="533" spans="1:11" x14ac:dyDescent="0.2">
      <c r="A533" s="63"/>
      <c r="B533" s="1"/>
      <c r="C533" s="62"/>
      <c r="D533" s="62"/>
      <c r="E533" s="62"/>
      <c r="F533" s="62"/>
      <c r="G533" s="85"/>
      <c r="H533" s="85"/>
      <c r="I533" s="85"/>
      <c r="J533" s="68"/>
      <c r="K533" s="68"/>
    </row>
    <row r="534" spans="1:11" x14ac:dyDescent="0.2">
      <c r="A534" s="63"/>
      <c r="B534" s="1"/>
      <c r="C534" s="65" t="s">
        <v>648</v>
      </c>
      <c r="D534" s="65"/>
      <c r="E534" s="65"/>
      <c r="F534" s="62"/>
      <c r="G534" s="304">
        <f>G521-G532</f>
        <v>0</v>
      </c>
      <c r="H534" s="85"/>
      <c r="I534" s="304" t="e">
        <f>I521-I532</f>
        <v>#REF!</v>
      </c>
      <c r="K534" s="68"/>
    </row>
    <row r="535" spans="1:11" x14ac:dyDescent="0.2">
      <c r="A535" s="63"/>
      <c r="B535" s="1"/>
      <c r="C535" s="62"/>
      <c r="D535" s="62"/>
      <c r="E535" s="62"/>
      <c r="F535" s="62"/>
      <c r="G535" s="85"/>
      <c r="H535" s="85"/>
      <c r="I535" s="85"/>
      <c r="J535" s="68"/>
      <c r="K535" s="68"/>
    </row>
    <row r="536" spans="1:11" x14ac:dyDescent="0.2">
      <c r="A536" s="63"/>
      <c r="B536" s="84" t="s">
        <v>650</v>
      </c>
      <c r="C536" s="84" t="s">
        <v>651</v>
      </c>
      <c r="D536" s="74"/>
      <c r="E536" s="67"/>
      <c r="F536" s="67"/>
      <c r="G536" s="85"/>
      <c r="H536" s="85"/>
      <c r="I536" s="85"/>
      <c r="J536" s="68"/>
      <c r="K536" s="68"/>
    </row>
    <row r="537" spans="1:11" x14ac:dyDescent="0.2">
      <c r="A537" s="63"/>
      <c r="B537" s="67"/>
      <c r="C537" s="65"/>
      <c r="D537" s="62" t="s">
        <v>652</v>
      </c>
      <c r="E537" s="62"/>
      <c r="F537" s="62"/>
      <c r="G537" s="85"/>
      <c r="H537" s="85"/>
      <c r="I537" s="85" t="e">
        <f>G537+I465</f>
        <v>#REF!</v>
      </c>
      <c r="J537" s="68"/>
      <c r="K537" s="68"/>
    </row>
    <row r="538" spans="1:11" x14ac:dyDescent="0.2">
      <c r="A538" s="63"/>
      <c r="B538" s="1"/>
      <c r="C538" s="65" t="s">
        <v>653</v>
      </c>
      <c r="D538" s="74"/>
      <c r="E538" s="74"/>
      <c r="F538" s="74"/>
      <c r="G538" s="86">
        <f>SUM(G537)</f>
        <v>0</v>
      </c>
      <c r="H538" s="73"/>
      <c r="I538" s="86" t="e">
        <f>SUM(I537)</f>
        <v>#REF!</v>
      </c>
      <c r="J538" s="68"/>
      <c r="K538" s="68"/>
    </row>
    <row r="539" spans="1:11" x14ac:dyDescent="0.2">
      <c r="A539" s="63"/>
      <c r="B539" s="1"/>
      <c r="C539" s="449"/>
      <c r="D539" s="449"/>
      <c r="E539" s="449"/>
      <c r="F539" s="62"/>
      <c r="G539" s="264"/>
      <c r="H539" s="89"/>
      <c r="I539" s="264"/>
      <c r="J539" s="68"/>
      <c r="K539" s="68"/>
    </row>
    <row r="540" spans="1:11" x14ac:dyDescent="0.2">
      <c r="A540" s="63"/>
      <c r="B540" s="84" t="s">
        <v>654</v>
      </c>
      <c r="C540" s="84" t="s">
        <v>655</v>
      </c>
      <c r="D540" s="62"/>
      <c r="E540" s="62"/>
      <c r="F540" s="62"/>
      <c r="G540" s="89"/>
      <c r="H540" s="89"/>
      <c r="I540" s="89"/>
      <c r="J540" s="68"/>
      <c r="K540" s="68"/>
    </row>
    <row r="541" spans="1:11" x14ac:dyDescent="0.2">
      <c r="A541" s="63"/>
      <c r="B541" s="80"/>
      <c r="C541" s="80"/>
      <c r="D541" s="62" t="s">
        <v>656</v>
      </c>
      <c r="E541" s="80"/>
      <c r="F541" s="67"/>
      <c r="G541" s="264"/>
      <c r="H541" s="89"/>
      <c r="I541" s="85">
        <f>G541+I470</f>
        <v>0</v>
      </c>
      <c r="J541" s="68"/>
      <c r="K541" s="68"/>
    </row>
    <row r="542" spans="1:11" x14ac:dyDescent="0.2">
      <c r="A542" s="63"/>
      <c r="B542" s="84"/>
      <c r="C542" s="62"/>
      <c r="D542" s="62" t="s">
        <v>657</v>
      </c>
      <c r="E542" s="62"/>
      <c r="F542" s="62"/>
      <c r="G542" s="85"/>
      <c r="H542" s="85"/>
      <c r="I542" s="85">
        <f t="shared" ref="I542:I544" si="22">G542+I471</f>
        <v>0</v>
      </c>
      <c r="J542" s="68"/>
      <c r="K542" s="68"/>
    </row>
    <row r="543" spans="1:11" x14ac:dyDescent="0.2">
      <c r="A543" s="63"/>
      <c r="B543" s="1"/>
      <c r="C543" s="62"/>
      <c r="D543" s="74" t="s">
        <v>658</v>
      </c>
      <c r="E543" s="67"/>
      <c r="F543" s="67"/>
      <c r="G543" s="85"/>
      <c r="H543" s="85"/>
      <c r="I543" s="85">
        <f t="shared" si="22"/>
        <v>0</v>
      </c>
      <c r="J543" s="68"/>
      <c r="K543" s="68"/>
    </row>
    <row r="544" spans="1:11" x14ac:dyDescent="0.2">
      <c r="A544" s="63"/>
      <c r="B544" s="67"/>
      <c r="C544" s="65"/>
      <c r="D544" s="62" t="s">
        <v>659</v>
      </c>
      <c r="E544" s="62"/>
      <c r="F544" s="62"/>
      <c r="G544" s="377"/>
      <c r="H544" s="85"/>
      <c r="I544" s="85">
        <f t="shared" si="22"/>
        <v>0</v>
      </c>
      <c r="J544" s="68"/>
      <c r="K544" s="68"/>
    </row>
    <row r="545" spans="1:11" x14ac:dyDescent="0.2">
      <c r="A545" s="63"/>
      <c r="B545" s="1"/>
      <c r="C545" s="65" t="s">
        <v>660</v>
      </c>
      <c r="D545" s="74"/>
      <c r="E545" s="74"/>
      <c r="F545" s="74"/>
      <c r="G545" s="379">
        <f>SUM(G541:G544)</f>
        <v>0</v>
      </c>
      <c r="H545" s="85"/>
      <c r="I545" s="379">
        <f>SUM(I541:I544)</f>
        <v>0</v>
      </c>
      <c r="J545" s="68"/>
      <c r="K545" s="68"/>
    </row>
    <row r="546" spans="1:11" x14ac:dyDescent="0.2">
      <c r="A546" s="63"/>
      <c r="B546" s="1"/>
      <c r="C546" s="62"/>
      <c r="D546" s="62"/>
      <c r="E546" s="62"/>
      <c r="F546" s="62"/>
      <c r="G546" s="377"/>
      <c r="H546" s="85"/>
      <c r="I546" s="85"/>
      <c r="J546" s="68"/>
      <c r="K546" s="68"/>
    </row>
    <row r="547" spans="1:11" x14ac:dyDescent="0.2">
      <c r="A547" s="63"/>
      <c r="B547" s="84" t="s">
        <v>661</v>
      </c>
      <c r="C547" s="84" t="s">
        <v>662</v>
      </c>
      <c r="D547" s="66"/>
      <c r="E547" s="66"/>
      <c r="F547" s="62"/>
      <c r="G547" s="73">
        <f>G534-G538+G545</f>
        <v>0</v>
      </c>
      <c r="H547" s="85"/>
      <c r="I547" s="73" t="e">
        <f>I534-I538+I545</f>
        <v>#REF!</v>
      </c>
      <c r="J547" s="68"/>
      <c r="K547" s="68"/>
    </row>
    <row r="548" spans="1:11" x14ac:dyDescent="0.2">
      <c r="A548" s="63"/>
      <c r="B548" s="1"/>
      <c r="C548" s="62"/>
      <c r="D548" s="62"/>
      <c r="E548" s="62"/>
      <c r="F548" s="62"/>
      <c r="G548" s="85"/>
      <c r="H548" s="85"/>
      <c r="I548" s="85"/>
      <c r="J548" s="68"/>
      <c r="K548" s="68"/>
    </row>
    <row r="549" spans="1:11" x14ac:dyDescent="0.2">
      <c r="A549" s="63"/>
      <c r="B549" s="84" t="s">
        <v>663</v>
      </c>
      <c r="C549" s="84" t="s">
        <v>664</v>
      </c>
      <c r="D549" s="66"/>
      <c r="E549" s="62"/>
      <c r="F549" s="62"/>
      <c r="G549" s="73" t="e">
        <f>G479</f>
        <v>#REF!</v>
      </c>
      <c r="H549" s="73"/>
      <c r="I549" s="73">
        <v>1312251855.8000002</v>
      </c>
      <c r="J549" s="68"/>
      <c r="K549" s="68"/>
    </row>
    <row r="550" spans="1:11" x14ac:dyDescent="0.2">
      <c r="A550" s="63"/>
      <c r="B550" s="1"/>
      <c r="C550" s="62"/>
      <c r="D550" s="62"/>
      <c r="E550" s="62"/>
      <c r="F550" s="62"/>
      <c r="G550" s="73"/>
      <c r="H550" s="73"/>
      <c r="I550" s="73"/>
      <c r="J550" s="68"/>
      <c r="K550" s="68"/>
    </row>
    <row r="551" spans="1:11" x14ac:dyDescent="0.2">
      <c r="A551" s="63"/>
      <c r="B551" s="67" t="s">
        <v>665</v>
      </c>
      <c r="C551" s="65" t="s">
        <v>664</v>
      </c>
      <c r="D551" s="62"/>
      <c r="E551" s="62"/>
      <c r="F551" s="62"/>
      <c r="G551" s="73" t="e">
        <f>G547+G549</f>
        <v>#REF!</v>
      </c>
      <c r="H551" s="73"/>
      <c r="I551" s="73" t="e">
        <f>I547+I549</f>
        <v>#REF!</v>
      </c>
      <c r="J551" s="68"/>
      <c r="K551" s="68"/>
    </row>
    <row r="552" spans="1:11" x14ac:dyDescent="0.2">
      <c r="A552" s="61"/>
      <c r="B552" s="60"/>
      <c r="C552" s="60"/>
      <c r="D552" s="60"/>
      <c r="E552" s="60"/>
      <c r="F552" s="60"/>
      <c r="G552" s="91"/>
      <c r="H552" s="91"/>
      <c r="I552" s="91"/>
      <c r="J552" s="378"/>
      <c r="K552" s="378"/>
    </row>
    <row r="553" spans="1:11" x14ac:dyDescent="0.2">
      <c r="A553" s="459"/>
      <c r="B553" s="459"/>
      <c r="C553" s="459"/>
      <c r="D553" s="459"/>
      <c r="E553" s="459"/>
      <c r="F553" s="62"/>
      <c r="G553" s="92" t="e">
        <f>#REF!</f>
        <v>#REF!</v>
      </c>
      <c r="H553" s="92"/>
      <c r="I553" s="92"/>
    </row>
    <row r="554" spans="1:11" x14ac:dyDescent="0.2">
      <c r="A554" s="447" t="s">
        <v>413</v>
      </c>
      <c r="B554" s="447"/>
      <c r="C554" s="447"/>
      <c r="D554" s="447"/>
      <c r="E554" s="447"/>
      <c r="F554" s="447" t="s">
        <v>410</v>
      </c>
      <c r="G554" s="447"/>
      <c r="H554" s="447"/>
      <c r="I554" s="447"/>
      <c r="J554" s="447"/>
      <c r="K554" s="447"/>
    </row>
    <row r="555" spans="1:11" x14ac:dyDescent="0.2">
      <c r="A555" s="447" t="s">
        <v>480</v>
      </c>
      <c r="B555" s="447"/>
      <c r="C555" s="447"/>
      <c r="D555" s="447"/>
      <c r="E555" s="447"/>
      <c r="F555" s="447" t="s">
        <v>481</v>
      </c>
      <c r="G555" s="447"/>
      <c r="H555" s="447"/>
      <c r="I555" s="447"/>
      <c r="J555" s="447"/>
      <c r="K555" s="447"/>
    </row>
    <row r="556" spans="1:11" x14ac:dyDescent="0.2">
      <c r="A556" s="447"/>
      <c r="B556" s="447"/>
      <c r="C556" s="447"/>
      <c r="D556" s="447"/>
      <c r="E556" s="447"/>
      <c r="F556" s="447"/>
      <c r="G556" s="447"/>
      <c r="H556" s="447"/>
      <c r="I556" s="447"/>
      <c r="J556" s="447"/>
      <c r="K556" s="447"/>
    </row>
    <row r="557" spans="1:11" x14ac:dyDescent="0.2">
      <c r="A557" s="447"/>
      <c r="B557" s="447"/>
      <c r="C557" s="447"/>
      <c r="D557" s="447"/>
      <c r="E557" s="447"/>
      <c r="F557" s="447"/>
      <c r="G557" s="447"/>
      <c r="H557" s="447"/>
      <c r="I557" s="447"/>
      <c r="J557" s="447"/>
      <c r="K557" s="447"/>
    </row>
    <row r="558" spans="1:11" x14ac:dyDescent="0.2">
      <c r="A558" s="447" t="s">
        <v>463</v>
      </c>
      <c r="B558" s="447"/>
      <c r="C558" s="447"/>
      <c r="D558" s="447"/>
      <c r="E558" s="447"/>
      <c r="F558" s="447" t="s">
        <v>411</v>
      </c>
      <c r="G558" s="447"/>
      <c r="H558" s="447"/>
      <c r="I558" s="447"/>
      <c r="J558" s="447"/>
      <c r="K558" s="447"/>
    </row>
    <row r="559" spans="1:11" x14ac:dyDescent="0.2">
      <c r="A559" s="447"/>
      <c r="B559" s="447"/>
      <c r="C559" s="447"/>
      <c r="D559" s="447"/>
      <c r="E559" s="447"/>
      <c r="F559" s="447"/>
      <c r="G559" s="447"/>
      <c r="H559" s="447"/>
      <c r="I559" s="447"/>
      <c r="J559" s="447"/>
      <c r="K559" s="447"/>
    </row>
    <row r="576" spans="1:6" x14ac:dyDescent="0.2">
      <c r="A576" s="450" t="s">
        <v>633</v>
      </c>
      <c r="B576" s="450"/>
      <c r="C576" s="374" t="s">
        <v>634</v>
      </c>
      <c r="D576" s="62"/>
      <c r="E576" s="62"/>
      <c r="F576" s="62"/>
    </row>
    <row r="577" spans="1:11" x14ac:dyDescent="0.2">
      <c r="B577" s="62"/>
      <c r="C577" s="62"/>
      <c r="D577" s="62"/>
      <c r="E577" s="62"/>
      <c r="F577" s="62"/>
    </row>
    <row r="578" spans="1:11" ht="15" x14ac:dyDescent="0.25">
      <c r="A578" s="69"/>
      <c r="B578" s="452"/>
      <c r="C578" s="452"/>
      <c r="D578" s="452"/>
      <c r="E578" s="452"/>
      <c r="F578" s="452"/>
      <c r="G578" s="452"/>
      <c r="H578" s="452"/>
      <c r="I578" s="452"/>
      <c r="J578" s="375"/>
      <c r="K578" s="375"/>
    </row>
    <row r="579" spans="1:11" ht="15" x14ac:dyDescent="0.25">
      <c r="A579" s="63"/>
      <c r="B579" s="448" t="s">
        <v>462</v>
      </c>
      <c r="C579" s="448"/>
      <c r="D579" s="448"/>
      <c r="E579" s="448"/>
      <c r="F579" s="448"/>
      <c r="G579" s="448"/>
      <c r="H579" s="448"/>
      <c r="I579" s="448"/>
      <c r="J579" s="68"/>
      <c r="K579" s="68"/>
    </row>
    <row r="580" spans="1:11" ht="15" x14ac:dyDescent="0.25">
      <c r="A580" s="63"/>
      <c r="B580" s="448" t="s">
        <v>15</v>
      </c>
      <c r="C580" s="448"/>
      <c r="D580" s="448"/>
      <c r="E580" s="448"/>
      <c r="F580" s="448"/>
      <c r="G580" s="448"/>
      <c r="H580" s="448"/>
      <c r="I580" s="448"/>
      <c r="J580" s="68"/>
      <c r="K580" s="68"/>
    </row>
    <row r="581" spans="1:11" ht="15" x14ac:dyDescent="0.25">
      <c r="A581" s="63"/>
      <c r="B581" s="451" t="s">
        <v>672</v>
      </c>
      <c r="C581" s="451"/>
      <c r="D581" s="451"/>
      <c r="E581" s="451"/>
      <c r="F581" s="451"/>
      <c r="G581" s="451"/>
      <c r="H581" s="451"/>
      <c r="I581" s="451"/>
      <c r="J581" s="68"/>
      <c r="K581" s="68"/>
    </row>
    <row r="582" spans="1:11" x14ac:dyDescent="0.2">
      <c r="A582" s="63"/>
      <c r="B582" s="62"/>
      <c r="C582" s="62"/>
      <c r="D582" s="62"/>
      <c r="E582" s="62"/>
      <c r="F582" s="62"/>
      <c r="J582" s="68"/>
      <c r="K582" s="68"/>
    </row>
    <row r="583" spans="1:11" x14ac:dyDescent="0.2">
      <c r="A583" s="63"/>
      <c r="B583" s="453" t="s">
        <v>10</v>
      </c>
      <c r="C583" s="454"/>
      <c r="D583" s="454"/>
      <c r="E583" s="455"/>
      <c r="F583" s="64"/>
      <c r="G583" s="82" t="s">
        <v>12</v>
      </c>
      <c r="H583" s="64"/>
      <c r="I583" s="82" t="s">
        <v>13</v>
      </c>
      <c r="J583" s="68"/>
      <c r="K583" s="68"/>
    </row>
    <row r="584" spans="1:11" x14ac:dyDescent="0.2">
      <c r="A584" s="63"/>
      <c r="B584" s="456"/>
      <c r="C584" s="457"/>
      <c r="D584" s="457"/>
      <c r="E584" s="458"/>
      <c r="F584" s="64"/>
      <c r="G584" s="83" t="s">
        <v>14</v>
      </c>
      <c r="H584" s="64"/>
      <c r="I584" s="83" t="s">
        <v>14</v>
      </c>
      <c r="J584" s="68"/>
      <c r="K584" s="68"/>
    </row>
    <row r="585" spans="1:11" x14ac:dyDescent="0.2">
      <c r="A585" s="63"/>
      <c r="B585" s="84" t="s">
        <v>636</v>
      </c>
      <c r="C585" s="84" t="s">
        <v>649</v>
      </c>
      <c r="D585" s="84"/>
      <c r="E585" s="62"/>
      <c r="F585" s="62"/>
      <c r="G585" s="85"/>
      <c r="H585" s="85"/>
      <c r="I585" s="85"/>
      <c r="J585" s="68"/>
      <c r="K585" s="68"/>
    </row>
    <row r="586" spans="1:11" x14ac:dyDescent="0.2">
      <c r="A586" s="63"/>
      <c r="B586" s="1"/>
      <c r="C586" s="65" t="s">
        <v>637</v>
      </c>
      <c r="D586" s="62"/>
      <c r="E586" s="62"/>
      <c r="F586" s="62"/>
      <c r="G586" s="85"/>
      <c r="H586" s="85"/>
      <c r="I586" s="85"/>
      <c r="J586" s="68"/>
      <c r="K586" s="68"/>
    </row>
    <row r="587" spans="1:11" x14ac:dyDescent="0.2">
      <c r="A587" s="63"/>
      <c r="B587" s="1"/>
      <c r="C587" s="62"/>
      <c r="D587" s="62">
        <v>1</v>
      </c>
      <c r="E587" s="62" t="s">
        <v>638</v>
      </c>
      <c r="F587" s="62"/>
      <c r="G587" s="85"/>
      <c r="H587" s="85"/>
      <c r="I587" s="85" t="e">
        <f>G587+I515</f>
        <v>#REF!</v>
      </c>
      <c r="J587" s="68"/>
      <c r="K587" s="68"/>
    </row>
    <row r="588" spans="1:11" x14ac:dyDescent="0.2">
      <c r="A588" s="63"/>
      <c r="B588" s="1"/>
      <c r="C588" s="62"/>
      <c r="D588" s="62">
        <v>2</v>
      </c>
      <c r="E588" s="62" t="s">
        <v>639</v>
      </c>
      <c r="F588" s="62"/>
      <c r="G588" s="85"/>
      <c r="H588" s="85"/>
      <c r="I588" s="85" t="e">
        <f t="shared" ref="I588:I591" si="23">G588+I516</f>
        <v>#REF!</v>
      </c>
      <c r="J588" s="68"/>
      <c r="K588" s="68"/>
    </row>
    <row r="589" spans="1:11" x14ac:dyDescent="0.2">
      <c r="A589" s="63"/>
      <c r="B589" s="1"/>
      <c r="C589" s="62"/>
      <c r="D589" s="62">
        <v>3</v>
      </c>
      <c r="E589" s="62" t="s">
        <v>640</v>
      </c>
      <c r="F589" s="62"/>
      <c r="G589" s="85"/>
      <c r="H589" s="85"/>
      <c r="I589" s="85" t="e">
        <f t="shared" si="23"/>
        <v>#REF!</v>
      </c>
      <c r="J589" s="68"/>
      <c r="K589" s="68"/>
    </row>
    <row r="590" spans="1:11" x14ac:dyDescent="0.2">
      <c r="A590" s="63"/>
      <c r="B590" s="1"/>
      <c r="C590" s="62"/>
      <c r="D590" s="62">
        <v>4</v>
      </c>
      <c r="E590" s="62" t="s">
        <v>645</v>
      </c>
      <c r="F590" s="62"/>
      <c r="G590" s="85"/>
      <c r="H590" s="85"/>
      <c r="I590" s="85">
        <f t="shared" si="23"/>
        <v>0</v>
      </c>
      <c r="J590" s="68"/>
      <c r="K590" s="68"/>
    </row>
    <row r="591" spans="1:11" x14ac:dyDescent="0.2">
      <c r="A591" s="63"/>
      <c r="B591" s="1"/>
      <c r="C591" s="62"/>
      <c r="D591" s="62">
        <v>5</v>
      </c>
      <c r="E591" s="62" t="s">
        <v>641</v>
      </c>
      <c r="F591" s="62"/>
      <c r="G591" s="85"/>
      <c r="H591" s="85"/>
      <c r="I591" s="85">
        <f t="shared" si="23"/>
        <v>0</v>
      </c>
      <c r="J591" s="68"/>
      <c r="K591" s="68"/>
    </row>
    <row r="592" spans="1:11" x14ac:dyDescent="0.2">
      <c r="A592" s="63"/>
      <c r="B592" s="1"/>
      <c r="C592" s="62"/>
      <c r="D592" s="62"/>
      <c r="E592" s="62"/>
      <c r="F592" s="62"/>
      <c r="G592" s="85"/>
      <c r="H592" s="85"/>
      <c r="I592" s="85"/>
      <c r="J592" s="68"/>
      <c r="K592" s="68"/>
    </row>
    <row r="593" spans="1:11" x14ac:dyDescent="0.2">
      <c r="A593" s="63"/>
      <c r="B593" s="1"/>
      <c r="C593" s="65"/>
      <c r="D593" s="65" t="s">
        <v>16</v>
      </c>
      <c r="E593" s="65"/>
      <c r="F593" s="62"/>
      <c r="G593" s="86">
        <f>SUM(G587:G591)</f>
        <v>0</v>
      </c>
      <c r="H593" s="85"/>
      <c r="I593" s="86" t="e">
        <f>SUM(I587:I591)</f>
        <v>#REF!</v>
      </c>
      <c r="J593" s="68"/>
      <c r="K593" s="68"/>
    </row>
    <row r="594" spans="1:11" x14ac:dyDescent="0.2">
      <c r="A594" s="63"/>
      <c r="B594" s="1"/>
      <c r="C594" s="65"/>
      <c r="D594" s="65"/>
      <c r="E594" s="65"/>
      <c r="F594" s="62"/>
      <c r="G594" s="73"/>
      <c r="H594" s="85"/>
      <c r="I594" s="73"/>
      <c r="J594" s="68"/>
      <c r="K594" s="68"/>
    </row>
    <row r="595" spans="1:11" x14ac:dyDescent="0.2">
      <c r="A595" s="63"/>
      <c r="B595" s="1"/>
      <c r="C595" s="65" t="s">
        <v>642</v>
      </c>
      <c r="D595" s="62"/>
      <c r="E595" s="62"/>
      <c r="F595" s="62"/>
      <c r="G595" s="85"/>
      <c r="H595" s="85"/>
      <c r="I595" s="85"/>
      <c r="J595" s="68"/>
      <c r="K595" s="68"/>
    </row>
    <row r="596" spans="1:11" x14ac:dyDescent="0.2">
      <c r="A596" s="63"/>
      <c r="B596" s="1"/>
      <c r="C596" s="62"/>
      <c r="D596" s="62">
        <v>1</v>
      </c>
      <c r="E596" s="87" t="s">
        <v>190</v>
      </c>
      <c r="F596" s="62"/>
      <c r="G596" s="85"/>
      <c r="H596" s="85"/>
      <c r="I596" s="85">
        <f>G596+I524</f>
        <v>0</v>
      </c>
      <c r="J596" s="68"/>
      <c r="K596" s="68"/>
    </row>
    <row r="597" spans="1:11" x14ac:dyDescent="0.2">
      <c r="A597" s="63"/>
      <c r="B597" s="1"/>
      <c r="C597" s="62"/>
      <c r="D597" s="62">
        <v>2</v>
      </c>
      <c r="E597" s="87" t="s">
        <v>191</v>
      </c>
      <c r="F597" s="62"/>
      <c r="G597" s="85"/>
      <c r="H597" s="85"/>
      <c r="I597" s="85">
        <f t="shared" ref="I597:I602" si="24">G597+I525</f>
        <v>0</v>
      </c>
      <c r="J597" s="68"/>
      <c r="K597" s="68"/>
    </row>
    <row r="598" spans="1:11" x14ac:dyDescent="0.2">
      <c r="A598" s="63"/>
      <c r="B598" s="1"/>
      <c r="C598" s="62"/>
      <c r="D598" s="62">
        <v>3</v>
      </c>
      <c r="E598" s="87" t="s">
        <v>643</v>
      </c>
      <c r="F598" s="67"/>
      <c r="G598" s="85"/>
      <c r="H598" s="85"/>
      <c r="I598" s="85">
        <f t="shared" si="24"/>
        <v>1200000</v>
      </c>
      <c r="J598" s="68"/>
      <c r="K598" s="68"/>
    </row>
    <row r="599" spans="1:11" x14ac:dyDescent="0.2">
      <c r="A599" s="63"/>
      <c r="B599" s="1"/>
      <c r="C599" s="62"/>
      <c r="D599" s="62">
        <v>4</v>
      </c>
      <c r="E599" s="87" t="s">
        <v>644</v>
      </c>
      <c r="F599" s="62"/>
      <c r="G599" s="85"/>
      <c r="H599" s="85"/>
      <c r="I599" s="85">
        <f t="shared" si="24"/>
        <v>0</v>
      </c>
      <c r="J599" s="68"/>
      <c r="K599" s="68"/>
    </row>
    <row r="600" spans="1:11" x14ac:dyDescent="0.2">
      <c r="A600" s="63"/>
      <c r="B600" s="1"/>
      <c r="C600" s="62"/>
      <c r="D600" s="62">
        <v>5</v>
      </c>
      <c r="E600" s="87" t="s">
        <v>632</v>
      </c>
      <c r="F600" s="67"/>
      <c r="G600" s="85"/>
      <c r="H600" s="85"/>
      <c r="I600" s="85">
        <f t="shared" si="24"/>
        <v>0</v>
      </c>
      <c r="J600" s="68"/>
      <c r="K600" s="68"/>
    </row>
    <row r="601" spans="1:11" x14ac:dyDescent="0.2">
      <c r="A601" s="63"/>
      <c r="B601" s="1"/>
      <c r="C601" s="62"/>
      <c r="D601" s="62">
        <v>6</v>
      </c>
      <c r="E601" s="87" t="s">
        <v>646</v>
      </c>
      <c r="F601" s="67"/>
      <c r="G601" s="85"/>
      <c r="H601" s="85"/>
      <c r="I601" s="85">
        <f t="shared" si="24"/>
        <v>0</v>
      </c>
      <c r="J601" s="68"/>
      <c r="K601" s="68"/>
    </row>
    <row r="602" spans="1:11" x14ac:dyDescent="0.2">
      <c r="A602" s="63"/>
      <c r="B602" s="1"/>
      <c r="C602" s="62"/>
      <c r="D602" s="62">
        <v>7</v>
      </c>
      <c r="E602" s="87" t="s">
        <v>647</v>
      </c>
      <c r="F602" s="67"/>
      <c r="G602" s="85"/>
      <c r="H602" s="85"/>
      <c r="I602" s="85">
        <f t="shared" si="24"/>
        <v>0</v>
      </c>
      <c r="J602" s="68"/>
      <c r="K602" s="68"/>
    </row>
    <row r="603" spans="1:11" x14ac:dyDescent="0.2">
      <c r="A603" s="63"/>
      <c r="B603" s="67"/>
      <c r="C603" s="65"/>
      <c r="D603" s="62"/>
      <c r="E603" s="87"/>
      <c r="F603" s="62"/>
      <c r="G603" s="85"/>
      <c r="H603" s="85"/>
      <c r="I603" s="85"/>
      <c r="J603" s="68"/>
      <c r="K603" s="68"/>
    </row>
    <row r="604" spans="1:11" x14ac:dyDescent="0.2">
      <c r="A604" s="63"/>
      <c r="B604" s="1"/>
      <c r="C604" s="62"/>
      <c r="D604" s="65" t="s">
        <v>17</v>
      </c>
      <c r="E604" s="64"/>
      <c r="F604" s="88"/>
      <c r="G604" s="86">
        <f>SUM(G596:G603)</f>
        <v>0</v>
      </c>
      <c r="H604" s="85"/>
      <c r="I604" s="86">
        <f>SUM(I596:I603)</f>
        <v>1200000</v>
      </c>
      <c r="J604" s="68"/>
      <c r="K604" s="68"/>
    </row>
    <row r="605" spans="1:11" x14ac:dyDescent="0.2">
      <c r="A605" s="63"/>
      <c r="B605" s="1"/>
      <c r="C605" s="62"/>
      <c r="D605" s="62"/>
      <c r="E605" s="62"/>
      <c r="F605" s="62"/>
      <c r="G605" s="85"/>
      <c r="H605" s="85"/>
      <c r="I605" s="85"/>
      <c r="J605" s="68"/>
      <c r="K605" s="68"/>
    </row>
    <row r="606" spans="1:11" x14ac:dyDescent="0.2">
      <c r="A606" s="63"/>
      <c r="B606" s="1"/>
      <c r="C606" s="65" t="s">
        <v>648</v>
      </c>
      <c r="D606" s="65"/>
      <c r="E606" s="65"/>
      <c r="F606" s="62"/>
      <c r="G606" s="304">
        <f>G593-G604</f>
        <v>0</v>
      </c>
      <c r="H606" s="85"/>
      <c r="I606" s="304" t="e">
        <f>I593-I604</f>
        <v>#REF!</v>
      </c>
      <c r="K606" s="68"/>
    </row>
    <row r="607" spans="1:11" x14ac:dyDescent="0.2">
      <c r="A607" s="63"/>
      <c r="B607" s="1"/>
      <c r="C607" s="62"/>
      <c r="D607" s="62"/>
      <c r="E607" s="62"/>
      <c r="F607" s="62"/>
      <c r="G607" s="85"/>
      <c r="H607" s="85"/>
      <c r="I607" s="85"/>
      <c r="J607" s="68"/>
      <c r="K607" s="68"/>
    </row>
    <row r="608" spans="1:11" x14ac:dyDescent="0.2">
      <c r="A608" s="63"/>
      <c r="B608" s="84" t="s">
        <v>650</v>
      </c>
      <c r="C608" s="84" t="s">
        <v>651</v>
      </c>
      <c r="D608" s="74"/>
      <c r="E608" s="67"/>
      <c r="F608" s="67"/>
      <c r="G608" s="85"/>
      <c r="H608" s="85"/>
      <c r="I608" s="85"/>
      <c r="J608" s="68"/>
      <c r="K608" s="68"/>
    </row>
    <row r="609" spans="1:11" x14ac:dyDescent="0.2">
      <c r="A609" s="63"/>
      <c r="B609" s="67"/>
      <c r="C609" s="65"/>
      <c r="D609" s="62" t="s">
        <v>652</v>
      </c>
      <c r="E609" s="62"/>
      <c r="F609" s="62"/>
      <c r="G609" s="85"/>
      <c r="H609" s="85"/>
      <c r="I609" s="85" t="e">
        <f>G609+I537</f>
        <v>#REF!</v>
      </c>
      <c r="J609" s="68"/>
      <c r="K609" s="68"/>
    </row>
    <row r="610" spans="1:11" x14ac:dyDescent="0.2">
      <c r="A610" s="63"/>
      <c r="B610" s="1"/>
      <c r="C610" s="65" t="s">
        <v>653</v>
      </c>
      <c r="D610" s="74"/>
      <c r="E610" s="74"/>
      <c r="F610" s="74"/>
      <c r="G610" s="86">
        <f>SUM(G609)</f>
        <v>0</v>
      </c>
      <c r="H610" s="73"/>
      <c r="I610" s="86" t="e">
        <f>SUM(I609)</f>
        <v>#REF!</v>
      </c>
      <c r="J610" s="68"/>
      <c r="K610" s="68"/>
    </row>
    <row r="611" spans="1:11" x14ac:dyDescent="0.2">
      <c r="A611" s="63"/>
      <c r="B611" s="1"/>
      <c r="C611" s="449"/>
      <c r="D611" s="449"/>
      <c r="E611" s="449"/>
      <c r="F611" s="62"/>
      <c r="G611" s="264"/>
      <c r="H611" s="89"/>
      <c r="I611" s="264"/>
      <c r="J611" s="68"/>
      <c r="K611" s="68"/>
    </row>
    <row r="612" spans="1:11" x14ac:dyDescent="0.2">
      <c r="A612" s="63"/>
      <c r="B612" s="84" t="s">
        <v>654</v>
      </c>
      <c r="C612" s="84" t="s">
        <v>655</v>
      </c>
      <c r="D612" s="62"/>
      <c r="E612" s="62"/>
      <c r="F612" s="62"/>
      <c r="G612" s="89"/>
      <c r="H612" s="89"/>
      <c r="I612" s="89"/>
      <c r="J612" s="68"/>
      <c r="K612" s="68"/>
    </row>
    <row r="613" spans="1:11" x14ac:dyDescent="0.2">
      <c r="A613" s="63"/>
      <c r="B613" s="80"/>
      <c r="C613" s="80"/>
      <c r="D613" s="62" t="s">
        <v>656</v>
      </c>
      <c r="E613" s="80"/>
      <c r="F613" s="67"/>
      <c r="G613" s="264"/>
      <c r="H613" s="89"/>
      <c r="I613" s="85">
        <f>G613+I542</f>
        <v>0</v>
      </c>
      <c r="J613" s="68"/>
      <c r="K613" s="68"/>
    </row>
    <row r="614" spans="1:11" x14ac:dyDescent="0.2">
      <c r="A614" s="63"/>
      <c r="B614" s="84"/>
      <c r="C614" s="62"/>
      <c r="D614" s="62" t="s">
        <v>657</v>
      </c>
      <c r="E614" s="62"/>
      <c r="F614" s="62"/>
      <c r="G614" s="85"/>
      <c r="H614" s="85"/>
      <c r="I614" s="85">
        <f t="shared" ref="I614:I616" si="25">G614+I543</f>
        <v>0</v>
      </c>
      <c r="J614" s="68"/>
      <c r="K614" s="68"/>
    </row>
    <row r="615" spans="1:11" x14ac:dyDescent="0.2">
      <c r="A615" s="63"/>
      <c r="B615" s="1"/>
      <c r="C615" s="62"/>
      <c r="D615" s="74" t="s">
        <v>658</v>
      </c>
      <c r="E615" s="67"/>
      <c r="F615" s="67"/>
      <c r="G615" s="85"/>
      <c r="H615" s="85"/>
      <c r="I615" s="85">
        <f t="shared" si="25"/>
        <v>0</v>
      </c>
      <c r="J615" s="68"/>
      <c r="K615" s="68"/>
    </row>
    <row r="616" spans="1:11" x14ac:dyDescent="0.2">
      <c r="A616" s="63"/>
      <c r="B616" s="67"/>
      <c r="C616" s="65"/>
      <c r="D616" s="62" t="s">
        <v>659</v>
      </c>
      <c r="E616" s="62"/>
      <c r="F616" s="62"/>
      <c r="G616" s="377"/>
      <c r="H616" s="85"/>
      <c r="I616" s="85">
        <f t="shared" si="25"/>
        <v>0</v>
      </c>
      <c r="J616" s="68"/>
      <c r="K616" s="68"/>
    </row>
    <row r="617" spans="1:11" x14ac:dyDescent="0.2">
      <c r="A617" s="63"/>
      <c r="B617" s="1"/>
      <c r="C617" s="65" t="s">
        <v>660</v>
      </c>
      <c r="D617" s="74"/>
      <c r="E617" s="74"/>
      <c r="F617" s="74"/>
      <c r="G617" s="379">
        <f>SUM(G613:G616)</f>
        <v>0</v>
      </c>
      <c r="H617" s="85"/>
      <c r="I617" s="379">
        <f>SUM(I613:I616)</f>
        <v>0</v>
      </c>
      <c r="J617" s="68"/>
      <c r="K617" s="68"/>
    </row>
    <row r="618" spans="1:11" x14ac:dyDescent="0.2">
      <c r="A618" s="63"/>
      <c r="B618" s="1"/>
      <c r="C618" s="62"/>
      <c r="D618" s="62"/>
      <c r="E618" s="62"/>
      <c r="F618" s="62"/>
      <c r="G618" s="377"/>
      <c r="H618" s="85"/>
      <c r="I618" s="85"/>
      <c r="J618" s="68"/>
      <c r="K618" s="68"/>
    </row>
    <row r="619" spans="1:11" x14ac:dyDescent="0.2">
      <c r="A619" s="63"/>
      <c r="B619" s="84" t="s">
        <v>661</v>
      </c>
      <c r="C619" s="84" t="s">
        <v>662</v>
      </c>
      <c r="D619" s="66"/>
      <c r="E619" s="66"/>
      <c r="F619" s="62"/>
      <c r="G619" s="73">
        <f>G606-G610+G617</f>
        <v>0</v>
      </c>
      <c r="H619" s="85"/>
      <c r="I619" s="73" t="e">
        <f>I606-I610+I617</f>
        <v>#REF!</v>
      </c>
      <c r="J619" s="68"/>
      <c r="K619" s="68"/>
    </row>
    <row r="620" spans="1:11" x14ac:dyDescent="0.2">
      <c r="A620" s="63"/>
      <c r="B620" s="1"/>
      <c r="C620" s="62"/>
      <c r="D620" s="62"/>
      <c r="E620" s="62"/>
      <c r="F620" s="62"/>
      <c r="G620" s="85"/>
      <c r="H620" s="85"/>
      <c r="I620" s="85"/>
      <c r="J620" s="68"/>
      <c r="K620" s="68"/>
    </row>
    <row r="621" spans="1:11" x14ac:dyDescent="0.2">
      <c r="A621" s="63"/>
      <c r="B621" s="84" t="s">
        <v>663</v>
      </c>
      <c r="C621" s="84" t="s">
        <v>664</v>
      </c>
      <c r="D621" s="66"/>
      <c r="E621" s="62"/>
      <c r="F621" s="62"/>
      <c r="G621" s="73" t="e">
        <f>G551</f>
        <v>#REF!</v>
      </c>
      <c r="H621" s="73"/>
      <c r="I621" s="73">
        <v>1312251855.8000002</v>
      </c>
      <c r="J621" s="68"/>
      <c r="K621" s="68"/>
    </row>
    <row r="622" spans="1:11" x14ac:dyDescent="0.2">
      <c r="A622" s="63"/>
      <c r="B622" s="1"/>
      <c r="C622" s="62"/>
      <c r="D622" s="62"/>
      <c r="E622" s="62"/>
      <c r="F622" s="62"/>
      <c r="G622" s="73"/>
      <c r="H622" s="73"/>
      <c r="I622" s="73"/>
      <c r="J622" s="68"/>
      <c r="K622" s="68"/>
    </row>
    <row r="623" spans="1:11" x14ac:dyDescent="0.2">
      <c r="A623" s="63"/>
      <c r="B623" s="67" t="s">
        <v>665</v>
      </c>
      <c r="C623" s="65" t="s">
        <v>664</v>
      </c>
      <c r="D623" s="62"/>
      <c r="E623" s="62"/>
      <c r="F623" s="62"/>
      <c r="G623" s="73" t="e">
        <f>G619+G621</f>
        <v>#REF!</v>
      </c>
      <c r="H623" s="73"/>
      <c r="I623" s="73" t="e">
        <f>I619+I621</f>
        <v>#REF!</v>
      </c>
      <c r="J623" s="68"/>
      <c r="K623" s="68"/>
    </row>
    <row r="624" spans="1:11" x14ac:dyDescent="0.2">
      <c r="A624" s="61"/>
      <c r="B624" s="60"/>
      <c r="C624" s="60"/>
      <c r="D624" s="60"/>
      <c r="E624" s="60"/>
      <c r="F624" s="60"/>
      <c r="G624" s="91"/>
      <c r="H624" s="91"/>
      <c r="I624" s="91"/>
      <c r="J624" s="378"/>
      <c r="K624" s="378"/>
    </row>
    <row r="625" spans="1:11" x14ac:dyDescent="0.2">
      <c r="A625" s="459"/>
      <c r="B625" s="459"/>
      <c r="C625" s="459"/>
      <c r="D625" s="459"/>
      <c r="E625" s="459"/>
      <c r="F625" s="62"/>
      <c r="G625" s="92"/>
      <c r="H625" s="92"/>
      <c r="I625" s="92"/>
    </row>
    <row r="626" spans="1:11" x14ac:dyDescent="0.2">
      <c r="A626" s="447" t="s">
        <v>413</v>
      </c>
      <c r="B626" s="447"/>
      <c r="C626" s="447"/>
      <c r="D626" s="447"/>
      <c r="E626" s="447"/>
      <c r="F626" s="447" t="s">
        <v>410</v>
      </c>
      <c r="G626" s="447"/>
      <c r="H626" s="447"/>
      <c r="I626" s="447"/>
      <c r="J626" s="447"/>
      <c r="K626" s="447"/>
    </row>
    <row r="627" spans="1:11" x14ac:dyDescent="0.2">
      <c r="A627" s="447" t="s">
        <v>480</v>
      </c>
      <c r="B627" s="447"/>
      <c r="C627" s="447"/>
      <c r="D627" s="447"/>
      <c r="E627" s="447"/>
      <c r="F627" s="447" t="s">
        <v>481</v>
      </c>
      <c r="G627" s="447"/>
      <c r="H627" s="447"/>
      <c r="I627" s="447"/>
      <c r="J627" s="447"/>
      <c r="K627" s="447"/>
    </row>
    <row r="628" spans="1:11" x14ac:dyDescent="0.2">
      <c r="A628" s="447"/>
      <c r="B628" s="447"/>
      <c r="C628" s="447"/>
      <c r="D628" s="447"/>
      <c r="E628" s="447"/>
      <c r="F628" s="447"/>
      <c r="G628" s="447"/>
      <c r="H628" s="447"/>
      <c r="I628" s="447"/>
      <c r="J628" s="447"/>
      <c r="K628" s="447"/>
    </row>
    <row r="629" spans="1:11" x14ac:dyDescent="0.2">
      <c r="A629" s="447"/>
      <c r="B629" s="447"/>
      <c r="C629" s="447"/>
      <c r="D629" s="447"/>
      <c r="E629" s="447"/>
      <c r="F629" s="447"/>
      <c r="G629" s="447"/>
      <c r="H629" s="447"/>
      <c r="I629" s="447"/>
      <c r="J629" s="447"/>
      <c r="K629" s="447"/>
    </row>
    <row r="630" spans="1:11" x14ac:dyDescent="0.2">
      <c r="A630" s="447" t="s">
        <v>463</v>
      </c>
      <c r="B630" s="447"/>
      <c r="C630" s="447"/>
      <c r="D630" s="447"/>
      <c r="E630" s="447"/>
      <c r="F630" s="447" t="s">
        <v>411</v>
      </c>
      <c r="G630" s="447"/>
      <c r="H630" s="447"/>
      <c r="I630" s="447"/>
      <c r="J630" s="447"/>
      <c r="K630" s="447"/>
    </row>
    <row r="631" spans="1:11" x14ac:dyDescent="0.2">
      <c r="A631" s="447"/>
      <c r="B631" s="447"/>
      <c r="C631" s="447"/>
      <c r="D631" s="447"/>
      <c r="E631" s="447"/>
      <c r="F631" s="447"/>
      <c r="G631" s="447"/>
      <c r="H631" s="447"/>
      <c r="I631" s="447"/>
      <c r="J631" s="447"/>
      <c r="K631" s="447"/>
    </row>
    <row r="648" spans="1:11" x14ac:dyDescent="0.2">
      <c r="A648" s="450" t="s">
        <v>633</v>
      </c>
      <c r="B648" s="450"/>
      <c r="C648" s="374" t="s">
        <v>634</v>
      </c>
      <c r="D648" s="62"/>
      <c r="E648" s="62"/>
      <c r="F648" s="62"/>
    </row>
    <row r="649" spans="1:11" x14ac:dyDescent="0.2">
      <c r="B649" s="62"/>
      <c r="C649" s="62"/>
      <c r="D649" s="62"/>
      <c r="E649" s="62"/>
      <c r="F649" s="62"/>
    </row>
    <row r="650" spans="1:11" ht="15" x14ac:dyDescent="0.25">
      <c r="A650" s="69"/>
      <c r="B650" s="452"/>
      <c r="C650" s="452"/>
      <c r="D650" s="452"/>
      <c r="E650" s="452"/>
      <c r="F650" s="452"/>
      <c r="G650" s="452"/>
      <c r="H650" s="452"/>
      <c r="I650" s="452"/>
      <c r="J650" s="375"/>
      <c r="K650" s="375"/>
    </row>
    <row r="651" spans="1:11" ht="15" x14ac:dyDescent="0.25">
      <c r="A651" s="63"/>
      <c r="B651" s="448" t="s">
        <v>462</v>
      </c>
      <c r="C651" s="448"/>
      <c r="D651" s="448"/>
      <c r="E651" s="448"/>
      <c r="F651" s="448"/>
      <c r="G651" s="448"/>
      <c r="H651" s="448"/>
      <c r="I651" s="448"/>
      <c r="J651" s="68"/>
      <c r="K651" s="68"/>
    </row>
    <row r="652" spans="1:11" ht="15" x14ac:dyDescent="0.25">
      <c r="A652" s="63"/>
      <c r="B652" s="448" t="s">
        <v>15</v>
      </c>
      <c r="C652" s="448"/>
      <c r="D652" s="448"/>
      <c r="E652" s="448"/>
      <c r="F652" s="448"/>
      <c r="G652" s="448"/>
      <c r="H652" s="448"/>
      <c r="I652" s="448"/>
      <c r="J652" s="68"/>
      <c r="K652" s="68"/>
    </row>
    <row r="653" spans="1:11" ht="15" x14ac:dyDescent="0.25">
      <c r="A653" s="63"/>
      <c r="B653" s="451" t="s">
        <v>673</v>
      </c>
      <c r="C653" s="451"/>
      <c r="D653" s="451"/>
      <c r="E653" s="451"/>
      <c r="F653" s="451"/>
      <c r="G653" s="451"/>
      <c r="H653" s="451"/>
      <c r="I653" s="451"/>
      <c r="J653" s="68"/>
      <c r="K653" s="68"/>
    </row>
    <row r="654" spans="1:11" x14ac:dyDescent="0.2">
      <c r="A654" s="63"/>
      <c r="B654" s="62"/>
      <c r="C654" s="62"/>
      <c r="D654" s="62"/>
      <c r="E654" s="62"/>
      <c r="F654" s="62"/>
      <c r="J654" s="68"/>
      <c r="K654" s="68"/>
    </row>
    <row r="655" spans="1:11" x14ac:dyDescent="0.2">
      <c r="A655" s="63"/>
      <c r="B655" s="453" t="s">
        <v>10</v>
      </c>
      <c r="C655" s="454"/>
      <c r="D655" s="454"/>
      <c r="E655" s="455"/>
      <c r="F655" s="64"/>
      <c r="G655" s="82" t="s">
        <v>12</v>
      </c>
      <c r="H655" s="64"/>
      <c r="I655" s="82" t="s">
        <v>13</v>
      </c>
      <c r="J655" s="68"/>
      <c r="K655" s="68"/>
    </row>
    <row r="656" spans="1:11" x14ac:dyDescent="0.2">
      <c r="A656" s="63"/>
      <c r="B656" s="456"/>
      <c r="C656" s="457"/>
      <c r="D656" s="457"/>
      <c r="E656" s="458"/>
      <c r="F656" s="64"/>
      <c r="G656" s="83" t="s">
        <v>14</v>
      </c>
      <c r="H656" s="64"/>
      <c r="I656" s="83" t="s">
        <v>14</v>
      </c>
      <c r="J656" s="68"/>
      <c r="K656" s="68"/>
    </row>
    <row r="657" spans="1:11" x14ac:dyDescent="0.2">
      <c r="A657" s="63"/>
      <c r="B657" s="84" t="s">
        <v>636</v>
      </c>
      <c r="C657" s="84" t="s">
        <v>649</v>
      </c>
      <c r="D657" s="84"/>
      <c r="E657" s="62"/>
      <c r="F657" s="62"/>
      <c r="G657" s="85"/>
      <c r="H657" s="85"/>
      <c r="I657" s="85"/>
      <c r="J657" s="68"/>
      <c r="K657" s="68"/>
    </row>
    <row r="658" spans="1:11" x14ac:dyDescent="0.2">
      <c r="A658" s="63"/>
      <c r="B658" s="1"/>
      <c r="C658" s="65" t="s">
        <v>637</v>
      </c>
      <c r="D658" s="62"/>
      <c r="E658" s="62"/>
      <c r="F658" s="62"/>
      <c r="G658" s="85"/>
      <c r="H658" s="85"/>
      <c r="I658" s="85"/>
      <c r="J658" s="68"/>
      <c r="K658" s="68"/>
    </row>
    <row r="659" spans="1:11" x14ac:dyDescent="0.2">
      <c r="A659" s="63"/>
      <c r="B659" s="1"/>
      <c r="C659" s="62"/>
      <c r="D659" s="62">
        <v>1</v>
      </c>
      <c r="E659" s="62" t="s">
        <v>638</v>
      </c>
      <c r="F659" s="62"/>
      <c r="G659" s="85"/>
      <c r="H659" s="85"/>
      <c r="I659" s="85" t="e">
        <f>G659+I587</f>
        <v>#REF!</v>
      </c>
      <c r="J659" s="68"/>
      <c r="K659" s="68"/>
    </row>
    <row r="660" spans="1:11" x14ac:dyDescent="0.2">
      <c r="A660" s="63"/>
      <c r="B660" s="1"/>
      <c r="C660" s="62"/>
      <c r="D660" s="62">
        <v>2</v>
      </c>
      <c r="E660" s="62" t="s">
        <v>639</v>
      </c>
      <c r="F660" s="62"/>
      <c r="G660" s="85"/>
      <c r="H660" s="85"/>
      <c r="I660" s="85" t="e">
        <f t="shared" ref="I660:I663" si="26">G660+I588</f>
        <v>#REF!</v>
      </c>
      <c r="J660" s="68"/>
      <c r="K660" s="68"/>
    </row>
    <row r="661" spans="1:11" x14ac:dyDescent="0.2">
      <c r="A661" s="63"/>
      <c r="B661" s="1"/>
      <c r="C661" s="62"/>
      <c r="D661" s="62">
        <v>3</v>
      </c>
      <c r="E661" s="62" t="s">
        <v>640</v>
      </c>
      <c r="F661" s="62"/>
      <c r="G661" s="85"/>
      <c r="H661" s="85"/>
      <c r="I661" s="85" t="e">
        <f t="shared" si="26"/>
        <v>#REF!</v>
      </c>
      <c r="J661" s="68"/>
      <c r="K661" s="68"/>
    </row>
    <row r="662" spans="1:11" x14ac:dyDescent="0.2">
      <c r="A662" s="63"/>
      <c r="B662" s="1"/>
      <c r="C662" s="62"/>
      <c r="D662" s="62">
        <v>4</v>
      </c>
      <c r="E662" s="62" t="s">
        <v>645</v>
      </c>
      <c r="F662" s="62"/>
      <c r="G662" s="85"/>
      <c r="H662" s="85"/>
      <c r="I662" s="85">
        <f t="shared" si="26"/>
        <v>0</v>
      </c>
      <c r="J662" s="68"/>
      <c r="K662" s="68"/>
    </row>
    <row r="663" spans="1:11" x14ac:dyDescent="0.2">
      <c r="A663" s="63"/>
      <c r="B663" s="1"/>
      <c r="C663" s="62"/>
      <c r="D663" s="62">
        <v>5</v>
      </c>
      <c r="E663" s="62" t="s">
        <v>641</v>
      </c>
      <c r="F663" s="62"/>
      <c r="G663" s="85"/>
      <c r="H663" s="85"/>
      <c r="I663" s="85">
        <f t="shared" si="26"/>
        <v>0</v>
      </c>
      <c r="J663" s="68"/>
      <c r="K663" s="68"/>
    </row>
    <row r="664" spans="1:11" x14ac:dyDescent="0.2">
      <c r="A664" s="63"/>
      <c r="B664" s="1"/>
      <c r="C664" s="62"/>
      <c r="D664" s="62"/>
      <c r="E664" s="62"/>
      <c r="F664" s="62"/>
      <c r="G664" s="85"/>
      <c r="H664" s="85"/>
      <c r="I664" s="85"/>
      <c r="J664" s="68"/>
      <c r="K664" s="68"/>
    </row>
    <row r="665" spans="1:11" x14ac:dyDescent="0.2">
      <c r="A665" s="63"/>
      <c r="B665" s="1"/>
      <c r="C665" s="65"/>
      <c r="D665" s="65" t="s">
        <v>16</v>
      </c>
      <c r="E665" s="65"/>
      <c r="F665" s="62"/>
      <c r="G665" s="86">
        <f>SUM(G659:G663)</f>
        <v>0</v>
      </c>
      <c r="H665" s="85"/>
      <c r="I665" s="86" t="e">
        <f>SUM(I659:I663)</f>
        <v>#REF!</v>
      </c>
      <c r="J665" s="68"/>
      <c r="K665" s="68"/>
    </row>
    <row r="666" spans="1:11" x14ac:dyDescent="0.2">
      <c r="A666" s="63"/>
      <c r="B666" s="1"/>
      <c r="C666" s="65"/>
      <c r="D666" s="65"/>
      <c r="E666" s="65"/>
      <c r="F666" s="62"/>
      <c r="G666" s="73"/>
      <c r="H666" s="85"/>
      <c r="I666" s="73"/>
      <c r="J666" s="68"/>
      <c r="K666" s="68"/>
    </row>
    <row r="667" spans="1:11" x14ac:dyDescent="0.2">
      <c r="A667" s="63"/>
      <c r="B667" s="1"/>
      <c r="C667" s="65" t="s">
        <v>642</v>
      </c>
      <c r="D667" s="62"/>
      <c r="E667" s="62"/>
      <c r="F667" s="62"/>
      <c r="G667" s="85"/>
      <c r="H667" s="85"/>
      <c r="I667" s="85"/>
      <c r="J667" s="68"/>
      <c r="K667" s="68"/>
    </row>
    <row r="668" spans="1:11" x14ac:dyDescent="0.2">
      <c r="A668" s="63"/>
      <c r="B668" s="1"/>
      <c r="C668" s="62"/>
      <c r="D668" s="62">
        <v>1</v>
      </c>
      <c r="E668" s="87" t="s">
        <v>190</v>
      </c>
      <c r="F668" s="62"/>
      <c r="G668" s="85"/>
      <c r="H668" s="85"/>
      <c r="I668" s="85">
        <f>G668+I596</f>
        <v>0</v>
      </c>
      <c r="J668" s="68"/>
      <c r="K668" s="68"/>
    </row>
    <row r="669" spans="1:11" x14ac:dyDescent="0.2">
      <c r="A669" s="63"/>
      <c r="B669" s="1"/>
      <c r="C669" s="62"/>
      <c r="D669" s="62">
        <v>2</v>
      </c>
      <c r="E669" s="87" t="s">
        <v>191</v>
      </c>
      <c r="F669" s="62"/>
      <c r="G669" s="85"/>
      <c r="H669" s="85"/>
      <c r="I669" s="85">
        <f t="shared" ref="I669:I674" si="27">G669+I597</f>
        <v>0</v>
      </c>
      <c r="J669" s="68"/>
      <c r="K669" s="68"/>
    </row>
    <row r="670" spans="1:11" x14ac:dyDescent="0.2">
      <c r="A670" s="63"/>
      <c r="B670" s="1"/>
      <c r="C670" s="62"/>
      <c r="D670" s="62">
        <v>3</v>
      </c>
      <c r="E670" s="87" t="s">
        <v>643</v>
      </c>
      <c r="F670" s="67"/>
      <c r="G670" s="85"/>
      <c r="H670" s="85"/>
      <c r="I670" s="85">
        <f t="shared" si="27"/>
        <v>1200000</v>
      </c>
      <c r="J670" s="68"/>
      <c r="K670" s="68"/>
    </row>
    <row r="671" spans="1:11" x14ac:dyDescent="0.2">
      <c r="A671" s="63"/>
      <c r="B671" s="1"/>
      <c r="C671" s="62"/>
      <c r="D671" s="62">
        <v>4</v>
      </c>
      <c r="E671" s="87" t="s">
        <v>644</v>
      </c>
      <c r="F671" s="62"/>
      <c r="G671" s="85"/>
      <c r="H671" s="85"/>
      <c r="I671" s="85">
        <f t="shared" si="27"/>
        <v>0</v>
      </c>
      <c r="J671" s="68"/>
      <c r="K671" s="68"/>
    </row>
    <row r="672" spans="1:11" x14ac:dyDescent="0.2">
      <c r="A672" s="63"/>
      <c r="B672" s="1"/>
      <c r="C672" s="62"/>
      <c r="D672" s="62">
        <v>5</v>
      </c>
      <c r="E672" s="87" t="s">
        <v>632</v>
      </c>
      <c r="F672" s="67"/>
      <c r="G672" s="85"/>
      <c r="H672" s="85"/>
      <c r="I672" s="85">
        <f t="shared" si="27"/>
        <v>0</v>
      </c>
      <c r="J672" s="68"/>
      <c r="K672" s="68"/>
    </row>
    <row r="673" spans="1:11" x14ac:dyDescent="0.2">
      <c r="A673" s="63"/>
      <c r="B673" s="1"/>
      <c r="C673" s="62"/>
      <c r="D673" s="62">
        <v>6</v>
      </c>
      <c r="E673" s="87" t="s">
        <v>646</v>
      </c>
      <c r="F673" s="67"/>
      <c r="G673" s="85"/>
      <c r="H673" s="85"/>
      <c r="I673" s="85">
        <f t="shared" si="27"/>
        <v>0</v>
      </c>
      <c r="J673" s="68"/>
      <c r="K673" s="68"/>
    </row>
    <row r="674" spans="1:11" x14ac:dyDescent="0.2">
      <c r="A674" s="63"/>
      <c r="B674" s="1"/>
      <c r="C674" s="62"/>
      <c r="D674" s="62">
        <v>7</v>
      </c>
      <c r="E674" s="87" t="s">
        <v>647</v>
      </c>
      <c r="F674" s="67"/>
      <c r="G674" s="85"/>
      <c r="H674" s="85"/>
      <c r="I674" s="85">
        <f t="shared" si="27"/>
        <v>0</v>
      </c>
      <c r="J674" s="68"/>
      <c r="K674" s="68"/>
    </row>
    <row r="675" spans="1:11" x14ac:dyDescent="0.2">
      <c r="A675" s="63"/>
      <c r="B675" s="67"/>
      <c r="C675" s="65"/>
      <c r="D675" s="62"/>
      <c r="E675" s="87"/>
      <c r="F675" s="62"/>
      <c r="G675" s="85"/>
      <c r="H675" s="85"/>
      <c r="I675" s="85"/>
      <c r="J675" s="68"/>
      <c r="K675" s="68"/>
    </row>
    <row r="676" spans="1:11" x14ac:dyDescent="0.2">
      <c r="A676" s="63"/>
      <c r="B676" s="1"/>
      <c r="C676" s="62"/>
      <c r="D676" s="65" t="s">
        <v>17</v>
      </c>
      <c r="E676" s="64"/>
      <c r="F676" s="88"/>
      <c r="G676" s="86">
        <f>SUM(G668:G675)</f>
        <v>0</v>
      </c>
      <c r="H676" s="85"/>
      <c r="I676" s="86">
        <f>SUM(I668:I675)</f>
        <v>1200000</v>
      </c>
      <c r="J676" s="68"/>
      <c r="K676" s="68"/>
    </row>
    <row r="677" spans="1:11" x14ac:dyDescent="0.2">
      <c r="A677" s="63"/>
      <c r="B677" s="1"/>
      <c r="C677" s="62"/>
      <c r="D677" s="62"/>
      <c r="E677" s="62"/>
      <c r="F677" s="62"/>
      <c r="G677" s="85"/>
      <c r="H677" s="85"/>
      <c r="I677" s="85"/>
      <c r="J677" s="68"/>
      <c r="K677" s="68"/>
    </row>
    <row r="678" spans="1:11" x14ac:dyDescent="0.2">
      <c r="A678" s="63"/>
      <c r="B678" s="1"/>
      <c r="C678" s="65" t="s">
        <v>648</v>
      </c>
      <c r="D678" s="65"/>
      <c r="E678" s="65"/>
      <c r="F678" s="62"/>
      <c r="G678" s="304">
        <f>G665-G676</f>
        <v>0</v>
      </c>
      <c r="H678" s="85"/>
      <c r="I678" s="304" t="e">
        <f>I665-I676</f>
        <v>#REF!</v>
      </c>
      <c r="K678" s="68"/>
    </row>
    <row r="679" spans="1:11" x14ac:dyDescent="0.2">
      <c r="A679" s="63"/>
      <c r="B679" s="1"/>
      <c r="C679" s="62"/>
      <c r="D679" s="62"/>
      <c r="E679" s="62"/>
      <c r="F679" s="62"/>
      <c r="G679" s="85"/>
      <c r="H679" s="85"/>
      <c r="I679" s="85"/>
      <c r="J679" s="68"/>
      <c r="K679" s="68"/>
    </row>
    <row r="680" spans="1:11" x14ac:dyDescent="0.2">
      <c r="A680" s="63"/>
      <c r="B680" s="84" t="s">
        <v>650</v>
      </c>
      <c r="C680" s="84" t="s">
        <v>651</v>
      </c>
      <c r="D680" s="74"/>
      <c r="E680" s="67"/>
      <c r="F680" s="67"/>
      <c r="G680" s="85"/>
      <c r="H680" s="85"/>
      <c r="I680" s="85"/>
      <c r="J680" s="68"/>
      <c r="K680" s="68"/>
    </row>
    <row r="681" spans="1:11" x14ac:dyDescent="0.2">
      <c r="A681" s="63"/>
      <c r="B681" s="67"/>
      <c r="C681" s="65"/>
      <c r="D681" s="62" t="s">
        <v>652</v>
      </c>
      <c r="E681" s="62"/>
      <c r="F681" s="62"/>
      <c r="G681" s="85"/>
      <c r="H681" s="85"/>
      <c r="I681" s="85" t="e">
        <f>G681+I609</f>
        <v>#REF!</v>
      </c>
      <c r="J681" s="68"/>
      <c r="K681" s="68"/>
    </row>
    <row r="682" spans="1:11" x14ac:dyDescent="0.2">
      <c r="A682" s="63"/>
      <c r="B682" s="1"/>
      <c r="C682" s="65" t="s">
        <v>653</v>
      </c>
      <c r="D682" s="74"/>
      <c r="E682" s="74"/>
      <c r="F682" s="74"/>
      <c r="G682" s="86">
        <f>SUM(G681)</f>
        <v>0</v>
      </c>
      <c r="H682" s="73"/>
      <c r="I682" s="86" t="e">
        <f>SUM(I681)</f>
        <v>#REF!</v>
      </c>
      <c r="J682" s="68"/>
      <c r="K682" s="68"/>
    </row>
    <row r="683" spans="1:11" x14ac:dyDescent="0.2">
      <c r="A683" s="63"/>
      <c r="B683" s="1"/>
      <c r="C683" s="449"/>
      <c r="D683" s="449"/>
      <c r="E683" s="449"/>
      <c r="F683" s="62"/>
      <c r="G683" s="264"/>
      <c r="H683" s="89"/>
      <c r="I683" s="264"/>
      <c r="J683" s="68"/>
      <c r="K683" s="68"/>
    </row>
    <row r="684" spans="1:11" x14ac:dyDescent="0.2">
      <c r="A684" s="63"/>
      <c r="B684" s="84" t="s">
        <v>654</v>
      </c>
      <c r="C684" s="84" t="s">
        <v>655</v>
      </c>
      <c r="D684" s="62"/>
      <c r="E684" s="62"/>
      <c r="F684" s="62"/>
      <c r="G684" s="89"/>
      <c r="H684" s="89"/>
      <c r="I684" s="89"/>
      <c r="J684" s="68"/>
      <c r="K684" s="68"/>
    </row>
    <row r="685" spans="1:11" x14ac:dyDescent="0.2">
      <c r="A685" s="63"/>
      <c r="B685" s="80"/>
      <c r="C685" s="80"/>
      <c r="D685" s="62" t="s">
        <v>656</v>
      </c>
      <c r="E685" s="80"/>
      <c r="F685" s="67"/>
      <c r="G685" s="264"/>
      <c r="H685" s="89"/>
      <c r="I685" s="85">
        <f>G685+I614</f>
        <v>0</v>
      </c>
      <c r="J685" s="68"/>
      <c r="K685" s="68"/>
    </row>
    <row r="686" spans="1:11" x14ac:dyDescent="0.2">
      <c r="A686" s="63"/>
      <c r="B686" s="84"/>
      <c r="C686" s="62"/>
      <c r="D686" s="62" t="s">
        <v>657</v>
      </c>
      <c r="E686" s="62"/>
      <c r="F686" s="62"/>
      <c r="G686" s="85"/>
      <c r="H686" s="85"/>
      <c r="I686" s="85">
        <f t="shared" ref="I686:I688" si="28">G686+I615</f>
        <v>0</v>
      </c>
      <c r="J686" s="68"/>
      <c r="K686" s="68"/>
    </row>
    <row r="687" spans="1:11" x14ac:dyDescent="0.2">
      <c r="A687" s="63"/>
      <c r="B687" s="1"/>
      <c r="C687" s="62"/>
      <c r="D687" s="74" t="s">
        <v>658</v>
      </c>
      <c r="E687" s="67"/>
      <c r="F687" s="67"/>
      <c r="G687" s="85"/>
      <c r="H687" s="85"/>
      <c r="I687" s="85">
        <f t="shared" si="28"/>
        <v>0</v>
      </c>
      <c r="J687" s="68"/>
      <c r="K687" s="68"/>
    </row>
    <row r="688" spans="1:11" x14ac:dyDescent="0.2">
      <c r="A688" s="63"/>
      <c r="B688" s="67"/>
      <c r="C688" s="65"/>
      <c r="D688" s="62" t="s">
        <v>659</v>
      </c>
      <c r="E688" s="62"/>
      <c r="F688" s="62"/>
      <c r="G688" s="377"/>
      <c r="H688" s="85"/>
      <c r="I688" s="85">
        <f t="shared" si="28"/>
        <v>0</v>
      </c>
      <c r="J688" s="68"/>
      <c r="K688" s="68"/>
    </row>
    <row r="689" spans="1:11" x14ac:dyDescent="0.2">
      <c r="A689" s="63"/>
      <c r="B689" s="1"/>
      <c r="C689" s="65" t="s">
        <v>660</v>
      </c>
      <c r="D689" s="74"/>
      <c r="E689" s="74"/>
      <c r="F689" s="74"/>
      <c r="G689" s="379">
        <f>SUM(G685:G688)</f>
        <v>0</v>
      </c>
      <c r="H689" s="85"/>
      <c r="I689" s="379">
        <f>SUM(I685:I688)</f>
        <v>0</v>
      </c>
      <c r="J689" s="68"/>
      <c r="K689" s="68"/>
    </row>
    <row r="690" spans="1:11" x14ac:dyDescent="0.2">
      <c r="A690" s="63"/>
      <c r="B690" s="1"/>
      <c r="C690" s="62"/>
      <c r="D690" s="62"/>
      <c r="E690" s="62"/>
      <c r="F690" s="62"/>
      <c r="G690" s="377"/>
      <c r="H690" s="85"/>
      <c r="I690" s="85"/>
      <c r="J690" s="68"/>
      <c r="K690" s="68"/>
    </row>
    <row r="691" spans="1:11" x14ac:dyDescent="0.2">
      <c r="A691" s="63"/>
      <c r="B691" s="84" t="s">
        <v>661</v>
      </c>
      <c r="C691" s="84" t="s">
        <v>662</v>
      </c>
      <c r="D691" s="66"/>
      <c r="E691" s="66"/>
      <c r="F691" s="62"/>
      <c r="G691" s="73">
        <f>G678-G682+G689</f>
        <v>0</v>
      </c>
      <c r="H691" s="85"/>
      <c r="I691" s="73" t="e">
        <f>I678-I682+I689</f>
        <v>#REF!</v>
      </c>
      <c r="J691" s="68"/>
      <c r="K691" s="68"/>
    </row>
    <row r="692" spans="1:11" x14ac:dyDescent="0.2">
      <c r="A692" s="63"/>
      <c r="B692" s="1"/>
      <c r="C692" s="62"/>
      <c r="D692" s="62"/>
      <c r="E692" s="62"/>
      <c r="F692" s="62"/>
      <c r="G692" s="85"/>
      <c r="H692" s="85"/>
      <c r="I692" s="85"/>
      <c r="J692" s="68"/>
      <c r="K692" s="68"/>
    </row>
    <row r="693" spans="1:11" x14ac:dyDescent="0.2">
      <c r="A693" s="63"/>
      <c r="B693" s="84" t="s">
        <v>663</v>
      </c>
      <c r="C693" s="84" t="s">
        <v>664</v>
      </c>
      <c r="D693" s="66"/>
      <c r="E693" s="62"/>
      <c r="F693" s="62"/>
      <c r="G693" s="73" t="e">
        <f>G623</f>
        <v>#REF!</v>
      </c>
      <c r="H693" s="73"/>
      <c r="I693" s="73">
        <v>1312251855.8000002</v>
      </c>
      <c r="J693" s="68"/>
      <c r="K693" s="68"/>
    </row>
    <row r="694" spans="1:11" x14ac:dyDescent="0.2">
      <c r="A694" s="63"/>
      <c r="B694" s="1"/>
      <c r="C694" s="62"/>
      <c r="D694" s="62"/>
      <c r="E694" s="62"/>
      <c r="F694" s="62"/>
      <c r="G694" s="73"/>
      <c r="H694" s="73"/>
      <c r="I694" s="73"/>
      <c r="J694" s="68"/>
      <c r="K694" s="68"/>
    </row>
    <row r="695" spans="1:11" x14ac:dyDescent="0.2">
      <c r="A695" s="63"/>
      <c r="B695" s="67" t="s">
        <v>665</v>
      </c>
      <c r="C695" s="65" t="s">
        <v>664</v>
      </c>
      <c r="D695" s="62"/>
      <c r="E695" s="62"/>
      <c r="F695" s="62"/>
      <c r="G695" s="73" t="e">
        <f>G691+G693</f>
        <v>#REF!</v>
      </c>
      <c r="H695" s="73"/>
      <c r="I695" s="73" t="e">
        <f>I691+I693</f>
        <v>#REF!</v>
      </c>
      <c r="J695" s="68"/>
      <c r="K695" s="68"/>
    </row>
    <row r="696" spans="1:11" x14ac:dyDescent="0.2">
      <c r="A696" s="61"/>
      <c r="B696" s="60"/>
      <c r="C696" s="60"/>
      <c r="D696" s="60"/>
      <c r="E696" s="60"/>
      <c r="F696" s="60"/>
      <c r="G696" s="91"/>
      <c r="H696" s="91"/>
      <c r="I696" s="91"/>
      <c r="J696" s="378"/>
      <c r="K696" s="378"/>
    </row>
    <row r="697" spans="1:11" x14ac:dyDescent="0.2">
      <c r="A697" s="459"/>
      <c r="B697" s="459"/>
      <c r="C697" s="459"/>
      <c r="D697" s="459"/>
      <c r="E697" s="459"/>
      <c r="F697" s="62"/>
      <c r="G697" s="92"/>
      <c r="H697" s="92"/>
      <c r="I697" s="92"/>
    </row>
    <row r="698" spans="1:11" x14ac:dyDescent="0.2">
      <c r="A698" s="447" t="s">
        <v>413</v>
      </c>
      <c r="B698" s="447"/>
      <c r="C698" s="447"/>
      <c r="D698" s="447"/>
      <c r="E698" s="447"/>
      <c r="F698" s="447" t="s">
        <v>410</v>
      </c>
      <c r="G698" s="447"/>
      <c r="H698" s="447"/>
      <c r="I698" s="447"/>
      <c r="J698" s="447"/>
      <c r="K698" s="447"/>
    </row>
    <row r="699" spans="1:11" x14ac:dyDescent="0.2">
      <c r="A699" s="447" t="s">
        <v>480</v>
      </c>
      <c r="B699" s="447"/>
      <c r="C699" s="447"/>
      <c r="D699" s="447"/>
      <c r="E699" s="447"/>
      <c r="F699" s="447" t="s">
        <v>481</v>
      </c>
      <c r="G699" s="447"/>
      <c r="H699" s="447"/>
      <c r="I699" s="447"/>
      <c r="J699" s="447"/>
      <c r="K699" s="447"/>
    </row>
    <row r="700" spans="1:11" x14ac:dyDescent="0.2">
      <c r="A700" s="447"/>
      <c r="B700" s="447"/>
      <c r="C700" s="447"/>
      <c r="D700" s="447"/>
      <c r="E700" s="447"/>
      <c r="F700" s="447"/>
      <c r="G700" s="447"/>
      <c r="H700" s="447"/>
      <c r="I700" s="447"/>
      <c r="J700" s="447"/>
      <c r="K700" s="447"/>
    </row>
    <row r="701" spans="1:11" x14ac:dyDescent="0.2">
      <c r="A701" s="447"/>
      <c r="B701" s="447"/>
      <c r="C701" s="447"/>
      <c r="D701" s="447"/>
      <c r="E701" s="447"/>
      <c r="F701" s="447"/>
      <c r="G701" s="447"/>
      <c r="H701" s="447"/>
      <c r="I701" s="447"/>
      <c r="J701" s="447"/>
      <c r="K701" s="447"/>
    </row>
    <row r="702" spans="1:11" x14ac:dyDescent="0.2">
      <c r="A702" s="447" t="s">
        <v>463</v>
      </c>
      <c r="B702" s="447"/>
      <c r="C702" s="447"/>
      <c r="D702" s="447"/>
      <c r="E702" s="447"/>
      <c r="F702" s="447" t="s">
        <v>411</v>
      </c>
      <c r="G702" s="447"/>
      <c r="H702" s="447"/>
      <c r="I702" s="447"/>
      <c r="J702" s="447"/>
      <c r="K702" s="447"/>
    </row>
    <row r="703" spans="1:11" x14ac:dyDescent="0.2">
      <c r="A703" s="447"/>
      <c r="B703" s="447"/>
      <c r="C703" s="447"/>
      <c r="D703" s="447"/>
      <c r="E703" s="447"/>
      <c r="F703" s="447"/>
      <c r="G703" s="447"/>
      <c r="H703" s="447"/>
      <c r="I703" s="447"/>
      <c r="J703" s="447"/>
      <c r="K703" s="447"/>
    </row>
    <row r="720" spans="1:6" x14ac:dyDescent="0.2">
      <c r="A720" s="450" t="s">
        <v>633</v>
      </c>
      <c r="B720" s="450"/>
      <c r="C720" s="374" t="s">
        <v>634</v>
      </c>
      <c r="D720" s="62"/>
      <c r="E720" s="62"/>
      <c r="F720" s="62"/>
    </row>
    <row r="721" spans="1:11" x14ac:dyDescent="0.2">
      <c r="B721" s="62"/>
      <c r="C721" s="62"/>
      <c r="D721" s="62"/>
      <c r="E721" s="62"/>
      <c r="F721" s="62"/>
    </row>
    <row r="722" spans="1:11" ht="15" x14ac:dyDescent="0.25">
      <c r="A722" s="69"/>
      <c r="B722" s="452"/>
      <c r="C722" s="452"/>
      <c r="D722" s="452"/>
      <c r="E722" s="452"/>
      <c r="F722" s="452"/>
      <c r="G722" s="452"/>
      <c r="H722" s="452"/>
      <c r="I722" s="452"/>
      <c r="J722" s="375"/>
      <c r="K722" s="375"/>
    </row>
    <row r="723" spans="1:11" ht="15" x14ac:dyDescent="0.25">
      <c r="A723" s="63"/>
      <c r="B723" s="448" t="s">
        <v>462</v>
      </c>
      <c r="C723" s="448"/>
      <c r="D723" s="448"/>
      <c r="E723" s="448"/>
      <c r="F723" s="448"/>
      <c r="G723" s="448"/>
      <c r="H723" s="448"/>
      <c r="I723" s="448"/>
      <c r="J723" s="68"/>
      <c r="K723" s="68"/>
    </row>
    <row r="724" spans="1:11" ht="15" x14ac:dyDescent="0.25">
      <c r="A724" s="63"/>
      <c r="B724" s="448" t="s">
        <v>15</v>
      </c>
      <c r="C724" s="448"/>
      <c r="D724" s="448"/>
      <c r="E724" s="448"/>
      <c r="F724" s="448"/>
      <c r="G724" s="448"/>
      <c r="H724" s="448"/>
      <c r="I724" s="448"/>
      <c r="J724" s="68"/>
      <c r="K724" s="68"/>
    </row>
    <row r="725" spans="1:11" ht="15" x14ac:dyDescent="0.25">
      <c r="A725" s="63"/>
      <c r="B725" s="451" t="s">
        <v>674</v>
      </c>
      <c r="C725" s="451"/>
      <c r="D725" s="451"/>
      <c r="E725" s="451"/>
      <c r="F725" s="451"/>
      <c r="G725" s="451"/>
      <c r="H725" s="451"/>
      <c r="I725" s="451"/>
      <c r="J725" s="68"/>
      <c r="K725" s="68"/>
    </row>
    <row r="726" spans="1:11" x14ac:dyDescent="0.2">
      <c r="A726" s="63"/>
      <c r="B726" s="62"/>
      <c r="C726" s="62"/>
      <c r="D726" s="62"/>
      <c r="E726" s="62"/>
      <c r="F726" s="62"/>
      <c r="J726" s="68"/>
      <c r="K726" s="68"/>
    </row>
    <row r="727" spans="1:11" x14ac:dyDescent="0.2">
      <c r="A727" s="63"/>
      <c r="B727" s="453" t="s">
        <v>10</v>
      </c>
      <c r="C727" s="454"/>
      <c r="D727" s="454"/>
      <c r="E727" s="455"/>
      <c r="F727" s="64"/>
      <c r="G727" s="82" t="s">
        <v>12</v>
      </c>
      <c r="H727" s="64"/>
      <c r="I727" s="82" t="s">
        <v>13</v>
      </c>
      <c r="J727" s="68"/>
      <c r="K727" s="68"/>
    </row>
    <row r="728" spans="1:11" x14ac:dyDescent="0.2">
      <c r="A728" s="63"/>
      <c r="B728" s="456"/>
      <c r="C728" s="457"/>
      <c r="D728" s="457"/>
      <c r="E728" s="458"/>
      <c r="F728" s="64"/>
      <c r="G728" s="83" t="s">
        <v>14</v>
      </c>
      <c r="H728" s="64"/>
      <c r="I728" s="83" t="s">
        <v>14</v>
      </c>
      <c r="J728" s="68"/>
      <c r="K728" s="68"/>
    </row>
    <row r="729" spans="1:11" x14ac:dyDescent="0.2">
      <c r="A729" s="63"/>
      <c r="B729" s="84" t="s">
        <v>636</v>
      </c>
      <c r="C729" s="84" t="s">
        <v>649</v>
      </c>
      <c r="D729" s="84"/>
      <c r="E729" s="62"/>
      <c r="F729" s="62"/>
      <c r="G729" s="85"/>
      <c r="H729" s="85"/>
      <c r="I729" s="85"/>
      <c r="J729" s="68"/>
      <c r="K729" s="68"/>
    </row>
    <row r="730" spans="1:11" x14ac:dyDescent="0.2">
      <c r="A730" s="63"/>
      <c r="B730" s="1"/>
      <c r="C730" s="65" t="s">
        <v>637</v>
      </c>
      <c r="D730" s="62"/>
      <c r="E730" s="62"/>
      <c r="F730" s="62"/>
      <c r="G730" s="85"/>
      <c r="H730" s="85"/>
      <c r="I730" s="85"/>
      <c r="J730" s="68"/>
      <c r="K730" s="68"/>
    </row>
    <row r="731" spans="1:11" x14ac:dyDescent="0.2">
      <c r="A731" s="63"/>
      <c r="B731" s="1"/>
      <c r="C731" s="62"/>
      <c r="D731" s="62">
        <v>1</v>
      </c>
      <c r="E731" s="62" t="s">
        <v>638</v>
      </c>
      <c r="F731" s="62"/>
      <c r="G731" s="85"/>
      <c r="H731" s="85"/>
      <c r="I731" s="85" t="e">
        <f>G731+I659</f>
        <v>#REF!</v>
      </c>
      <c r="J731" s="68"/>
      <c r="K731" s="68"/>
    </row>
    <row r="732" spans="1:11" x14ac:dyDescent="0.2">
      <c r="A732" s="63"/>
      <c r="B732" s="1"/>
      <c r="C732" s="62"/>
      <c r="D732" s="62">
        <v>2</v>
      </c>
      <c r="E732" s="62" t="s">
        <v>639</v>
      </c>
      <c r="F732" s="62"/>
      <c r="G732" s="85"/>
      <c r="H732" s="85"/>
      <c r="I732" s="85" t="e">
        <f t="shared" ref="I732:I735" si="29">G732+I660</f>
        <v>#REF!</v>
      </c>
      <c r="J732" s="68"/>
      <c r="K732" s="68"/>
    </row>
    <row r="733" spans="1:11" x14ac:dyDescent="0.2">
      <c r="A733" s="63"/>
      <c r="B733" s="1"/>
      <c r="C733" s="62"/>
      <c r="D733" s="62">
        <v>3</v>
      </c>
      <c r="E733" s="62" t="s">
        <v>640</v>
      </c>
      <c r="F733" s="62"/>
      <c r="G733" s="85"/>
      <c r="H733" s="85"/>
      <c r="I733" s="85" t="e">
        <f t="shared" si="29"/>
        <v>#REF!</v>
      </c>
      <c r="J733" s="68"/>
      <c r="K733" s="68"/>
    </row>
    <row r="734" spans="1:11" x14ac:dyDescent="0.2">
      <c r="A734" s="63"/>
      <c r="B734" s="1"/>
      <c r="C734" s="62"/>
      <c r="D734" s="62">
        <v>4</v>
      </c>
      <c r="E734" s="62" t="s">
        <v>645</v>
      </c>
      <c r="F734" s="62"/>
      <c r="G734" s="85"/>
      <c r="H734" s="85"/>
      <c r="I734" s="85">
        <f t="shared" si="29"/>
        <v>0</v>
      </c>
      <c r="J734" s="68"/>
      <c r="K734" s="68"/>
    </row>
    <row r="735" spans="1:11" x14ac:dyDescent="0.2">
      <c r="A735" s="63"/>
      <c r="B735" s="1"/>
      <c r="C735" s="62"/>
      <c r="D735" s="62">
        <v>5</v>
      </c>
      <c r="E735" s="62" t="s">
        <v>641</v>
      </c>
      <c r="F735" s="62"/>
      <c r="G735" s="85"/>
      <c r="H735" s="85"/>
      <c r="I735" s="85">
        <f t="shared" si="29"/>
        <v>0</v>
      </c>
      <c r="J735" s="68"/>
      <c r="K735" s="68"/>
    </row>
    <row r="736" spans="1:11" x14ac:dyDescent="0.2">
      <c r="A736" s="63"/>
      <c r="B736" s="1"/>
      <c r="C736" s="62"/>
      <c r="D736" s="62"/>
      <c r="E736" s="62"/>
      <c r="F736" s="62"/>
      <c r="G736" s="85"/>
      <c r="H736" s="85"/>
      <c r="I736" s="85"/>
      <c r="J736" s="68"/>
      <c r="K736" s="68"/>
    </row>
    <row r="737" spans="1:11" x14ac:dyDescent="0.2">
      <c r="A737" s="63"/>
      <c r="B737" s="1"/>
      <c r="C737" s="65"/>
      <c r="D737" s="65" t="s">
        <v>16</v>
      </c>
      <c r="E737" s="65"/>
      <c r="F737" s="62"/>
      <c r="G737" s="86">
        <f>SUM(G731:G735)</f>
        <v>0</v>
      </c>
      <c r="H737" s="85"/>
      <c r="I737" s="86" t="e">
        <f>SUM(I731:I735)</f>
        <v>#REF!</v>
      </c>
      <c r="J737" s="68"/>
      <c r="K737" s="68"/>
    </row>
    <row r="738" spans="1:11" x14ac:dyDescent="0.2">
      <c r="A738" s="63"/>
      <c r="B738" s="1"/>
      <c r="C738" s="65"/>
      <c r="D738" s="65"/>
      <c r="E738" s="65"/>
      <c r="F738" s="62"/>
      <c r="G738" s="73"/>
      <c r="H738" s="85"/>
      <c r="I738" s="73"/>
      <c r="J738" s="68"/>
      <c r="K738" s="68"/>
    </row>
    <row r="739" spans="1:11" x14ac:dyDescent="0.2">
      <c r="A739" s="63"/>
      <c r="B739" s="1"/>
      <c r="C739" s="65" t="s">
        <v>642</v>
      </c>
      <c r="D739" s="62"/>
      <c r="E739" s="62"/>
      <c r="F739" s="62"/>
      <c r="G739" s="85"/>
      <c r="H739" s="85"/>
      <c r="I739" s="85"/>
      <c r="J739" s="68"/>
      <c r="K739" s="68"/>
    </row>
    <row r="740" spans="1:11" x14ac:dyDescent="0.2">
      <c r="A740" s="63"/>
      <c r="B740" s="1"/>
      <c r="C740" s="62"/>
      <c r="D740" s="62">
        <v>1</v>
      </c>
      <c r="E740" s="87" t="s">
        <v>190</v>
      </c>
      <c r="F740" s="62"/>
      <c r="G740" s="85"/>
      <c r="H740" s="85"/>
      <c r="I740" s="85">
        <f>G740+I668</f>
        <v>0</v>
      </c>
      <c r="J740" s="68"/>
      <c r="K740" s="68"/>
    </row>
    <row r="741" spans="1:11" x14ac:dyDescent="0.2">
      <c r="A741" s="63"/>
      <c r="B741" s="1"/>
      <c r="C741" s="62"/>
      <c r="D741" s="62">
        <v>2</v>
      </c>
      <c r="E741" s="87" t="s">
        <v>191</v>
      </c>
      <c r="F741" s="62"/>
      <c r="G741" s="85"/>
      <c r="H741" s="85"/>
      <c r="I741" s="85">
        <f t="shared" ref="I741:I746" si="30">G741+I669</f>
        <v>0</v>
      </c>
      <c r="J741" s="68"/>
      <c r="K741" s="68"/>
    </row>
    <row r="742" spans="1:11" x14ac:dyDescent="0.2">
      <c r="A742" s="63"/>
      <c r="B742" s="1"/>
      <c r="C742" s="62"/>
      <c r="D742" s="62">
        <v>3</v>
      </c>
      <c r="E742" s="87" t="s">
        <v>643</v>
      </c>
      <c r="F742" s="67"/>
      <c r="G742" s="85"/>
      <c r="H742" s="85"/>
      <c r="I742" s="85">
        <f t="shared" si="30"/>
        <v>1200000</v>
      </c>
      <c r="J742" s="68"/>
      <c r="K742" s="68"/>
    </row>
    <row r="743" spans="1:11" x14ac:dyDescent="0.2">
      <c r="A743" s="63"/>
      <c r="B743" s="1"/>
      <c r="C743" s="62"/>
      <c r="D743" s="62">
        <v>4</v>
      </c>
      <c r="E743" s="87" t="s">
        <v>644</v>
      </c>
      <c r="F743" s="62"/>
      <c r="G743" s="85"/>
      <c r="H743" s="85"/>
      <c r="I743" s="85">
        <f t="shared" si="30"/>
        <v>0</v>
      </c>
      <c r="J743" s="68"/>
      <c r="K743" s="68"/>
    </row>
    <row r="744" spans="1:11" x14ac:dyDescent="0.2">
      <c r="A744" s="63"/>
      <c r="B744" s="1"/>
      <c r="C744" s="62"/>
      <c r="D744" s="62">
        <v>5</v>
      </c>
      <c r="E744" s="87" t="s">
        <v>632</v>
      </c>
      <c r="F744" s="67"/>
      <c r="G744" s="85"/>
      <c r="H744" s="85"/>
      <c r="I744" s="85">
        <f t="shared" si="30"/>
        <v>0</v>
      </c>
      <c r="J744" s="68"/>
      <c r="K744" s="68"/>
    </row>
    <row r="745" spans="1:11" x14ac:dyDescent="0.2">
      <c r="A745" s="63"/>
      <c r="B745" s="1"/>
      <c r="C745" s="62"/>
      <c r="D745" s="62">
        <v>6</v>
      </c>
      <c r="E745" s="87" t="s">
        <v>646</v>
      </c>
      <c r="F745" s="67"/>
      <c r="G745" s="85"/>
      <c r="H745" s="85"/>
      <c r="I745" s="85">
        <f t="shared" si="30"/>
        <v>0</v>
      </c>
      <c r="J745" s="68"/>
      <c r="K745" s="68"/>
    </row>
    <row r="746" spans="1:11" x14ac:dyDescent="0.2">
      <c r="A746" s="63"/>
      <c r="B746" s="1"/>
      <c r="C746" s="62"/>
      <c r="D746" s="62">
        <v>7</v>
      </c>
      <c r="E746" s="87" t="s">
        <v>647</v>
      </c>
      <c r="F746" s="67"/>
      <c r="G746" s="85"/>
      <c r="H746" s="85"/>
      <c r="I746" s="85">
        <f t="shared" si="30"/>
        <v>0</v>
      </c>
      <c r="J746" s="68"/>
      <c r="K746" s="68"/>
    </row>
    <row r="747" spans="1:11" x14ac:dyDescent="0.2">
      <c r="A747" s="63"/>
      <c r="B747" s="67"/>
      <c r="C747" s="65"/>
      <c r="D747" s="62"/>
      <c r="E747" s="87"/>
      <c r="F747" s="62"/>
      <c r="G747" s="85"/>
      <c r="H747" s="85"/>
      <c r="I747" s="85"/>
      <c r="J747" s="68"/>
      <c r="K747" s="68"/>
    </row>
    <row r="748" spans="1:11" x14ac:dyDescent="0.2">
      <c r="A748" s="63"/>
      <c r="B748" s="1"/>
      <c r="C748" s="62"/>
      <c r="D748" s="65" t="s">
        <v>17</v>
      </c>
      <c r="E748" s="64"/>
      <c r="F748" s="88"/>
      <c r="G748" s="86">
        <f>SUM(G740:G747)</f>
        <v>0</v>
      </c>
      <c r="H748" s="85"/>
      <c r="I748" s="86">
        <f>SUM(I740:I747)</f>
        <v>1200000</v>
      </c>
      <c r="J748" s="68"/>
      <c r="K748" s="68"/>
    </row>
    <row r="749" spans="1:11" x14ac:dyDescent="0.2">
      <c r="A749" s="63"/>
      <c r="B749" s="1"/>
      <c r="C749" s="62"/>
      <c r="D749" s="62"/>
      <c r="E749" s="62"/>
      <c r="F749" s="62"/>
      <c r="G749" s="85"/>
      <c r="H749" s="85"/>
      <c r="I749" s="85"/>
      <c r="J749" s="68"/>
      <c r="K749" s="68"/>
    </row>
    <row r="750" spans="1:11" x14ac:dyDescent="0.2">
      <c r="A750" s="63"/>
      <c r="B750" s="1"/>
      <c r="C750" s="65" t="s">
        <v>648</v>
      </c>
      <c r="D750" s="65"/>
      <c r="E750" s="65"/>
      <c r="F750" s="62"/>
      <c r="G750" s="304">
        <f>G737-G748</f>
        <v>0</v>
      </c>
      <c r="H750" s="85"/>
      <c r="I750" s="304" t="e">
        <f>I737-I748</f>
        <v>#REF!</v>
      </c>
      <c r="K750" s="68"/>
    </row>
    <row r="751" spans="1:11" x14ac:dyDescent="0.2">
      <c r="A751" s="63"/>
      <c r="B751" s="1"/>
      <c r="C751" s="62"/>
      <c r="D751" s="62"/>
      <c r="E751" s="62"/>
      <c r="F751" s="62"/>
      <c r="G751" s="85"/>
      <c r="H751" s="85"/>
      <c r="I751" s="85"/>
      <c r="J751" s="68"/>
      <c r="K751" s="68"/>
    </row>
    <row r="752" spans="1:11" x14ac:dyDescent="0.2">
      <c r="A752" s="63"/>
      <c r="B752" s="84" t="s">
        <v>650</v>
      </c>
      <c r="C752" s="84" t="s">
        <v>651</v>
      </c>
      <c r="D752" s="74"/>
      <c r="E752" s="67"/>
      <c r="F752" s="67"/>
      <c r="G752" s="85"/>
      <c r="H752" s="85"/>
      <c r="I752" s="85"/>
      <c r="J752" s="68"/>
      <c r="K752" s="68"/>
    </row>
    <row r="753" spans="1:11" x14ac:dyDescent="0.2">
      <c r="A753" s="63"/>
      <c r="B753" s="67"/>
      <c r="C753" s="65"/>
      <c r="D753" s="62" t="s">
        <v>652</v>
      </c>
      <c r="E753" s="62"/>
      <c r="F753" s="62"/>
      <c r="G753" s="85"/>
      <c r="H753" s="85"/>
      <c r="I753" s="85" t="e">
        <f>G753+I681</f>
        <v>#REF!</v>
      </c>
      <c r="J753" s="68"/>
      <c r="K753" s="68"/>
    </row>
    <row r="754" spans="1:11" x14ac:dyDescent="0.2">
      <c r="A754" s="63"/>
      <c r="B754" s="1"/>
      <c r="C754" s="65" t="s">
        <v>653</v>
      </c>
      <c r="D754" s="74"/>
      <c r="E754" s="74"/>
      <c r="F754" s="74"/>
      <c r="G754" s="86">
        <f>SUM(G753)</f>
        <v>0</v>
      </c>
      <c r="H754" s="73"/>
      <c r="I754" s="86" t="e">
        <f>SUM(I753)</f>
        <v>#REF!</v>
      </c>
      <c r="J754" s="68"/>
      <c r="K754" s="68"/>
    </row>
    <row r="755" spans="1:11" x14ac:dyDescent="0.2">
      <c r="A755" s="63"/>
      <c r="B755" s="1"/>
      <c r="C755" s="449"/>
      <c r="D755" s="449"/>
      <c r="E755" s="449"/>
      <c r="F755" s="62"/>
      <c r="G755" s="264"/>
      <c r="H755" s="89"/>
      <c r="I755" s="264"/>
      <c r="J755" s="68"/>
      <c r="K755" s="68"/>
    </row>
    <row r="756" spans="1:11" x14ac:dyDescent="0.2">
      <c r="A756" s="63"/>
      <c r="B756" s="84" t="s">
        <v>654</v>
      </c>
      <c r="C756" s="84" t="s">
        <v>655</v>
      </c>
      <c r="D756" s="62"/>
      <c r="E756" s="62"/>
      <c r="F756" s="62"/>
      <c r="G756" s="89"/>
      <c r="H756" s="89"/>
      <c r="I756" s="89"/>
      <c r="J756" s="68"/>
      <c r="K756" s="68"/>
    </row>
    <row r="757" spans="1:11" x14ac:dyDescent="0.2">
      <c r="A757" s="63"/>
      <c r="B757" s="80"/>
      <c r="C757" s="80"/>
      <c r="D757" s="62" t="s">
        <v>656</v>
      </c>
      <c r="E757" s="80"/>
      <c r="F757" s="67"/>
      <c r="G757" s="264"/>
      <c r="H757" s="89"/>
      <c r="I757" s="85">
        <f>G757+I686</f>
        <v>0</v>
      </c>
      <c r="J757" s="68"/>
      <c r="K757" s="68"/>
    </row>
    <row r="758" spans="1:11" x14ac:dyDescent="0.2">
      <c r="A758" s="63"/>
      <c r="B758" s="84"/>
      <c r="C758" s="62"/>
      <c r="D758" s="62" t="s">
        <v>657</v>
      </c>
      <c r="E758" s="62"/>
      <c r="F758" s="62"/>
      <c r="G758" s="85"/>
      <c r="H758" s="85"/>
      <c r="I758" s="85">
        <f t="shared" ref="I758:I760" si="31">G758+I687</f>
        <v>0</v>
      </c>
      <c r="J758" s="68"/>
      <c r="K758" s="68"/>
    </row>
    <row r="759" spans="1:11" x14ac:dyDescent="0.2">
      <c r="A759" s="63"/>
      <c r="B759" s="1"/>
      <c r="C759" s="62"/>
      <c r="D759" s="74" t="s">
        <v>658</v>
      </c>
      <c r="E759" s="67"/>
      <c r="F759" s="67"/>
      <c r="G759" s="85"/>
      <c r="H759" s="85"/>
      <c r="I759" s="85">
        <f t="shared" si="31"/>
        <v>0</v>
      </c>
      <c r="J759" s="68"/>
      <c r="K759" s="68"/>
    </row>
    <row r="760" spans="1:11" x14ac:dyDescent="0.2">
      <c r="A760" s="63"/>
      <c r="B760" s="67"/>
      <c r="C760" s="65"/>
      <c r="D760" s="62" t="s">
        <v>659</v>
      </c>
      <c r="E760" s="62"/>
      <c r="F760" s="62"/>
      <c r="G760" s="377"/>
      <c r="H760" s="85"/>
      <c r="I760" s="85">
        <f t="shared" si="31"/>
        <v>0</v>
      </c>
      <c r="J760" s="68"/>
      <c r="K760" s="68"/>
    </row>
    <row r="761" spans="1:11" x14ac:dyDescent="0.2">
      <c r="A761" s="63"/>
      <c r="B761" s="1"/>
      <c r="C761" s="65" t="s">
        <v>660</v>
      </c>
      <c r="D761" s="74"/>
      <c r="E761" s="74"/>
      <c r="F761" s="74"/>
      <c r="G761" s="379">
        <f>SUM(G757:G760)</f>
        <v>0</v>
      </c>
      <c r="H761" s="85"/>
      <c r="I761" s="379">
        <f>SUM(I757:I760)</f>
        <v>0</v>
      </c>
      <c r="J761" s="68"/>
      <c r="K761" s="68"/>
    </row>
    <row r="762" spans="1:11" x14ac:dyDescent="0.2">
      <c r="A762" s="63"/>
      <c r="B762" s="1"/>
      <c r="C762" s="62"/>
      <c r="D762" s="62"/>
      <c r="E762" s="62"/>
      <c r="F762" s="62"/>
      <c r="G762" s="377"/>
      <c r="H762" s="85"/>
      <c r="I762" s="85"/>
      <c r="J762" s="68"/>
      <c r="K762" s="68"/>
    </row>
    <row r="763" spans="1:11" x14ac:dyDescent="0.2">
      <c r="A763" s="63"/>
      <c r="B763" s="84" t="s">
        <v>661</v>
      </c>
      <c r="C763" s="84" t="s">
        <v>662</v>
      </c>
      <c r="D763" s="66"/>
      <c r="E763" s="66"/>
      <c r="F763" s="62"/>
      <c r="G763" s="73">
        <f>G750-G754+G761</f>
        <v>0</v>
      </c>
      <c r="H763" s="85"/>
      <c r="I763" s="73" t="e">
        <f>I750-I754+I761</f>
        <v>#REF!</v>
      </c>
      <c r="J763" s="68"/>
      <c r="K763" s="68"/>
    </row>
    <row r="764" spans="1:11" x14ac:dyDescent="0.2">
      <c r="A764" s="63"/>
      <c r="B764" s="1"/>
      <c r="C764" s="62"/>
      <c r="D764" s="62"/>
      <c r="E764" s="62"/>
      <c r="F764" s="62"/>
      <c r="G764" s="85"/>
      <c r="H764" s="85"/>
      <c r="I764" s="85"/>
      <c r="J764" s="68"/>
      <c r="K764" s="68"/>
    </row>
    <row r="765" spans="1:11" x14ac:dyDescent="0.2">
      <c r="A765" s="63"/>
      <c r="B765" s="84" t="s">
        <v>663</v>
      </c>
      <c r="C765" s="84" t="s">
        <v>664</v>
      </c>
      <c r="D765" s="66"/>
      <c r="E765" s="62"/>
      <c r="F765" s="62"/>
      <c r="G765" s="73" t="e">
        <f>G695</f>
        <v>#REF!</v>
      </c>
      <c r="H765" s="73"/>
      <c r="I765" s="73">
        <v>1312251855.8000002</v>
      </c>
      <c r="J765" s="68"/>
      <c r="K765" s="68"/>
    </row>
    <row r="766" spans="1:11" x14ac:dyDescent="0.2">
      <c r="A766" s="63"/>
      <c r="B766" s="1"/>
      <c r="C766" s="62"/>
      <c r="D766" s="62"/>
      <c r="E766" s="62"/>
      <c r="F766" s="62"/>
      <c r="G766" s="73"/>
      <c r="H766" s="73"/>
      <c r="I766" s="73"/>
      <c r="J766" s="68"/>
      <c r="K766" s="68"/>
    </row>
    <row r="767" spans="1:11" x14ac:dyDescent="0.2">
      <c r="A767" s="63"/>
      <c r="B767" s="67" t="s">
        <v>665</v>
      </c>
      <c r="C767" s="65" t="s">
        <v>664</v>
      </c>
      <c r="D767" s="62"/>
      <c r="E767" s="62"/>
      <c r="F767" s="62"/>
      <c r="G767" s="73" t="e">
        <f>G763+G765</f>
        <v>#REF!</v>
      </c>
      <c r="H767" s="73"/>
      <c r="I767" s="73" t="e">
        <f>I763+I765</f>
        <v>#REF!</v>
      </c>
      <c r="J767" s="68"/>
      <c r="K767" s="68"/>
    </row>
    <row r="768" spans="1:11" x14ac:dyDescent="0.2">
      <c r="A768" s="61"/>
      <c r="B768" s="60"/>
      <c r="C768" s="60"/>
      <c r="D768" s="60"/>
      <c r="E768" s="60"/>
      <c r="F768" s="60"/>
      <c r="G768" s="91"/>
      <c r="H768" s="91"/>
      <c r="I768" s="91"/>
      <c r="J768" s="378"/>
      <c r="K768" s="378"/>
    </row>
    <row r="769" spans="1:11" x14ac:dyDescent="0.2">
      <c r="A769" s="459"/>
      <c r="B769" s="459"/>
      <c r="C769" s="459"/>
      <c r="D769" s="459"/>
      <c r="E769" s="459"/>
      <c r="F769" s="62"/>
      <c r="G769" s="92"/>
      <c r="H769" s="92"/>
      <c r="I769" s="92"/>
    </row>
    <row r="770" spans="1:11" x14ac:dyDescent="0.2">
      <c r="A770" s="447" t="s">
        <v>413</v>
      </c>
      <c r="B770" s="447"/>
      <c r="C770" s="447"/>
      <c r="D770" s="447"/>
      <c r="E770" s="447"/>
      <c r="F770" s="447" t="s">
        <v>410</v>
      </c>
      <c r="G770" s="447"/>
      <c r="H770" s="447"/>
      <c r="I770" s="447"/>
      <c r="J770" s="447"/>
      <c r="K770" s="447"/>
    </row>
    <row r="771" spans="1:11" x14ac:dyDescent="0.2">
      <c r="A771" s="447" t="s">
        <v>480</v>
      </c>
      <c r="B771" s="447"/>
      <c r="C771" s="447"/>
      <c r="D771" s="447"/>
      <c r="E771" s="447"/>
      <c r="F771" s="447" t="s">
        <v>481</v>
      </c>
      <c r="G771" s="447"/>
      <c r="H771" s="447"/>
      <c r="I771" s="447"/>
      <c r="J771" s="447"/>
      <c r="K771" s="447"/>
    </row>
    <row r="772" spans="1:11" x14ac:dyDescent="0.2">
      <c r="A772" s="447"/>
      <c r="B772" s="447"/>
      <c r="C772" s="447"/>
      <c r="D772" s="447"/>
      <c r="E772" s="447"/>
      <c r="F772" s="447"/>
      <c r="G772" s="447"/>
      <c r="H772" s="447"/>
      <c r="I772" s="447"/>
      <c r="J772" s="447"/>
      <c r="K772" s="447"/>
    </row>
    <row r="773" spans="1:11" x14ac:dyDescent="0.2">
      <c r="A773" s="447"/>
      <c r="B773" s="447"/>
      <c r="C773" s="447"/>
      <c r="D773" s="447"/>
      <c r="E773" s="447"/>
      <c r="F773" s="447"/>
      <c r="G773" s="447"/>
      <c r="H773" s="447"/>
      <c r="I773" s="447"/>
      <c r="J773" s="447"/>
      <c r="K773" s="447"/>
    </row>
    <row r="774" spans="1:11" x14ac:dyDescent="0.2">
      <c r="A774" s="447" t="s">
        <v>463</v>
      </c>
      <c r="B774" s="447"/>
      <c r="C774" s="447"/>
      <c r="D774" s="447"/>
      <c r="E774" s="447"/>
      <c r="F774" s="447" t="s">
        <v>411</v>
      </c>
      <c r="G774" s="447"/>
      <c r="H774" s="447"/>
      <c r="I774" s="447"/>
      <c r="J774" s="447"/>
      <c r="K774" s="447"/>
    </row>
    <row r="775" spans="1:11" x14ac:dyDescent="0.2">
      <c r="A775" s="447"/>
      <c r="B775" s="447"/>
      <c r="C775" s="447"/>
      <c r="D775" s="447"/>
      <c r="E775" s="447"/>
      <c r="F775" s="447"/>
      <c r="G775" s="447"/>
      <c r="H775" s="447"/>
      <c r="I775" s="447"/>
      <c r="J775" s="447"/>
      <c r="K775" s="447"/>
    </row>
    <row r="792" spans="1:11" x14ac:dyDescent="0.2">
      <c r="A792" s="450" t="s">
        <v>633</v>
      </c>
      <c r="B792" s="450"/>
      <c r="C792" s="374" t="s">
        <v>634</v>
      </c>
      <c r="D792" s="62"/>
      <c r="E792" s="62"/>
      <c r="F792" s="62"/>
    </row>
    <row r="793" spans="1:11" x14ac:dyDescent="0.2">
      <c r="B793" s="62"/>
      <c r="C793" s="62"/>
      <c r="D793" s="62"/>
      <c r="E793" s="62"/>
      <c r="F793" s="62"/>
    </row>
    <row r="794" spans="1:11" ht="15" x14ac:dyDescent="0.25">
      <c r="A794" s="69"/>
      <c r="B794" s="452"/>
      <c r="C794" s="452"/>
      <c r="D794" s="452"/>
      <c r="E794" s="452"/>
      <c r="F794" s="452"/>
      <c r="G794" s="452"/>
      <c r="H794" s="452"/>
      <c r="I794" s="452"/>
      <c r="J794" s="375"/>
      <c r="K794" s="375"/>
    </row>
    <row r="795" spans="1:11" ht="15" x14ac:dyDescent="0.25">
      <c r="A795" s="63"/>
      <c r="B795" s="448" t="s">
        <v>462</v>
      </c>
      <c r="C795" s="448"/>
      <c r="D795" s="448"/>
      <c r="E795" s="448"/>
      <c r="F795" s="448"/>
      <c r="G795" s="448"/>
      <c r="H795" s="448"/>
      <c r="I795" s="448"/>
      <c r="J795" s="68"/>
      <c r="K795" s="68"/>
    </row>
    <row r="796" spans="1:11" ht="15" x14ac:dyDescent="0.25">
      <c r="A796" s="63"/>
      <c r="B796" s="448" t="s">
        <v>15</v>
      </c>
      <c r="C796" s="448"/>
      <c r="D796" s="448"/>
      <c r="E796" s="448"/>
      <c r="F796" s="448"/>
      <c r="G796" s="448"/>
      <c r="H796" s="448"/>
      <c r="I796" s="448"/>
      <c r="J796" s="68"/>
      <c r="K796" s="68"/>
    </row>
    <row r="797" spans="1:11" ht="15" x14ac:dyDescent="0.25">
      <c r="A797" s="63"/>
      <c r="B797" s="451" t="s">
        <v>675</v>
      </c>
      <c r="C797" s="451"/>
      <c r="D797" s="451"/>
      <c r="E797" s="451"/>
      <c r="F797" s="451"/>
      <c r="G797" s="451"/>
      <c r="H797" s="451"/>
      <c r="I797" s="451"/>
      <c r="J797" s="68"/>
      <c r="K797" s="68"/>
    </row>
    <row r="798" spans="1:11" x14ac:dyDescent="0.2">
      <c r="A798" s="63"/>
      <c r="B798" s="62"/>
      <c r="C798" s="62"/>
      <c r="D798" s="62"/>
      <c r="E798" s="62"/>
      <c r="F798" s="62"/>
      <c r="J798" s="68"/>
      <c r="K798" s="68"/>
    </row>
    <row r="799" spans="1:11" x14ac:dyDescent="0.2">
      <c r="A799" s="63"/>
      <c r="B799" s="453" t="s">
        <v>10</v>
      </c>
      <c r="C799" s="454"/>
      <c r="D799" s="454"/>
      <c r="E799" s="455"/>
      <c r="F799" s="64"/>
      <c r="G799" s="82" t="s">
        <v>12</v>
      </c>
      <c r="H799" s="64"/>
      <c r="I799" s="82" t="s">
        <v>13</v>
      </c>
      <c r="J799" s="68"/>
      <c r="K799" s="68"/>
    </row>
    <row r="800" spans="1:11" x14ac:dyDescent="0.2">
      <c r="A800" s="63"/>
      <c r="B800" s="456"/>
      <c r="C800" s="457"/>
      <c r="D800" s="457"/>
      <c r="E800" s="458"/>
      <c r="F800" s="64"/>
      <c r="G800" s="83" t="s">
        <v>14</v>
      </c>
      <c r="H800" s="64"/>
      <c r="I800" s="83" t="s">
        <v>14</v>
      </c>
      <c r="J800" s="68"/>
      <c r="K800" s="68"/>
    </row>
    <row r="801" spans="1:11" x14ac:dyDescent="0.2">
      <c r="A801" s="63"/>
      <c r="B801" s="84" t="s">
        <v>636</v>
      </c>
      <c r="C801" s="84" t="s">
        <v>649</v>
      </c>
      <c r="D801" s="84"/>
      <c r="E801" s="62"/>
      <c r="F801" s="62"/>
      <c r="G801" s="85"/>
      <c r="H801" s="85"/>
      <c r="I801" s="85"/>
      <c r="J801" s="68"/>
      <c r="K801" s="68"/>
    </row>
    <row r="802" spans="1:11" x14ac:dyDescent="0.2">
      <c r="A802" s="63"/>
      <c r="B802" s="1"/>
      <c r="C802" s="65" t="s">
        <v>637</v>
      </c>
      <c r="D802" s="62"/>
      <c r="E802" s="62"/>
      <c r="F802" s="62"/>
      <c r="G802" s="85"/>
      <c r="H802" s="85"/>
      <c r="I802" s="85"/>
      <c r="J802" s="68"/>
      <c r="K802" s="68"/>
    </row>
    <row r="803" spans="1:11" x14ac:dyDescent="0.2">
      <c r="A803" s="63"/>
      <c r="B803" s="1"/>
      <c r="C803" s="62"/>
      <c r="D803" s="62">
        <v>1</v>
      </c>
      <c r="E803" s="62" t="s">
        <v>638</v>
      </c>
      <c r="F803" s="62"/>
      <c r="G803" s="85"/>
      <c r="H803" s="85"/>
      <c r="I803" s="85" t="e">
        <f>G803+I731</f>
        <v>#REF!</v>
      </c>
      <c r="J803" s="68"/>
      <c r="K803" s="68"/>
    </row>
    <row r="804" spans="1:11" x14ac:dyDescent="0.2">
      <c r="A804" s="63"/>
      <c r="B804" s="1"/>
      <c r="C804" s="62"/>
      <c r="D804" s="62">
        <v>2</v>
      </c>
      <c r="E804" s="62" t="s">
        <v>639</v>
      </c>
      <c r="F804" s="62"/>
      <c r="G804" s="85"/>
      <c r="H804" s="85"/>
      <c r="I804" s="85" t="e">
        <f t="shared" ref="I804:I807" si="32">G804+I732</f>
        <v>#REF!</v>
      </c>
      <c r="J804" s="68"/>
      <c r="K804" s="68"/>
    </row>
    <row r="805" spans="1:11" x14ac:dyDescent="0.2">
      <c r="A805" s="63"/>
      <c r="B805" s="1"/>
      <c r="C805" s="62"/>
      <c r="D805" s="62">
        <v>3</v>
      </c>
      <c r="E805" s="62" t="s">
        <v>640</v>
      </c>
      <c r="F805" s="62"/>
      <c r="G805" s="85"/>
      <c r="H805" s="85"/>
      <c r="I805" s="85" t="e">
        <f t="shared" si="32"/>
        <v>#REF!</v>
      </c>
      <c r="J805" s="68"/>
      <c r="K805" s="68"/>
    </row>
    <row r="806" spans="1:11" x14ac:dyDescent="0.2">
      <c r="A806" s="63"/>
      <c r="B806" s="1"/>
      <c r="C806" s="62"/>
      <c r="D806" s="62">
        <v>4</v>
      </c>
      <c r="E806" s="62" t="s">
        <v>645</v>
      </c>
      <c r="F806" s="62"/>
      <c r="G806" s="85"/>
      <c r="H806" s="85"/>
      <c r="I806" s="85">
        <f t="shared" si="32"/>
        <v>0</v>
      </c>
      <c r="J806" s="68"/>
      <c r="K806" s="68"/>
    </row>
    <row r="807" spans="1:11" x14ac:dyDescent="0.2">
      <c r="A807" s="63"/>
      <c r="B807" s="1"/>
      <c r="C807" s="62"/>
      <c r="D807" s="62">
        <v>5</v>
      </c>
      <c r="E807" s="62" t="s">
        <v>641</v>
      </c>
      <c r="F807" s="62"/>
      <c r="G807" s="85"/>
      <c r="H807" s="85"/>
      <c r="I807" s="85">
        <f t="shared" si="32"/>
        <v>0</v>
      </c>
      <c r="J807" s="68"/>
      <c r="K807" s="68"/>
    </row>
    <row r="808" spans="1:11" x14ac:dyDescent="0.2">
      <c r="A808" s="63"/>
      <c r="B808" s="1"/>
      <c r="C808" s="62"/>
      <c r="D808" s="62"/>
      <c r="E808" s="62"/>
      <c r="F808" s="62"/>
      <c r="G808" s="85"/>
      <c r="H808" s="85"/>
      <c r="I808" s="85"/>
      <c r="J808" s="68"/>
      <c r="K808" s="68"/>
    </row>
    <row r="809" spans="1:11" x14ac:dyDescent="0.2">
      <c r="A809" s="63"/>
      <c r="B809" s="1"/>
      <c r="C809" s="65"/>
      <c r="D809" s="65" t="s">
        <v>16</v>
      </c>
      <c r="E809" s="65"/>
      <c r="F809" s="62"/>
      <c r="G809" s="86">
        <f>SUM(G803:G807)</f>
        <v>0</v>
      </c>
      <c r="H809" s="85"/>
      <c r="I809" s="86" t="e">
        <f>SUM(I803:I807)</f>
        <v>#REF!</v>
      </c>
      <c r="J809" s="68"/>
      <c r="K809" s="68"/>
    </row>
    <row r="810" spans="1:11" x14ac:dyDescent="0.2">
      <c r="A810" s="63"/>
      <c r="B810" s="1"/>
      <c r="C810" s="65"/>
      <c r="D810" s="65"/>
      <c r="E810" s="65"/>
      <c r="F810" s="62"/>
      <c r="G810" s="73"/>
      <c r="H810" s="85"/>
      <c r="I810" s="73"/>
      <c r="J810" s="68"/>
      <c r="K810" s="68"/>
    </row>
    <row r="811" spans="1:11" x14ac:dyDescent="0.2">
      <c r="A811" s="63"/>
      <c r="B811" s="1"/>
      <c r="C811" s="65" t="s">
        <v>642</v>
      </c>
      <c r="D811" s="62"/>
      <c r="E811" s="62"/>
      <c r="F811" s="62"/>
      <c r="G811" s="85"/>
      <c r="H811" s="85"/>
      <c r="I811" s="85"/>
      <c r="J811" s="68"/>
      <c r="K811" s="68"/>
    </row>
    <row r="812" spans="1:11" x14ac:dyDescent="0.2">
      <c r="A812" s="63"/>
      <c r="B812" s="1"/>
      <c r="C812" s="62"/>
      <c r="D812" s="62">
        <v>1</v>
      </c>
      <c r="E812" s="87" t="s">
        <v>190</v>
      </c>
      <c r="F812" s="62"/>
      <c r="G812" s="85"/>
      <c r="H812" s="85"/>
      <c r="I812" s="85">
        <f>G812+I740</f>
        <v>0</v>
      </c>
      <c r="J812" s="68"/>
      <c r="K812" s="68"/>
    </row>
    <row r="813" spans="1:11" x14ac:dyDescent="0.2">
      <c r="A813" s="63"/>
      <c r="B813" s="1"/>
      <c r="C813" s="62"/>
      <c r="D813" s="62">
        <v>2</v>
      </c>
      <c r="E813" s="87" t="s">
        <v>191</v>
      </c>
      <c r="F813" s="62"/>
      <c r="G813" s="85"/>
      <c r="H813" s="85"/>
      <c r="I813" s="85">
        <f t="shared" ref="I813:I818" si="33">G813+I741</f>
        <v>0</v>
      </c>
      <c r="J813" s="68"/>
      <c r="K813" s="68"/>
    </row>
    <row r="814" spans="1:11" x14ac:dyDescent="0.2">
      <c r="A814" s="63"/>
      <c r="B814" s="1"/>
      <c r="C814" s="62"/>
      <c r="D814" s="62">
        <v>3</v>
      </c>
      <c r="E814" s="87" t="s">
        <v>643</v>
      </c>
      <c r="F814" s="67"/>
      <c r="G814" s="85"/>
      <c r="H814" s="85"/>
      <c r="I814" s="85">
        <f t="shared" si="33"/>
        <v>1200000</v>
      </c>
      <c r="J814" s="68"/>
      <c r="K814" s="68"/>
    </row>
    <row r="815" spans="1:11" x14ac:dyDescent="0.2">
      <c r="A815" s="63"/>
      <c r="B815" s="1"/>
      <c r="C815" s="62"/>
      <c r="D815" s="62">
        <v>4</v>
      </c>
      <c r="E815" s="87" t="s">
        <v>644</v>
      </c>
      <c r="F815" s="62"/>
      <c r="G815" s="85"/>
      <c r="H815" s="85"/>
      <c r="I815" s="85">
        <f t="shared" si="33"/>
        <v>0</v>
      </c>
      <c r="J815" s="68"/>
      <c r="K815" s="68"/>
    </row>
    <row r="816" spans="1:11" x14ac:dyDescent="0.2">
      <c r="A816" s="63"/>
      <c r="B816" s="1"/>
      <c r="C816" s="62"/>
      <c r="D816" s="62">
        <v>5</v>
      </c>
      <c r="E816" s="87" t="s">
        <v>632</v>
      </c>
      <c r="F816" s="67"/>
      <c r="G816" s="85"/>
      <c r="H816" s="85"/>
      <c r="I816" s="85">
        <f t="shared" si="33"/>
        <v>0</v>
      </c>
      <c r="J816" s="68"/>
      <c r="K816" s="68"/>
    </row>
    <row r="817" spans="1:11" x14ac:dyDescent="0.2">
      <c r="A817" s="63"/>
      <c r="B817" s="1"/>
      <c r="C817" s="62"/>
      <c r="D817" s="62">
        <v>6</v>
      </c>
      <c r="E817" s="87" t="s">
        <v>646</v>
      </c>
      <c r="F817" s="67"/>
      <c r="G817" s="85"/>
      <c r="H817" s="85"/>
      <c r="I817" s="85">
        <f t="shared" si="33"/>
        <v>0</v>
      </c>
      <c r="J817" s="68"/>
      <c r="K817" s="68"/>
    </row>
    <row r="818" spans="1:11" x14ac:dyDescent="0.2">
      <c r="A818" s="63"/>
      <c r="B818" s="1"/>
      <c r="C818" s="62"/>
      <c r="D818" s="62">
        <v>7</v>
      </c>
      <c r="E818" s="87" t="s">
        <v>647</v>
      </c>
      <c r="F818" s="67"/>
      <c r="G818" s="85"/>
      <c r="H818" s="85"/>
      <c r="I818" s="85">
        <f t="shared" si="33"/>
        <v>0</v>
      </c>
      <c r="J818" s="68"/>
      <c r="K818" s="68"/>
    </row>
    <row r="819" spans="1:11" x14ac:dyDescent="0.2">
      <c r="A819" s="63"/>
      <c r="B819" s="67"/>
      <c r="C819" s="65"/>
      <c r="D819" s="62"/>
      <c r="E819" s="87"/>
      <c r="F819" s="62"/>
      <c r="G819" s="85"/>
      <c r="H819" s="85"/>
      <c r="I819" s="85"/>
      <c r="J819" s="68"/>
      <c r="K819" s="68"/>
    </row>
    <row r="820" spans="1:11" x14ac:dyDescent="0.2">
      <c r="A820" s="63"/>
      <c r="B820" s="1"/>
      <c r="C820" s="62"/>
      <c r="D820" s="65" t="s">
        <v>17</v>
      </c>
      <c r="E820" s="64"/>
      <c r="F820" s="88"/>
      <c r="G820" s="86">
        <f>SUM(G812:G819)</f>
        <v>0</v>
      </c>
      <c r="H820" s="85"/>
      <c r="I820" s="86">
        <f>SUM(I812:I819)</f>
        <v>1200000</v>
      </c>
      <c r="J820" s="68"/>
      <c r="K820" s="68"/>
    </row>
    <row r="821" spans="1:11" x14ac:dyDescent="0.2">
      <c r="A821" s="63"/>
      <c r="B821" s="1"/>
      <c r="C821" s="62"/>
      <c r="D821" s="62"/>
      <c r="E821" s="62"/>
      <c r="F821" s="62"/>
      <c r="G821" s="85"/>
      <c r="H821" s="85"/>
      <c r="I821" s="85"/>
      <c r="J821" s="68"/>
      <c r="K821" s="68"/>
    </row>
    <row r="822" spans="1:11" x14ac:dyDescent="0.2">
      <c r="A822" s="63"/>
      <c r="B822" s="1"/>
      <c r="C822" s="65" t="s">
        <v>648</v>
      </c>
      <c r="D822" s="65"/>
      <c r="E822" s="65"/>
      <c r="F822" s="62"/>
      <c r="G822" s="304">
        <f>G809-G820</f>
        <v>0</v>
      </c>
      <c r="H822" s="85"/>
      <c r="I822" s="304" t="e">
        <f>I809-I820</f>
        <v>#REF!</v>
      </c>
      <c r="K822" s="68"/>
    </row>
    <row r="823" spans="1:11" x14ac:dyDescent="0.2">
      <c r="A823" s="63"/>
      <c r="B823" s="1"/>
      <c r="C823" s="62"/>
      <c r="D823" s="62"/>
      <c r="E823" s="62"/>
      <c r="F823" s="62"/>
      <c r="G823" s="85"/>
      <c r="H823" s="85"/>
      <c r="I823" s="85"/>
      <c r="J823" s="68"/>
      <c r="K823" s="68"/>
    </row>
    <row r="824" spans="1:11" x14ac:dyDescent="0.2">
      <c r="A824" s="63"/>
      <c r="B824" s="84" t="s">
        <v>650</v>
      </c>
      <c r="C824" s="84" t="s">
        <v>651</v>
      </c>
      <c r="D824" s="74"/>
      <c r="E824" s="67"/>
      <c r="F824" s="67"/>
      <c r="G824" s="85"/>
      <c r="H824" s="85"/>
      <c r="I824" s="85"/>
      <c r="J824" s="68"/>
      <c r="K824" s="68"/>
    </row>
    <row r="825" spans="1:11" x14ac:dyDescent="0.2">
      <c r="A825" s="63"/>
      <c r="B825" s="67"/>
      <c r="C825" s="65"/>
      <c r="D825" s="62" t="s">
        <v>652</v>
      </c>
      <c r="E825" s="62"/>
      <c r="F825" s="62"/>
      <c r="G825" s="85"/>
      <c r="H825" s="85"/>
      <c r="I825" s="85" t="e">
        <f>G825+I753</f>
        <v>#REF!</v>
      </c>
      <c r="J825" s="68"/>
      <c r="K825" s="68"/>
    </row>
    <row r="826" spans="1:11" x14ac:dyDescent="0.2">
      <c r="A826" s="63"/>
      <c r="B826" s="1"/>
      <c r="C826" s="65" t="s">
        <v>653</v>
      </c>
      <c r="D826" s="74"/>
      <c r="E826" s="74"/>
      <c r="F826" s="74"/>
      <c r="G826" s="86">
        <f>SUM(G825)</f>
        <v>0</v>
      </c>
      <c r="H826" s="73"/>
      <c r="I826" s="86" t="e">
        <f>SUM(I825)</f>
        <v>#REF!</v>
      </c>
      <c r="J826" s="68"/>
      <c r="K826" s="68"/>
    </row>
    <row r="827" spans="1:11" x14ac:dyDescent="0.2">
      <c r="A827" s="63"/>
      <c r="B827" s="1"/>
      <c r="C827" s="449"/>
      <c r="D827" s="449"/>
      <c r="E827" s="449"/>
      <c r="F827" s="62"/>
      <c r="G827" s="264"/>
      <c r="H827" s="89"/>
      <c r="I827" s="264"/>
      <c r="J827" s="68"/>
      <c r="K827" s="68"/>
    </row>
    <row r="828" spans="1:11" x14ac:dyDescent="0.2">
      <c r="A828" s="63"/>
      <c r="B828" s="84" t="s">
        <v>654</v>
      </c>
      <c r="C828" s="84" t="s">
        <v>655</v>
      </c>
      <c r="D828" s="62"/>
      <c r="E828" s="62"/>
      <c r="F828" s="62"/>
      <c r="G828" s="89"/>
      <c r="H828" s="89"/>
      <c r="I828" s="89"/>
      <c r="J828" s="68"/>
      <c r="K828" s="68"/>
    </row>
    <row r="829" spans="1:11" x14ac:dyDescent="0.2">
      <c r="A829" s="63"/>
      <c r="B829" s="80"/>
      <c r="C829" s="80"/>
      <c r="D829" s="62" t="s">
        <v>656</v>
      </c>
      <c r="E829" s="80"/>
      <c r="F829" s="67"/>
      <c r="G829" s="264"/>
      <c r="H829" s="89"/>
      <c r="I829" s="85">
        <f>G829+I758</f>
        <v>0</v>
      </c>
      <c r="J829" s="68"/>
      <c r="K829" s="68"/>
    </row>
    <row r="830" spans="1:11" x14ac:dyDescent="0.2">
      <c r="A830" s="63"/>
      <c r="B830" s="84"/>
      <c r="C830" s="62"/>
      <c r="D830" s="62" t="s">
        <v>657</v>
      </c>
      <c r="E830" s="62"/>
      <c r="F830" s="62"/>
      <c r="G830" s="85"/>
      <c r="H830" s="85"/>
      <c r="I830" s="85">
        <f t="shared" ref="I830:I832" si="34">G830+I759</f>
        <v>0</v>
      </c>
      <c r="J830" s="68"/>
      <c r="K830" s="68"/>
    </row>
    <row r="831" spans="1:11" x14ac:dyDescent="0.2">
      <c r="A831" s="63"/>
      <c r="B831" s="1"/>
      <c r="C831" s="62"/>
      <c r="D831" s="74" t="s">
        <v>658</v>
      </c>
      <c r="E831" s="67"/>
      <c r="F831" s="67"/>
      <c r="G831" s="85"/>
      <c r="H831" s="85"/>
      <c r="I831" s="85">
        <f t="shared" si="34"/>
        <v>0</v>
      </c>
      <c r="J831" s="68"/>
      <c r="K831" s="68"/>
    </row>
    <row r="832" spans="1:11" x14ac:dyDescent="0.2">
      <c r="A832" s="63"/>
      <c r="B832" s="67"/>
      <c r="C832" s="65"/>
      <c r="D832" s="62" t="s">
        <v>659</v>
      </c>
      <c r="E832" s="62"/>
      <c r="F832" s="62"/>
      <c r="G832" s="377"/>
      <c r="H832" s="85"/>
      <c r="I832" s="85">
        <f t="shared" si="34"/>
        <v>0</v>
      </c>
      <c r="J832" s="68"/>
      <c r="K832" s="68"/>
    </row>
    <row r="833" spans="1:11" x14ac:dyDescent="0.2">
      <c r="A833" s="63"/>
      <c r="B833" s="1"/>
      <c r="C833" s="65" t="s">
        <v>660</v>
      </c>
      <c r="D833" s="74"/>
      <c r="E833" s="74"/>
      <c r="F833" s="74"/>
      <c r="G833" s="379">
        <f>SUM(G829:G832)</f>
        <v>0</v>
      </c>
      <c r="H833" s="85"/>
      <c r="I833" s="379">
        <f>SUM(I829:I832)</f>
        <v>0</v>
      </c>
      <c r="J833" s="68"/>
      <c r="K833" s="68"/>
    </row>
    <row r="834" spans="1:11" x14ac:dyDescent="0.2">
      <c r="A834" s="63"/>
      <c r="B834" s="1"/>
      <c r="C834" s="62"/>
      <c r="D834" s="62"/>
      <c r="E834" s="62"/>
      <c r="F834" s="62"/>
      <c r="G834" s="377"/>
      <c r="H834" s="85"/>
      <c r="I834" s="85"/>
      <c r="J834" s="68"/>
      <c r="K834" s="68"/>
    </row>
    <row r="835" spans="1:11" x14ac:dyDescent="0.2">
      <c r="A835" s="63"/>
      <c r="B835" s="84" t="s">
        <v>661</v>
      </c>
      <c r="C835" s="84" t="s">
        <v>662</v>
      </c>
      <c r="D835" s="66"/>
      <c r="E835" s="66"/>
      <c r="F835" s="62"/>
      <c r="G835" s="73">
        <f>G822-G826+G833</f>
        <v>0</v>
      </c>
      <c r="H835" s="85"/>
      <c r="I835" s="73" t="e">
        <f>I822-I826+I833</f>
        <v>#REF!</v>
      </c>
      <c r="J835" s="68"/>
      <c r="K835" s="68"/>
    </row>
    <row r="836" spans="1:11" x14ac:dyDescent="0.2">
      <c r="A836" s="63"/>
      <c r="B836" s="1"/>
      <c r="C836" s="62"/>
      <c r="D836" s="62"/>
      <c r="E836" s="62"/>
      <c r="F836" s="62"/>
      <c r="G836" s="85"/>
      <c r="H836" s="85"/>
      <c r="I836" s="85"/>
      <c r="J836" s="68"/>
      <c r="K836" s="68"/>
    </row>
    <row r="837" spans="1:11" x14ac:dyDescent="0.2">
      <c r="A837" s="63"/>
      <c r="B837" s="84" t="s">
        <v>663</v>
      </c>
      <c r="C837" s="84" t="s">
        <v>664</v>
      </c>
      <c r="D837" s="66"/>
      <c r="E837" s="62"/>
      <c r="F837" s="62"/>
      <c r="G837" s="73" t="e">
        <f>G767</f>
        <v>#REF!</v>
      </c>
      <c r="H837" s="73"/>
      <c r="I837" s="73">
        <v>1312251855.8000002</v>
      </c>
      <c r="J837" s="68"/>
      <c r="K837" s="68"/>
    </row>
    <row r="838" spans="1:11" x14ac:dyDescent="0.2">
      <c r="A838" s="63"/>
      <c r="B838" s="1"/>
      <c r="C838" s="62"/>
      <c r="D838" s="62"/>
      <c r="E838" s="62"/>
      <c r="F838" s="62"/>
      <c r="G838" s="73"/>
      <c r="H838" s="73"/>
      <c r="I838" s="73"/>
      <c r="J838" s="68"/>
      <c r="K838" s="68"/>
    </row>
    <row r="839" spans="1:11" x14ac:dyDescent="0.2">
      <c r="A839" s="63"/>
      <c r="B839" s="67" t="s">
        <v>665</v>
      </c>
      <c r="C839" s="65" t="s">
        <v>664</v>
      </c>
      <c r="D839" s="62"/>
      <c r="E839" s="62"/>
      <c r="F839" s="62"/>
      <c r="G839" s="73" t="e">
        <f>G835+G837</f>
        <v>#REF!</v>
      </c>
      <c r="H839" s="73"/>
      <c r="I839" s="73" t="e">
        <f>I835+I837</f>
        <v>#REF!</v>
      </c>
      <c r="J839" s="68"/>
      <c r="K839" s="68"/>
    </row>
    <row r="840" spans="1:11" x14ac:dyDescent="0.2">
      <c r="A840" s="61"/>
      <c r="B840" s="60"/>
      <c r="C840" s="60"/>
      <c r="D840" s="60"/>
      <c r="E840" s="60"/>
      <c r="F840" s="60"/>
      <c r="G840" s="91"/>
      <c r="H840" s="91"/>
      <c r="I840" s="91"/>
      <c r="J840" s="378"/>
      <c r="K840" s="378"/>
    </row>
    <row r="841" spans="1:11" x14ac:dyDescent="0.2">
      <c r="A841" s="459"/>
      <c r="B841" s="459"/>
      <c r="C841" s="459"/>
      <c r="D841" s="459"/>
      <c r="E841" s="459"/>
      <c r="F841" s="62"/>
      <c r="G841" s="92"/>
      <c r="H841" s="92"/>
      <c r="I841" s="92"/>
    </row>
    <row r="842" spans="1:11" x14ac:dyDescent="0.2">
      <c r="A842" s="447" t="s">
        <v>413</v>
      </c>
      <c r="B842" s="447"/>
      <c r="C842" s="447"/>
      <c r="D842" s="447"/>
      <c r="E842" s="447"/>
      <c r="F842" s="447" t="s">
        <v>410</v>
      </c>
      <c r="G842" s="447"/>
      <c r="H842" s="447"/>
      <c r="I842" s="447"/>
      <c r="J842" s="447"/>
      <c r="K842" s="447"/>
    </row>
    <row r="843" spans="1:11" x14ac:dyDescent="0.2">
      <c r="A843" s="447" t="s">
        <v>480</v>
      </c>
      <c r="B843" s="447"/>
      <c r="C843" s="447"/>
      <c r="D843" s="447"/>
      <c r="E843" s="447"/>
      <c r="F843" s="447" t="s">
        <v>481</v>
      </c>
      <c r="G843" s="447"/>
      <c r="H843" s="447"/>
      <c r="I843" s="447"/>
      <c r="J843" s="447"/>
      <c r="K843" s="447"/>
    </row>
    <row r="844" spans="1:11" x14ac:dyDescent="0.2">
      <c r="A844" s="447"/>
      <c r="B844" s="447"/>
      <c r="C844" s="447"/>
      <c r="D844" s="447"/>
      <c r="E844" s="447"/>
      <c r="F844" s="447"/>
      <c r="G844" s="447"/>
      <c r="H844" s="447"/>
      <c r="I844" s="447"/>
      <c r="J844" s="447"/>
      <c r="K844" s="447"/>
    </row>
    <row r="845" spans="1:11" x14ac:dyDescent="0.2">
      <c r="A845" s="447"/>
      <c r="B845" s="447"/>
      <c r="C845" s="447"/>
      <c r="D845" s="447"/>
      <c r="E845" s="447"/>
      <c r="F845" s="447"/>
      <c r="G845" s="447"/>
      <c r="H845" s="447"/>
      <c r="I845" s="447"/>
      <c r="J845" s="447"/>
      <c r="K845" s="447"/>
    </row>
    <row r="846" spans="1:11" x14ac:dyDescent="0.2">
      <c r="A846" s="447" t="s">
        <v>463</v>
      </c>
      <c r="B846" s="447"/>
      <c r="C846" s="447"/>
      <c r="D846" s="447"/>
      <c r="E846" s="447"/>
      <c r="F846" s="447" t="s">
        <v>411</v>
      </c>
      <c r="G846" s="447"/>
      <c r="H846" s="447"/>
      <c r="I846" s="447"/>
      <c r="J846" s="447"/>
      <c r="K846" s="447"/>
    </row>
    <row r="847" spans="1:11" x14ac:dyDescent="0.2">
      <c r="A847" s="447"/>
      <c r="B847" s="447"/>
      <c r="C847" s="447"/>
      <c r="D847" s="447"/>
      <c r="E847" s="447"/>
      <c r="F847" s="447"/>
      <c r="G847" s="447"/>
      <c r="H847" s="447"/>
      <c r="I847" s="447"/>
      <c r="J847" s="447"/>
      <c r="K847" s="447"/>
    </row>
    <row r="864" spans="1:6" x14ac:dyDescent="0.2">
      <c r="A864" s="450" t="s">
        <v>633</v>
      </c>
      <c r="B864" s="450"/>
      <c r="C864" s="374" t="s">
        <v>634</v>
      </c>
      <c r="D864" s="62"/>
      <c r="E864" s="62"/>
      <c r="F864" s="62"/>
    </row>
    <row r="865" spans="1:11" x14ac:dyDescent="0.2">
      <c r="B865" s="62"/>
      <c r="C865" s="62"/>
      <c r="D865" s="62"/>
      <c r="E865" s="62"/>
      <c r="F865" s="62"/>
    </row>
    <row r="866" spans="1:11" ht="15" x14ac:dyDescent="0.25">
      <c r="A866" s="69"/>
      <c r="B866" s="452"/>
      <c r="C866" s="452"/>
      <c r="D866" s="452"/>
      <c r="E866" s="452"/>
      <c r="F866" s="452"/>
      <c r="G866" s="452"/>
      <c r="H866" s="452"/>
      <c r="I866" s="452"/>
      <c r="J866" s="375"/>
      <c r="K866" s="375"/>
    </row>
    <row r="867" spans="1:11" ht="15" x14ac:dyDescent="0.25">
      <c r="A867" s="63"/>
      <c r="B867" s="448" t="s">
        <v>462</v>
      </c>
      <c r="C867" s="448"/>
      <c r="D867" s="448"/>
      <c r="E867" s="448"/>
      <c r="F867" s="448"/>
      <c r="G867" s="448"/>
      <c r="H867" s="448"/>
      <c r="I867" s="448"/>
      <c r="J867" s="68"/>
      <c r="K867" s="68"/>
    </row>
    <row r="868" spans="1:11" ht="15" x14ac:dyDescent="0.25">
      <c r="A868" s="63"/>
      <c r="B868" s="448" t="s">
        <v>15</v>
      </c>
      <c r="C868" s="448"/>
      <c r="D868" s="448"/>
      <c r="E868" s="448"/>
      <c r="F868" s="448"/>
      <c r="G868" s="448"/>
      <c r="H868" s="448"/>
      <c r="I868" s="448"/>
      <c r="J868" s="68"/>
      <c r="K868" s="68"/>
    </row>
    <row r="869" spans="1:11" ht="15" x14ac:dyDescent="0.25">
      <c r="A869" s="63"/>
      <c r="B869" s="451" t="s">
        <v>676</v>
      </c>
      <c r="C869" s="451"/>
      <c r="D869" s="451"/>
      <c r="E869" s="451"/>
      <c r="F869" s="451"/>
      <c r="G869" s="451"/>
      <c r="H869" s="451"/>
      <c r="I869" s="451"/>
      <c r="J869" s="68"/>
      <c r="K869" s="68"/>
    </row>
    <row r="870" spans="1:11" x14ac:dyDescent="0.2">
      <c r="A870" s="63"/>
      <c r="B870" s="62"/>
      <c r="C870" s="62"/>
      <c r="D870" s="62"/>
      <c r="E870" s="62"/>
      <c r="F870" s="62"/>
      <c r="J870" s="68"/>
      <c r="K870" s="68"/>
    </row>
    <row r="871" spans="1:11" x14ac:dyDescent="0.2">
      <c r="A871" s="63"/>
      <c r="B871" s="453" t="s">
        <v>10</v>
      </c>
      <c r="C871" s="454"/>
      <c r="D871" s="454"/>
      <c r="E871" s="455"/>
      <c r="F871" s="64"/>
      <c r="G871" s="82" t="s">
        <v>12</v>
      </c>
      <c r="H871" s="64"/>
      <c r="I871" s="82" t="s">
        <v>13</v>
      </c>
      <c r="J871" s="68"/>
      <c r="K871" s="68"/>
    </row>
    <row r="872" spans="1:11" x14ac:dyDescent="0.2">
      <c r="A872" s="63"/>
      <c r="B872" s="456"/>
      <c r="C872" s="457"/>
      <c r="D872" s="457"/>
      <c r="E872" s="458"/>
      <c r="F872" s="64"/>
      <c r="G872" s="83" t="s">
        <v>14</v>
      </c>
      <c r="H872" s="64"/>
      <c r="I872" s="83" t="s">
        <v>14</v>
      </c>
      <c r="J872" s="68"/>
      <c r="K872" s="68"/>
    </row>
    <row r="873" spans="1:11" x14ac:dyDescent="0.2">
      <c r="A873" s="63"/>
      <c r="B873" s="84" t="s">
        <v>636</v>
      </c>
      <c r="C873" s="84" t="s">
        <v>649</v>
      </c>
      <c r="D873" s="84"/>
      <c r="E873" s="62"/>
      <c r="F873" s="62"/>
      <c r="G873" s="85"/>
      <c r="H873" s="85"/>
      <c r="I873" s="85"/>
      <c r="J873" s="68"/>
      <c r="K873" s="68"/>
    </row>
    <row r="874" spans="1:11" x14ac:dyDescent="0.2">
      <c r="A874" s="63"/>
      <c r="B874" s="1"/>
      <c r="C874" s="65" t="s">
        <v>637</v>
      </c>
      <c r="D874" s="62"/>
      <c r="E874" s="62"/>
      <c r="F874" s="62"/>
      <c r="G874" s="85"/>
      <c r="H874" s="85"/>
      <c r="I874" s="85"/>
      <c r="J874" s="68"/>
      <c r="K874" s="68"/>
    </row>
    <row r="875" spans="1:11" x14ac:dyDescent="0.2">
      <c r="A875" s="63"/>
      <c r="B875" s="1"/>
      <c r="C875" s="62"/>
      <c r="D875" s="62">
        <v>1</v>
      </c>
      <c r="E875" s="62" t="s">
        <v>638</v>
      </c>
      <c r="F875" s="62"/>
      <c r="G875" s="85"/>
      <c r="H875" s="85"/>
      <c r="I875" s="85" t="e">
        <f>G875+I803</f>
        <v>#REF!</v>
      </c>
      <c r="J875" s="68"/>
      <c r="K875" s="68"/>
    </row>
    <row r="876" spans="1:11" x14ac:dyDescent="0.2">
      <c r="A876" s="63"/>
      <c r="B876" s="1"/>
      <c r="C876" s="62"/>
      <c r="D876" s="62">
        <v>2</v>
      </c>
      <c r="E876" s="62" t="s">
        <v>639</v>
      </c>
      <c r="F876" s="62"/>
      <c r="G876" s="85"/>
      <c r="H876" s="85"/>
      <c r="I876" s="85" t="e">
        <f t="shared" ref="I876:I879" si="35">G876+I804</f>
        <v>#REF!</v>
      </c>
      <c r="J876" s="68"/>
      <c r="K876" s="68"/>
    </row>
    <row r="877" spans="1:11" x14ac:dyDescent="0.2">
      <c r="A877" s="63"/>
      <c r="B877" s="1"/>
      <c r="C877" s="62"/>
      <c r="D877" s="62">
        <v>3</v>
      </c>
      <c r="E877" s="62" t="s">
        <v>640</v>
      </c>
      <c r="F877" s="62"/>
      <c r="G877" s="85"/>
      <c r="H877" s="85"/>
      <c r="I877" s="85" t="e">
        <f t="shared" si="35"/>
        <v>#REF!</v>
      </c>
      <c r="J877" s="68"/>
      <c r="K877" s="68"/>
    </row>
    <row r="878" spans="1:11" x14ac:dyDescent="0.2">
      <c r="A878" s="63"/>
      <c r="B878" s="1"/>
      <c r="C878" s="62"/>
      <c r="D878" s="62">
        <v>4</v>
      </c>
      <c r="E878" s="62" t="s">
        <v>645</v>
      </c>
      <c r="F878" s="62"/>
      <c r="G878" s="85"/>
      <c r="H878" s="85"/>
      <c r="I878" s="85">
        <f t="shared" si="35"/>
        <v>0</v>
      </c>
      <c r="J878" s="68"/>
      <c r="K878" s="68"/>
    </row>
    <row r="879" spans="1:11" x14ac:dyDescent="0.2">
      <c r="A879" s="63"/>
      <c r="B879" s="1"/>
      <c r="C879" s="62"/>
      <c r="D879" s="62">
        <v>5</v>
      </c>
      <c r="E879" s="62" t="s">
        <v>641</v>
      </c>
      <c r="F879" s="62"/>
      <c r="G879" s="85"/>
      <c r="H879" s="85"/>
      <c r="I879" s="85">
        <f t="shared" si="35"/>
        <v>0</v>
      </c>
      <c r="J879" s="68"/>
      <c r="K879" s="68"/>
    </row>
    <row r="880" spans="1:11" x14ac:dyDescent="0.2">
      <c r="A880" s="63"/>
      <c r="B880" s="1"/>
      <c r="C880" s="62"/>
      <c r="D880" s="62"/>
      <c r="E880" s="62"/>
      <c r="F880" s="62"/>
      <c r="G880" s="85"/>
      <c r="H880" s="85"/>
      <c r="I880" s="85"/>
      <c r="J880" s="68"/>
      <c r="K880" s="68"/>
    </row>
    <row r="881" spans="1:11" x14ac:dyDescent="0.2">
      <c r="A881" s="63"/>
      <c r="B881" s="1"/>
      <c r="C881" s="65"/>
      <c r="D881" s="65" t="s">
        <v>16</v>
      </c>
      <c r="E881" s="65"/>
      <c r="F881" s="62"/>
      <c r="G881" s="86">
        <f>SUM(G875:G879)</f>
        <v>0</v>
      </c>
      <c r="H881" s="85"/>
      <c r="I881" s="86" t="e">
        <f>SUM(I875:I879)</f>
        <v>#REF!</v>
      </c>
      <c r="J881" s="68"/>
      <c r="K881" s="68"/>
    </row>
    <row r="882" spans="1:11" x14ac:dyDescent="0.2">
      <c r="A882" s="63"/>
      <c r="B882" s="1"/>
      <c r="C882" s="65"/>
      <c r="D882" s="65"/>
      <c r="E882" s="65"/>
      <c r="F882" s="62"/>
      <c r="G882" s="73"/>
      <c r="H882" s="85"/>
      <c r="I882" s="73"/>
      <c r="J882" s="68"/>
      <c r="K882" s="68"/>
    </row>
    <row r="883" spans="1:11" x14ac:dyDescent="0.2">
      <c r="A883" s="63"/>
      <c r="B883" s="1"/>
      <c r="C883" s="65" t="s">
        <v>642</v>
      </c>
      <c r="D883" s="62"/>
      <c r="E883" s="62"/>
      <c r="F883" s="62"/>
      <c r="G883" s="85"/>
      <c r="H883" s="85"/>
      <c r="I883" s="85"/>
      <c r="J883" s="68"/>
      <c r="K883" s="68"/>
    </row>
    <row r="884" spans="1:11" x14ac:dyDescent="0.2">
      <c r="A884" s="63"/>
      <c r="B884" s="1"/>
      <c r="C884" s="62"/>
      <c r="D884" s="62">
        <v>1</v>
      </c>
      <c r="E884" s="87" t="s">
        <v>190</v>
      </c>
      <c r="F884" s="62"/>
      <c r="G884" s="85"/>
      <c r="H884" s="85"/>
      <c r="I884" s="85">
        <f>G884+I812</f>
        <v>0</v>
      </c>
      <c r="J884" s="68"/>
      <c r="K884" s="68"/>
    </row>
    <row r="885" spans="1:11" x14ac:dyDescent="0.2">
      <c r="A885" s="63"/>
      <c r="B885" s="1"/>
      <c r="C885" s="62"/>
      <c r="D885" s="62">
        <v>2</v>
      </c>
      <c r="E885" s="87" t="s">
        <v>191</v>
      </c>
      <c r="F885" s="62"/>
      <c r="G885" s="85"/>
      <c r="H885" s="85"/>
      <c r="I885" s="85">
        <f t="shared" ref="I885:I890" si="36">G885+I813</f>
        <v>0</v>
      </c>
      <c r="J885" s="68"/>
      <c r="K885" s="68"/>
    </row>
    <row r="886" spans="1:11" x14ac:dyDescent="0.2">
      <c r="A886" s="63"/>
      <c r="B886" s="1"/>
      <c r="C886" s="62"/>
      <c r="D886" s="62">
        <v>3</v>
      </c>
      <c r="E886" s="87" t="s">
        <v>643</v>
      </c>
      <c r="F886" s="67"/>
      <c r="G886" s="85"/>
      <c r="H886" s="85"/>
      <c r="I886" s="85">
        <f t="shared" si="36"/>
        <v>1200000</v>
      </c>
      <c r="J886" s="68"/>
      <c r="K886" s="68"/>
    </row>
    <row r="887" spans="1:11" x14ac:dyDescent="0.2">
      <c r="A887" s="63"/>
      <c r="B887" s="1"/>
      <c r="C887" s="62"/>
      <c r="D887" s="62">
        <v>4</v>
      </c>
      <c r="E887" s="87" t="s">
        <v>644</v>
      </c>
      <c r="F887" s="62"/>
      <c r="G887" s="85"/>
      <c r="H887" s="85"/>
      <c r="I887" s="85">
        <f t="shared" si="36"/>
        <v>0</v>
      </c>
      <c r="J887" s="68"/>
      <c r="K887" s="68"/>
    </row>
    <row r="888" spans="1:11" x14ac:dyDescent="0.2">
      <c r="A888" s="63"/>
      <c r="B888" s="1"/>
      <c r="C888" s="62"/>
      <c r="D888" s="62">
        <v>5</v>
      </c>
      <c r="E888" s="87" t="s">
        <v>632</v>
      </c>
      <c r="F888" s="67"/>
      <c r="G888" s="85"/>
      <c r="H888" s="85"/>
      <c r="I888" s="85">
        <f t="shared" si="36"/>
        <v>0</v>
      </c>
      <c r="J888" s="68"/>
      <c r="K888" s="68"/>
    </row>
    <row r="889" spans="1:11" x14ac:dyDescent="0.2">
      <c r="A889" s="63"/>
      <c r="B889" s="1"/>
      <c r="C889" s="62"/>
      <c r="D889" s="62">
        <v>6</v>
      </c>
      <c r="E889" s="87" t="s">
        <v>646</v>
      </c>
      <c r="F889" s="67"/>
      <c r="G889" s="85"/>
      <c r="H889" s="85"/>
      <c r="I889" s="85">
        <f t="shared" si="36"/>
        <v>0</v>
      </c>
      <c r="J889" s="68"/>
      <c r="K889" s="68"/>
    </row>
    <row r="890" spans="1:11" x14ac:dyDescent="0.2">
      <c r="A890" s="63"/>
      <c r="B890" s="1"/>
      <c r="C890" s="62"/>
      <c r="D890" s="62">
        <v>7</v>
      </c>
      <c r="E890" s="87" t="s">
        <v>647</v>
      </c>
      <c r="F890" s="67"/>
      <c r="G890" s="85"/>
      <c r="H890" s="85"/>
      <c r="I890" s="85">
        <f t="shared" si="36"/>
        <v>0</v>
      </c>
      <c r="J890" s="68"/>
      <c r="K890" s="68"/>
    </row>
    <row r="891" spans="1:11" x14ac:dyDescent="0.2">
      <c r="A891" s="63"/>
      <c r="B891" s="67"/>
      <c r="C891" s="65"/>
      <c r="D891" s="62"/>
      <c r="E891" s="87"/>
      <c r="F891" s="62"/>
      <c r="G891" s="85"/>
      <c r="H891" s="85"/>
      <c r="I891" s="85"/>
      <c r="J891" s="68"/>
      <c r="K891" s="68"/>
    </row>
    <row r="892" spans="1:11" x14ac:dyDescent="0.2">
      <c r="A892" s="63"/>
      <c r="B892" s="1"/>
      <c r="C892" s="62"/>
      <c r="D892" s="65" t="s">
        <v>17</v>
      </c>
      <c r="E892" s="64"/>
      <c r="F892" s="88"/>
      <c r="G892" s="86">
        <f>SUM(G884:G891)</f>
        <v>0</v>
      </c>
      <c r="H892" s="85"/>
      <c r="I892" s="86">
        <f>SUM(I884:I891)</f>
        <v>1200000</v>
      </c>
      <c r="J892" s="68"/>
      <c r="K892" s="68"/>
    </row>
    <row r="893" spans="1:11" x14ac:dyDescent="0.2">
      <c r="A893" s="63"/>
      <c r="B893" s="1"/>
      <c r="C893" s="62"/>
      <c r="D893" s="62"/>
      <c r="E893" s="62"/>
      <c r="F893" s="62"/>
      <c r="G893" s="85"/>
      <c r="H893" s="85"/>
      <c r="I893" s="85"/>
      <c r="J893" s="68"/>
      <c r="K893" s="68"/>
    </row>
    <row r="894" spans="1:11" x14ac:dyDescent="0.2">
      <c r="A894" s="63"/>
      <c r="B894" s="1"/>
      <c r="C894" s="65" t="s">
        <v>648</v>
      </c>
      <c r="D894" s="65"/>
      <c r="E894" s="65"/>
      <c r="F894" s="62"/>
      <c r="G894" s="304">
        <f>G881-G892</f>
        <v>0</v>
      </c>
      <c r="H894" s="85"/>
      <c r="I894" s="304" t="e">
        <f>I881-I892</f>
        <v>#REF!</v>
      </c>
      <c r="K894" s="68"/>
    </row>
    <row r="895" spans="1:11" x14ac:dyDescent="0.2">
      <c r="A895" s="63"/>
      <c r="B895" s="1"/>
      <c r="C895" s="62"/>
      <c r="D895" s="62"/>
      <c r="E895" s="62"/>
      <c r="F895" s="62"/>
      <c r="G895" s="85"/>
      <c r="H895" s="85"/>
      <c r="I895" s="85"/>
      <c r="J895" s="68"/>
      <c r="K895" s="68"/>
    </row>
    <row r="896" spans="1:11" x14ac:dyDescent="0.2">
      <c r="A896" s="63"/>
      <c r="B896" s="84" t="s">
        <v>650</v>
      </c>
      <c r="C896" s="84" t="s">
        <v>651</v>
      </c>
      <c r="D896" s="74"/>
      <c r="E896" s="67"/>
      <c r="F896" s="67"/>
      <c r="G896" s="85"/>
      <c r="H896" s="85"/>
      <c r="I896" s="85"/>
      <c r="J896" s="68"/>
      <c r="K896" s="68"/>
    </row>
    <row r="897" spans="1:11" x14ac:dyDescent="0.2">
      <c r="A897" s="63"/>
      <c r="B897" s="67"/>
      <c r="C897" s="65"/>
      <c r="D897" s="62" t="s">
        <v>652</v>
      </c>
      <c r="E897" s="62"/>
      <c r="F897" s="62"/>
      <c r="G897" s="85"/>
      <c r="H897" s="85"/>
      <c r="I897" s="85" t="e">
        <f>G897+I825</f>
        <v>#REF!</v>
      </c>
      <c r="J897" s="68"/>
      <c r="K897" s="68"/>
    </row>
    <row r="898" spans="1:11" x14ac:dyDescent="0.2">
      <c r="A898" s="63"/>
      <c r="B898" s="1"/>
      <c r="C898" s="65" t="s">
        <v>653</v>
      </c>
      <c r="D898" s="74"/>
      <c r="E898" s="74"/>
      <c r="F898" s="74"/>
      <c r="G898" s="86">
        <f>SUM(G897)</f>
        <v>0</v>
      </c>
      <c r="H898" s="73"/>
      <c r="I898" s="86" t="e">
        <f>SUM(I897)</f>
        <v>#REF!</v>
      </c>
      <c r="J898" s="68"/>
      <c r="K898" s="68"/>
    </row>
    <row r="899" spans="1:11" x14ac:dyDescent="0.2">
      <c r="A899" s="63"/>
      <c r="B899" s="1"/>
      <c r="C899" s="449"/>
      <c r="D899" s="449"/>
      <c r="E899" s="449"/>
      <c r="F899" s="62"/>
      <c r="G899" s="264"/>
      <c r="H899" s="89"/>
      <c r="I899" s="264"/>
      <c r="J899" s="68"/>
      <c r="K899" s="68"/>
    </row>
    <row r="900" spans="1:11" x14ac:dyDescent="0.2">
      <c r="A900" s="63"/>
      <c r="B900" s="84" t="s">
        <v>654</v>
      </c>
      <c r="C900" s="84" t="s">
        <v>655</v>
      </c>
      <c r="D900" s="62"/>
      <c r="E900" s="62"/>
      <c r="F900" s="62"/>
      <c r="G900" s="89"/>
      <c r="H900" s="89"/>
      <c r="I900" s="89"/>
      <c r="J900" s="68"/>
      <c r="K900" s="68"/>
    </row>
    <row r="901" spans="1:11" x14ac:dyDescent="0.2">
      <c r="A901" s="63"/>
      <c r="B901" s="80"/>
      <c r="C901" s="80"/>
      <c r="D901" s="62" t="s">
        <v>656</v>
      </c>
      <c r="E901" s="80"/>
      <c r="F901" s="67"/>
      <c r="G901" s="264"/>
      <c r="H901" s="89"/>
      <c r="I901" s="85">
        <f>G901+I830</f>
        <v>0</v>
      </c>
      <c r="J901" s="68"/>
      <c r="K901" s="68"/>
    </row>
    <row r="902" spans="1:11" x14ac:dyDescent="0.2">
      <c r="A902" s="63"/>
      <c r="B902" s="84"/>
      <c r="C902" s="62"/>
      <c r="D902" s="62" t="s">
        <v>657</v>
      </c>
      <c r="E902" s="62"/>
      <c r="F902" s="62"/>
      <c r="G902" s="85"/>
      <c r="H902" s="85"/>
      <c r="I902" s="85">
        <f t="shared" ref="I902:I904" si="37">G902+I831</f>
        <v>0</v>
      </c>
      <c r="J902" s="68"/>
      <c r="K902" s="68"/>
    </row>
    <row r="903" spans="1:11" x14ac:dyDescent="0.2">
      <c r="A903" s="63"/>
      <c r="B903" s="1"/>
      <c r="C903" s="62"/>
      <c r="D903" s="74" t="s">
        <v>658</v>
      </c>
      <c r="E903" s="67"/>
      <c r="F903" s="67"/>
      <c r="G903" s="85"/>
      <c r="H903" s="85"/>
      <c r="I903" s="85">
        <f t="shared" si="37"/>
        <v>0</v>
      </c>
      <c r="J903" s="68"/>
      <c r="K903" s="68"/>
    </row>
    <row r="904" spans="1:11" x14ac:dyDescent="0.2">
      <c r="A904" s="63"/>
      <c r="B904" s="67"/>
      <c r="C904" s="65"/>
      <c r="D904" s="62" t="s">
        <v>659</v>
      </c>
      <c r="E904" s="62"/>
      <c r="F904" s="62"/>
      <c r="G904" s="377"/>
      <c r="H904" s="85"/>
      <c r="I904" s="85">
        <f t="shared" si="37"/>
        <v>0</v>
      </c>
      <c r="J904" s="68"/>
      <c r="K904" s="68"/>
    </row>
    <row r="905" spans="1:11" x14ac:dyDescent="0.2">
      <c r="A905" s="63"/>
      <c r="B905" s="1"/>
      <c r="C905" s="65" t="s">
        <v>660</v>
      </c>
      <c r="D905" s="74"/>
      <c r="E905" s="74"/>
      <c r="F905" s="74"/>
      <c r="G905" s="379">
        <f>SUM(G901:G904)</f>
        <v>0</v>
      </c>
      <c r="H905" s="85"/>
      <c r="I905" s="379">
        <f>SUM(I901:I904)</f>
        <v>0</v>
      </c>
      <c r="J905" s="68"/>
      <c r="K905" s="68"/>
    </row>
    <row r="906" spans="1:11" x14ac:dyDescent="0.2">
      <c r="A906" s="63"/>
      <c r="B906" s="1"/>
      <c r="C906" s="62"/>
      <c r="D906" s="62"/>
      <c r="E906" s="62"/>
      <c r="F906" s="62"/>
      <c r="G906" s="377"/>
      <c r="H906" s="85"/>
      <c r="I906" s="85"/>
      <c r="J906" s="68"/>
      <c r="K906" s="68"/>
    </row>
    <row r="907" spans="1:11" x14ac:dyDescent="0.2">
      <c r="A907" s="63"/>
      <c r="B907" s="84" t="s">
        <v>661</v>
      </c>
      <c r="C907" s="84" t="s">
        <v>662</v>
      </c>
      <c r="D907" s="66"/>
      <c r="E907" s="66"/>
      <c r="F907" s="62"/>
      <c r="G907" s="73">
        <f>G894-G898+G905</f>
        <v>0</v>
      </c>
      <c r="H907" s="85"/>
      <c r="I907" s="73" t="e">
        <f>I894-I898+I905</f>
        <v>#REF!</v>
      </c>
      <c r="J907" s="68"/>
      <c r="K907" s="68"/>
    </row>
    <row r="908" spans="1:11" x14ac:dyDescent="0.2">
      <c r="A908" s="63"/>
      <c r="B908" s="1"/>
      <c r="C908" s="62"/>
      <c r="D908" s="62"/>
      <c r="E908" s="62"/>
      <c r="F908" s="62"/>
      <c r="G908" s="85"/>
      <c r="H908" s="85"/>
      <c r="I908" s="85"/>
      <c r="J908" s="68"/>
      <c r="K908" s="68"/>
    </row>
    <row r="909" spans="1:11" x14ac:dyDescent="0.2">
      <c r="A909" s="63"/>
      <c r="B909" s="84" t="s">
        <v>663</v>
      </c>
      <c r="C909" s="84" t="s">
        <v>664</v>
      </c>
      <c r="D909" s="66"/>
      <c r="E909" s="62"/>
      <c r="F909" s="62"/>
      <c r="G909" s="73" t="e">
        <f>G839</f>
        <v>#REF!</v>
      </c>
      <c r="H909" s="73"/>
      <c r="I909" s="73">
        <v>1312251855.8000002</v>
      </c>
      <c r="J909" s="68"/>
      <c r="K909" s="68"/>
    </row>
    <row r="910" spans="1:11" x14ac:dyDescent="0.2">
      <c r="A910" s="63"/>
      <c r="B910" s="1"/>
      <c r="C910" s="62"/>
      <c r="D910" s="62"/>
      <c r="E910" s="62"/>
      <c r="F910" s="62"/>
      <c r="G910" s="73"/>
      <c r="H910" s="73"/>
      <c r="I910" s="73"/>
      <c r="J910" s="68"/>
      <c r="K910" s="68"/>
    </row>
    <row r="911" spans="1:11" x14ac:dyDescent="0.2">
      <c r="A911" s="63"/>
      <c r="B911" s="67" t="s">
        <v>665</v>
      </c>
      <c r="C911" s="65" t="s">
        <v>664</v>
      </c>
      <c r="D911" s="62"/>
      <c r="E911" s="62"/>
      <c r="F911" s="62"/>
      <c r="G911" s="73" t="e">
        <f>G907+G909</f>
        <v>#REF!</v>
      </c>
      <c r="H911" s="73"/>
      <c r="I911" s="73" t="e">
        <f>I907+I909</f>
        <v>#REF!</v>
      </c>
      <c r="J911" s="68"/>
      <c r="K911" s="68"/>
    </row>
    <row r="912" spans="1:11" x14ac:dyDescent="0.2">
      <c r="A912" s="61"/>
      <c r="B912" s="60"/>
      <c r="C912" s="60"/>
      <c r="D912" s="60"/>
      <c r="E912" s="60"/>
      <c r="F912" s="60"/>
      <c r="G912" s="91"/>
      <c r="H912" s="91"/>
      <c r="I912" s="91"/>
      <c r="J912" s="378"/>
      <c r="K912" s="378"/>
    </row>
    <row r="913" spans="1:11" x14ac:dyDescent="0.2">
      <c r="A913" s="459"/>
      <c r="B913" s="459"/>
      <c r="C913" s="459"/>
      <c r="D913" s="459"/>
      <c r="E913" s="459"/>
      <c r="F913" s="62"/>
      <c r="G913" s="92"/>
      <c r="H913" s="92"/>
      <c r="I913" s="92"/>
    </row>
    <row r="914" spans="1:11" x14ac:dyDescent="0.2">
      <c r="A914" s="447" t="s">
        <v>413</v>
      </c>
      <c r="B914" s="447"/>
      <c r="C914" s="447"/>
      <c r="D914" s="447"/>
      <c r="E914" s="447"/>
      <c r="F914" s="447" t="s">
        <v>410</v>
      </c>
      <c r="G914" s="447"/>
      <c r="H914" s="447"/>
      <c r="I914" s="447"/>
      <c r="J914" s="447"/>
      <c r="K914" s="447"/>
    </row>
    <row r="915" spans="1:11" x14ac:dyDescent="0.2">
      <c r="A915" s="447" t="s">
        <v>480</v>
      </c>
      <c r="B915" s="447"/>
      <c r="C915" s="447"/>
      <c r="D915" s="447"/>
      <c r="E915" s="447"/>
      <c r="F915" s="447" t="s">
        <v>481</v>
      </c>
      <c r="G915" s="447"/>
      <c r="H915" s="447"/>
      <c r="I915" s="447"/>
      <c r="J915" s="447"/>
      <c r="K915" s="447"/>
    </row>
    <row r="916" spans="1:11" x14ac:dyDescent="0.2">
      <c r="A916" s="447"/>
      <c r="B916" s="447"/>
      <c r="C916" s="447"/>
      <c r="D916" s="447"/>
      <c r="E916" s="447"/>
      <c r="F916" s="447"/>
      <c r="G916" s="447"/>
      <c r="H916" s="447"/>
      <c r="I916" s="447"/>
      <c r="J916" s="447"/>
      <c r="K916" s="447"/>
    </row>
    <row r="917" spans="1:11" x14ac:dyDescent="0.2">
      <c r="A917" s="447"/>
      <c r="B917" s="447"/>
      <c r="C917" s="447"/>
      <c r="D917" s="447"/>
      <c r="E917" s="447"/>
      <c r="F917" s="447"/>
      <c r="G917" s="447"/>
      <c r="H917" s="447"/>
      <c r="I917" s="447"/>
      <c r="J917" s="447"/>
      <c r="K917" s="447"/>
    </row>
    <row r="918" spans="1:11" x14ac:dyDescent="0.2">
      <c r="A918" s="447" t="s">
        <v>463</v>
      </c>
      <c r="B918" s="447"/>
      <c r="C918" s="447"/>
      <c r="D918" s="447"/>
      <c r="E918" s="447"/>
      <c r="F918" s="447" t="s">
        <v>411</v>
      </c>
      <c r="G918" s="447"/>
      <c r="H918" s="447"/>
      <c r="I918" s="447"/>
      <c r="J918" s="447"/>
      <c r="K918" s="447"/>
    </row>
    <row r="919" spans="1:11" x14ac:dyDescent="0.2">
      <c r="A919" s="447"/>
      <c r="B919" s="447"/>
      <c r="C919" s="447"/>
      <c r="D919" s="447"/>
      <c r="E919" s="447"/>
      <c r="F919" s="447"/>
      <c r="G919" s="447"/>
      <c r="H919" s="447"/>
      <c r="I919" s="447"/>
      <c r="J919" s="447"/>
      <c r="K919" s="447"/>
    </row>
  </sheetData>
  <mergeCells count="258">
    <mergeCell ref="A1:B1"/>
    <mergeCell ref="B3:I3"/>
    <mergeCell ref="B4:I4"/>
    <mergeCell ref="B5:I5"/>
    <mergeCell ref="B6:I6"/>
    <mergeCell ref="B8:E9"/>
    <mergeCell ref="A53:E53"/>
    <mergeCell ref="F53:K53"/>
    <mergeCell ref="A54:E54"/>
    <mergeCell ref="F54:K54"/>
    <mergeCell ref="A55:E55"/>
    <mergeCell ref="F55:K55"/>
    <mergeCell ref="C36:E36"/>
    <mergeCell ref="A50:E50"/>
    <mergeCell ref="A51:E51"/>
    <mergeCell ref="F51:K51"/>
    <mergeCell ref="A52:E52"/>
    <mergeCell ref="F52:K52"/>
    <mergeCell ref="B80:E81"/>
    <mergeCell ref="C108:E108"/>
    <mergeCell ref="A122:E122"/>
    <mergeCell ref="A123:E123"/>
    <mergeCell ref="F123:K123"/>
    <mergeCell ref="A124:E124"/>
    <mergeCell ref="F124:K124"/>
    <mergeCell ref="A56:K56"/>
    <mergeCell ref="A73:B73"/>
    <mergeCell ref="B75:I75"/>
    <mergeCell ref="B76:I76"/>
    <mergeCell ref="B77:I77"/>
    <mergeCell ref="B78:I78"/>
    <mergeCell ref="M130:N130"/>
    <mergeCell ref="A131:K131"/>
    <mergeCell ref="A132:K132"/>
    <mergeCell ref="A125:E125"/>
    <mergeCell ref="F125:K125"/>
    <mergeCell ref="A126:E126"/>
    <mergeCell ref="F126:K126"/>
    <mergeCell ref="A127:E127"/>
    <mergeCell ref="F127:K127"/>
    <mergeCell ref="A144:B144"/>
    <mergeCell ref="B146:I146"/>
    <mergeCell ref="B147:I147"/>
    <mergeCell ref="B148:I148"/>
    <mergeCell ref="B149:I149"/>
    <mergeCell ref="B151:E152"/>
    <mergeCell ref="A128:K128"/>
    <mergeCell ref="A129:K129"/>
    <mergeCell ref="A130:K130"/>
    <mergeCell ref="A196:E196"/>
    <mergeCell ref="F196:K196"/>
    <mergeCell ref="A197:E197"/>
    <mergeCell ref="F197:K197"/>
    <mergeCell ref="A198:E198"/>
    <mergeCell ref="F198:K198"/>
    <mergeCell ref="C179:E179"/>
    <mergeCell ref="A193:E193"/>
    <mergeCell ref="A194:E194"/>
    <mergeCell ref="F194:K194"/>
    <mergeCell ref="A195:E195"/>
    <mergeCell ref="F195:K195"/>
    <mergeCell ref="B219:I219"/>
    <mergeCell ref="B220:I220"/>
    <mergeCell ref="B221:I221"/>
    <mergeCell ref="B223:E224"/>
    <mergeCell ref="C251:E251"/>
    <mergeCell ref="A265:E265"/>
    <mergeCell ref="A199:K199"/>
    <mergeCell ref="A200:K200"/>
    <mergeCell ref="A201:K201"/>
    <mergeCell ref="A202:K202"/>
    <mergeCell ref="A216:B216"/>
    <mergeCell ref="B218:I218"/>
    <mergeCell ref="A269:E269"/>
    <mergeCell ref="F269:K269"/>
    <mergeCell ref="A270:E270"/>
    <mergeCell ref="F270:K270"/>
    <mergeCell ref="A271:K271"/>
    <mergeCell ref="A272:K272"/>
    <mergeCell ref="A266:E266"/>
    <mergeCell ref="F266:K266"/>
    <mergeCell ref="A267:E267"/>
    <mergeCell ref="F267:K267"/>
    <mergeCell ref="A268:E268"/>
    <mergeCell ref="F268:K268"/>
    <mergeCell ref="C323:E323"/>
    <mergeCell ref="A337:E337"/>
    <mergeCell ref="A338:E338"/>
    <mergeCell ref="F338:K338"/>
    <mergeCell ref="A339:E339"/>
    <mergeCell ref="F339:K339"/>
    <mergeCell ref="A288:B288"/>
    <mergeCell ref="B290:I290"/>
    <mergeCell ref="B291:I291"/>
    <mergeCell ref="B292:I292"/>
    <mergeCell ref="B293:I293"/>
    <mergeCell ref="B295:E296"/>
    <mergeCell ref="A343:K343"/>
    <mergeCell ref="A344:K344"/>
    <mergeCell ref="A360:B360"/>
    <mergeCell ref="B362:I362"/>
    <mergeCell ref="B363:I363"/>
    <mergeCell ref="B364:I364"/>
    <mergeCell ref="A340:E340"/>
    <mergeCell ref="F340:K340"/>
    <mergeCell ref="A341:E341"/>
    <mergeCell ref="F341:K341"/>
    <mergeCell ref="A342:E342"/>
    <mergeCell ref="F342:K342"/>
    <mergeCell ref="A411:E411"/>
    <mergeCell ref="F411:K411"/>
    <mergeCell ref="A412:E412"/>
    <mergeCell ref="F412:K412"/>
    <mergeCell ref="A413:E413"/>
    <mergeCell ref="F413:K413"/>
    <mergeCell ref="B365:I365"/>
    <mergeCell ref="B367:E368"/>
    <mergeCell ref="C395:E395"/>
    <mergeCell ref="A409:E409"/>
    <mergeCell ref="A410:E410"/>
    <mergeCell ref="F410:K410"/>
    <mergeCell ref="B435:I435"/>
    <mergeCell ref="B436:I436"/>
    <mergeCell ref="B437:I437"/>
    <mergeCell ref="B439:E440"/>
    <mergeCell ref="C467:E467"/>
    <mergeCell ref="A481:E481"/>
    <mergeCell ref="A414:E414"/>
    <mergeCell ref="F414:K414"/>
    <mergeCell ref="A415:K415"/>
    <mergeCell ref="A416:K416"/>
    <mergeCell ref="A432:B432"/>
    <mergeCell ref="B434:I434"/>
    <mergeCell ref="A485:E485"/>
    <mergeCell ref="F485:K485"/>
    <mergeCell ref="A486:E486"/>
    <mergeCell ref="F486:K486"/>
    <mergeCell ref="A487:K487"/>
    <mergeCell ref="A504:B504"/>
    <mergeCell ref="A482:E482"/>
    <mergeCell ref="F482:K482"/>
    <mergeCell ref="A483:E483"/>
    <mergeCell ref="F483:K483"/>
    <mergeCell ref="A484:E484"/>
    <mergeCell ref="F484:K484"/>
    <mergeCell ref="A553:E553"/>
    <mergeCell ref="A554:E554"/>
    <mergeCell ref="F554:K554"/>
    <mergeCell ref="A555:E555"/>
    <mergeCell ref="F555:K555"/>
    <mergeCell ref="A556:E556"/>
    <mergeCell ref="F556:K556"/>
    <mergeCell ref="B506:I506"/>
    <mergeCell ref="B507:I507"/>
    <mergeCell ref="B508:I508"/>
    <mergeCell ref="B509:I509"/>
    <mergeCell ref="B511:E512"/>
    <mergeCell ref="C539:E539"/>
    <mergeCell ref="B578:I578"/>
    <mergeCell ref="B579:I579"/>
    <mergeCell ref="B580:I580"/>
    <mergeCell ref="B581:I581"/>
    <mergeCell ref="B583:E584"/>
    <mergeCell ref="C611:E611"/>
    <mergeCell ref="A557:E557"/>
    <mergeCell ref="F557:K557"/>
    <mergeCell ref="A558:E558"/>
    <mergeCell ref="F558:K558"/>
    <mergeCell ref="A559:K559"/>
    <mergeCell ref="A576:B576"/>
    <mergeCell ref="A629:E629"/>
    <mergeCell ref="F629:K629"/>
    <mergeCell ref="A630:E630"/>
    <mergeCell ref="F630:K630"/>
    <mergeCell ref="A631:K631"/>
    <mergeCell ref="A648:B648"/>
    <mergeCell ref="A625:E625"/>
    <mergeCell ref="A626:E626"/>
    <mergeCell ref="F626:K626"/>
    <mergeCell ref="A627:E627"/>
    <mergeCell ref="F627:K627"/>
    <mergeCell ref="A628:E628"/>
    <mergeCell ref="F628:K628"/>
    <mergeCell ref="A697:E697"/>
    <mergeCell ref="A698:E698"/>
    <mergeCell ref="F698:K698"/>
    <mergeCell ref="A699:E699"/>
    <mergeCell ref="F699:K699"/>
    <mergeCell ref="A700:E700"/>
    <mergeCell ref="F700:K700"/>
    <mergeCell ref="B650:I650"/>
    <mergeCell ref="B651:I651"/>
    <mergeCell ref="B652:I652"/>
    <mergeCell ref="B653:I653"/>
    <mergeCell ref="B655:E656"/>
    <mergeCell ref="C683:E683"/>
    <mergeCell ref="B722:I722"/>
    <mergeCell ref="B723:I723"/>
    <mergeCell ref="B724:I724"/>
    <mergeCell ref="B725:I725"/>
    <mergeCell ref="B727:E728"/>
    <mergeCell ref="C755:E755"/>
    <mergeCell ref="A701:E701"/>
    <mergeCell ref="F701:K701"/>
    <mergeCell ref="A702:E702"/>
    <mergeCell ref="F702:K702"/>
    <mergeCell ref="A703:K703"/>
    <mergeCell ref="A720:B720"/>
    <mergeCell ref="A773:E773"/>
    <mergeCell ref="F773:K773"/>
    <mergeCell ref="A774:E774"/>
    <mergeCell ref="F774:K774"/>
    <mergeCell ref="A775:K775"/>
    <mergeCell ref="A792:B792"/>
    <mergeCell ref="A769:E769"/>
    <mergeCell ref="A770:E770"/>
    <mergeCell ref="F770:K770"/>
    <mergeCell ref="A771:E771"/>
    <mergeCell ref="F771:K771"/>
    <mergeCell ref="A772:E772"/>
    <mergeCell ref="F772:K772"/>
    <mergeCell ref="A841:E841"/>
    <mergeCell ref="A842:E842"/>
    <mergeCell ref="F842:K842"/>
    <mergeCell ref="A843:E843"/>
    <mergeCell ref="F843:K843"/>
    <mergeCell ref="A844:E844"/>
    <mergeCell ref="F844:K844"/>
    <mergeCell ref="B794:I794"/>
    <mergeCell ref="B795:I795"/>
    <mergeCell ref="B796:I796"/>
    <mergeCell ref="B797:I797"/>
    <mergeCell ref="B799:E800"/>
    <mergeCell ref="C827:E827"/>
    <mergeCell ref="B866:I866"/>
    <mergeCell ref="B867:I867"/>
    <mergeCell ref="B868:I868"/>
    <mergeCell ref="B869:I869"/>
    <mergeCell ref="B871:E872"/>
    <mergeCell ref="C899:E899"/>
    <mergeCell ref="A845:E845"/>
    <mergeCell ref="F845:K845"/>
    <mergeCell ref="A846:E846"/>
    <mergeCell ref="F846:K846"/>
    <mergeCell ref="A847:K847"/>
    <mergeCell ref="A864:B864"/>
    <mergeCell ref="A917:E917"/>
    <mergeCell ref="F917:K917"/>
    <mergeCell ref="A918:E918"/>
    <mergeCell ref="F918:K918"/>
    <mergeCell ref="A919:K919"/>
    <mergeCell ref="A913:E913"/>
    <mergeCell ref="A914:E914"/>
    <mergeCell ref="F914:K914"/>
    <mergeCell ref="A915:E915"/>
    <mergeCell ref="F915:K915"/>
    <mergeCell ref="A916:E916"/>
    <mergeCell ref="F916:K916"/>
  </mergeCells>
  <pageMargins left="1.1811023622047245" right="0.43307086614173229" top="0.43307086614173229" bottom="0.51181102362204722" header="0.31496062992125984" footer="0.31496062992125984"/>
  <pageSetup paperSize="5" scale="95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1"/>
  <sheetViews>
    <sheetView view="pageLayout" topLeftCell="A4" workbookViewId="0">
      <selection activeCell="E7" sqref="E7"/>
    </sheetView>
  </sheetViews>
  <sheetFormatPr defaultRowHeight="10.5" customHeight="1" x14ac:dyDescent="0.25"/>
  <cols>
    <col min="1" max="1" width="2.140625" customWidth="1"/>
    <col min="2" max="2" width="1.7109375" customWidth="1"/>
    <col min="3" max="3" width="2" customWidth="1"/>
    <col min="4" max="4" width="29" customWidth="1"/>
    <col min="5" max="5" width="16.7109375" customWidth="1"/>
    <col min="6" max="6" width="16.85546875" customWidth="1"/>
    <col min="7" max="7" width="17.85546875" customWidth="1"/>
  </cols>
  <sheetData>
    <row r="1" spans="1:7" ht="10.5" customHeight="1" x14ac:dyDescent="0.25">
      <c r="A1" s="479" t="s">
        <v>29</v>
      </c>
      <c r="B1" s="479"/>
      <c r="C1" s="479"/>
      <c r="D1" s="479"/>
      <c r="E1" s="479"/>
      <c r="F1" s="479"/>
      <c r="G1" s="479"/>
    </row>
    <row r="2" spans="1:7" ht="10.5" customHeight="1" x14ac:dyDescent="0.25">
      <c r="A2" s="479" t="s">
        <v>30</v>
      </c>
      <c r="B2" s="479"/>
      <c r="C2" s="479"/>
      <c r="D2" s="479"/>
      <c r="E2" s="479"/>
      <c r="F2" s="479"/>
      <c r="G2" s="479"/>
    </row>
    <row r="3" spans="1:7" ht="10.5" customHeight="1" x14ac:dyDescent="0.25">
      <c r="A3" s="479" t="s">
        <v>186</v>
      </c>
      <c r="B3" s="479"/>
      <c r="C3" s="479"/>
      <c r="D3" s="479"/>
      <c r="E3" s="479"/>
      <c r="F3" s="479"/>
      <c r="G3" s="479"/>
    </row>
    <row r="4" spans="1:7" ht="10.5" customHeight="1" x14ac:dyDescent="0.25">
      <c r="A4" s="5"/>
      <c r="B4" s="5"/>
      <c r="C4" s="5"/>
      <c r="D4" s="5"/>
      <c r="E4" s="6"/>
      <c r="F4" s="6"/>
      <c r="G4" s="6"/>
    </row>
    <row r="5" spans="1:7" ht="10.5" customHeight="1" x14ac:dyDescent="0.25">
      <c r="A5" s="473" t="s">
        <v>6</v>
      </c>
      <c r="B5" s="473"/>
      <c r="C5" s="473"/>
      <c r="D5" s="473"/>
      <c r="E5" s="473"/>
      <c r="F5" s="473"/>
      <c r="G5" s="473"/>
    </row>
    <row r="6" spans="1:7" ht="18" customHeight="1" x14ac:dyDescent="0.25">
      <c r="A6" s="467" t="s">
        <v>10</v>
      </c>
      <c r="B6" s="468"/>
      <c r="C6" s="468"/>
      <c r="D6" s="468"/>
      <c r="E6" s="467" t="s">
        <v>185</v>
      </c>
      <c r="F6" s="474"/>
      <c r="G6" s="475"/>
    </row>
    <row r="7" spans="1:7" ht="10.5" customHeight="1" x14ac:dyDescent="0.25">
      <c r="A7" s="7"/>
      <c r="B7" s="8"/>
      <c r="C7" s="8"/>
      <c r="D7" s="9"/>
      <c r="E7" s="10"/>
      <c r="F7" s="3"/>
      <c r="G7" s="3"/>
    </row>
    <row r="8" spans="1:7" ht="10.5" customHeight="1" x14ac:dyDescent="0.25">
      <c r="A8" s="11" t="s">
        <v>31</v>
      </c>
      <c r="B8" s="12"/>
      <c r="C8" s="12"/>
      <c r="D8" s="13"/>
      <c r="E8" s="14"/>
      <c r="F8" s="14"/>
      <c r="G8" s="15">
        <f>F9+F15+F18+F19+F22</f>
        <v>1143105885.4663019</v>
      </c>
    </row>
    <row r="9" spans="1:7" ht="10.5" customHeight="1" x14ac:dyDescent="0.25">
      <c r="A9" s="16"/>
      <c r="B9" s="12" t="s">
        <v>32</v>
      </c>
      <c r="C9" s="12"/>
      <c r="D9" s="13"/>
      <c r="E9" s="14"/>
      <c r="F9" s="14">
        <f>E10+E11</f>
        <v>796043898.70000005</v>
      </c>
      <c r="G9" s="14"/>
    </row>
    <row r="10" spans="1:7" ht="10.5" customHeight="1" x14ac:dyDescent="0.25">
      <c r="A10" s="16"/>
      <c r="B10" s="12"/>
      <c r="C10" s="12" t="s">
        <v>33</v>
      </c>
      <c r="D10" s="13"/>
      <c r="E10" s="14">
        <v>589885</v>
      </c>
      <c r="F10" s="14"/>
      <c r="G10" s="14"/>
    </row>
    <row r="11" spans="1:7" ht="10.5" customHeight="1" x14ac:dyDescent="0.25">
      <c r="A11" s="16"/>
      <c r="B11" s="12"/>
      <c r="C11" s="12" t="s">
        <v>34</v>
      </c>
      <c r="D11" s="13"/>
      <c r="E11" s="14">
        <f>[3]Kas!$G$33-E10</f>
        <v>795454013.70000005</v>
      </c>
      <c r="F11" s="14"/>
      <c r="G11" s="14"/>
    </row>
    <row r="12" spans="1:7" ht="10.5" customHeight="1" x14ac:dyDescent="0.25">
      <c r="A12" s="16"/>
      <c r="B12" s="12" t="s">
        <v>35</v>
      </c>
      <c r="C12" s="12"/>
      <c r="D12" s="13"/>
      <c r="E12" s="14"/>
      <c r="F12" s="14">
        <f>0</f>
        <v>0</v>
      </c>
      <c r="G12" s="14"/>
    </row>
    <row r="13" spans="1:7" ht="10.5" customHeight="1" x14ac:dyDescent="0.25">
      <c r="A13" s="16"/>
      <c r="B13" s="12"/>
      <c r="C13" s="12" t="s">
        <v>36</v>
      </c>
      <c r="D13" s="13"/>
      <c r="E13" s="14">
        <f>0</f>
        <v>0</v>
      </c>
      <c r="F13" s="14"/>
      <c r="G13" s="14"/>
    </row>
    <row r="14" spans="1:7" ht="10.5" customHeight="1" x14ac:dyDescent="0.25">
      <c r="A14" s="16"/>
      <c r="B14" s="12"/>
      <c r="C14" s="12" t="s">
        <v>37</v>
      </c>
      <c r="D14" s="13"/>
      <c r="E14" s="14">
        <f>0</f>
        <v>0</v>
      </c>
      <c r="F14" s="14"/>
      <c r="G14" s="14"/>
    </row>
    <row r="15" spans="1:7" ht="10.5" customHeight="1" x14ac:dyDescent="0.25">
      <c r="A15" s="16"/>
      <c r="B15" s="12" t="s">
        <v>38</v>
      </c>
      <c r="C15" s="12"/>
      <c r="D15" s="13"/>
      <c r="E15" s="14"/>
      <c r="F15" s="14">
        <f>E16</f>
        <v>108725960</v>
      </c>
      <c r="G15" s="14"/>
    </row>
    <row r="16" spans="1:7" ht="10.5" customHeight="1" x14ac:dyDescent="0.25">
      <c r="A16" s="16"/>
      <c r="B16" s="12"/>
      <c r="C16" s="12" t="s">
        <v>39</v>
      </c>
      <c r="D16" s="13"/>
      <c r="E16" s="14">
        <f>[3]Piutang!$F$32</f>
        <v>108725960</v>
      </c>
      <c r="F16" s="14"/>
      <c r="G16" s="14"/>
    </row>
    <row r="17" spans="1:7" ht="10.5" customHeight="1" x14ac:dyDescent="0.25">
      <c r="A17" s="16"/>
      <c r="B17" s="12"/>
      <c r="C17" s="12" t="s">
        <v>40</v>
      </c>
      <c r="D17" s="13"/>
      <c r="E17" s="14">
        <f>0</f>
        <v>0</v>
      </c>
      <c r="F17" s="14"/>
      <c r="G17" s="14"/>
    </row>
    <row r="18" spans="1:7" ht="10.5" customHeight="1" x14ac:dyDescent="0.25">
      <c r="A18" s="16"/>
      <c r="B18" s="12" t="s">
        <v>41</v>
      </c>
      <c r="C18" s="12"/>
      <c r="D18" s="13"/>
      <c r="E18" s="14"/>
      <c r="F18" s="14">
        <f>-[3]Piutang!$F$50</f>
        <v>-29241801.582698062</v>
      </c>
      <c r="G18" s="14"/>
    </row>
    <row r="19" spans="1:7" ht="10.5" customHeight="1" x14ac:dyDescent="0.25">
      <c r="A19" s="16"/>
      <c r="B19" s="12" t="s">
        <v>42</v>
      </c>
      <c r="C19" s="12"/>
      <c r="D19" s="13"/>
      <c r="E19" s="14"/>
      <c r="F19" s="14">
        <f>E20+E21</f>
        <v>17713535</v>
      </c>
      <c r="G19" s="14"/>
    </row>
    <row r="20" spans="1:7" ht="10.5" customHeight="1" x14ac:dyDescent="0.25">
      <c r="A20" s="16"/>
      <c r="B20" s="12"/>
      <c r="C20" s="12" t="s">
        <v>27</v>
      </c>
      <c r="D20" s="13"/>
      <c r="E20" s="14">
        <f>[3]Piutang!$D$60</f>
        <v>87535</v>
      </c>
      <c r="F20" s="14"/>
      <c r="G20" s="14"/>
    </row>
    <row r="21" spans="1:7" ht="10.5" customHeight="1" x14ac:dyDescent="0.25">
      <c r="A21" s="16"/>
      <c r="B21" s="12"/>
      <c r="C21" s="12" t="s">
        <v>43</v>
      </c>
      <c r="D21" s="13"/>
      <c r="E21" s="14">
        <f>[3]Piutang!$F$97</f>
        <v>17626000</v>
      </c>
      <c r="F21" s="14"/>
      <c r="G21" s="14"/>
    </row>
    <row r="22" spans="1:7" ht="10.5" customHeight="1" x14ac:dyDescent="0.25">
      <c r="A22" s="16"/>
      <c r="B22" s="12" t="s">
        <v>44</v>
      </c>
      <c r="C22" s="12"/>
      <c r="D22" s="13"/>
      <c r="E22" s="14"/>
      <c r="F22" s="14">
        <f>E23+E24+E25</f>
        <v>249864293.34900004</v>
      </c>
      <c r="G22" s="14"/>
    </row>
    <row r="23" spans="1:7" ht="10.5" customHeight="1" x14ac:dyDescent="0.25">
      <c r="A23" s="16"/>
      <c r="B23" s="12"/>
      <c r="C23" s="12" t="s">
        <v>45</v>
      </c>
      <c r="D23" s="13"/>
      <c r="E23" s="14">
        <f>[3]Persediaan!$F$21+[3]Persediaan!$F$39+[3]Persediaan!$F$57</f>
        <v>125608580</v>
      </c>
      <c r="F23" s="14"/>
      <c r="G23" s="14"/>
    </row>
    <row r="24" spans="1:7" ht="10.5" customHeight="1" x14ac:dyDescent="0.25">
      <c r="A24" s="16"/>
      <c r="B24" s="12"/>
      <c r="C24" s="12" t="s">
        <v>46</v>
      </c>
      <c r="D24" s="13"/>
      <c r="E24" s="14">
        <f>[3]Persediaan!$F$98</f>
        <v>2097500</v>
      </c>
      <c r="F24" s="14"/>
      <c r="G24" s="14"/>
    </row>
    <row r="25" spans="1:7" ht="10.5" customHeight="1" x14ac:dyDescent="0.25">
      <c r="A25" s="16"/>
      <c r="B25" s="12"/>
      <c r="C25" s="12" t="s">
        <v>47</v>
      </c>
      <c r="D25" s="13"/>
      <c r="E25" s="14">
        <f>[3]Persediaan!$F$80</f>
        <v>122158213.34900002</v>
      </c>
      <c r="F25" s="14"/>
      <c r="G25" s="14"/>
    </row>
    <row r="26" spans="1:7" ht="10.5" customHeight="1" x14ac:dyDescent="0.25">
      <c r="A26" s="16"/>
      <c r="B26" s="12" t="s">
        <v>48</v>
      </c>
      <c r="C26" s="12"/>
      <c r="D26" s="13"/>
      <c r="E26" s="14"/>
      <c r="F26" s="14">
        <f>0</f>
        <v>0</v>
      </c>
      <c r="G26" s="14"/>
    </row>
    <row r="27" spans="1:7" ht="10.5" customHeight="1" x14ac:dyDescent="0.25">
      <c r="A27" s="16"/>
      <c r="B27" s="12"/>
      <c r="C27" s="12" t="s">
        <v>49</v>
      </c>
      <c r="D27" s="13"/>
      <c r="E27" s="14">
        <f>0</f>
        <v>0</v>
      </c>
      <c r="F27" s="14"/>
      <c r="G27" s="14"/>
    </row>
    <row r="28" spans="1:7" ht="10.5" customHeight="1" x14ac:dyDescent="0.25">
      <c r="A28" s="16"/>
      <c r="B28" s="12" t="s">
        <v>50</v>
      </c>
      <c r="C28" s="12"/>
      <c r="D28" s="13"/>
      <c r="E28" s="14"/>
      <c r="F28" s="14"/>
      <c r="G28" s="14"/>
    </row>
    <row r="29" spans="1:7" ht="10.5" customHeight="1" x14ac:dyDescent="0.25">
      <c r="A29" s="16"/>
      <c r="B29" s="12"/>
      <c r="C29" s="12" t="s">
        <v>51</v>
      </c>
      <c r="D29" s="13"/>
      <c r="E29" s="14">
        <f>0</f>
        <v>0</v>
      </c>
      <c r="F29" s="14"/>
      <c r="G29" s="14"/>
    </row>
    <row r="30" spans="1:7" ht="10.5" customHeight="1" x14ac:dyDescent="0.25">
      <c r="A30" s="16"/>
      <c r="B30" s="12"/>
      <c r="C30" s="12" t="s">
        <v>52</v>
      </c>
      <c r="D30" s="13"/>
      <c r="E30" s="14">
        <f>0</f>
        <v>0</v>
      </c>
      <c r="F30" s="14"/>
      <c r="G30" s="14"/>
    </row>
    <row r="31" spans="1:7" ht="10.5" customHeight="1" x14ac:dyDescent="0.25">
      <c r="A31" s="16"/>
      <c r="B31" s="12"/>
      <c r="C31" s="12" t="s">
        <v>53</v>
      </c>
      <c r="D31" s="13"/>
      <c r="E31" s="14">
        <f>0</f>
        <v>0</v>
      </c>
      <c r="F31" s="14"/>
      <c r="G31" s="14"/>
    </row>
    <row r="32" spans="1:7" ht="10.5" customHeight="1" x14ac:dyDescent="0.25">
      <c r="A32" s="16"/>
      <c r="B32" s="12"/>
      <c r="C32" s="12" t="s">
        <v>54</v>
      </c>
      <c r="D32" s="13"/>
      <c r="E32" s="14">
        <f>0</f>
        <v>0</v>
      </c>
      <c r="F32" s="14"/>
      <c r="G32" s="14"/>
    </row>
    <row r="33" spans="1:7" ht="10.5" customHeight="1" x14ac:dyDescent="0.25">
      <c r="A33" s="11" t="s">
        <v>55</v>
      </c>
      <c r="B33" s="17"/>
      <c r="C33" s="17"/>
      <c r="D33" s="18"/>
      <c r="E33" s="15"/>
      <c r="F33" s="15"/>
      <c r="G33" s="15">
        <f>F34+F44</f>
        <v>4120016027.4175</v>
      </c>
    </row>
    <row r="34" spans="1:7" ht="10.5" customHeight="1" x14ac:dyDescent="0.25">
      <c r="A34" s="16"/>
      <c r="B34" s="12" t="s">
        <v>56</v>
      </c>
      <c r="C34" s="12"/>
      <c r="D34" s="13"/>
      <c r="E34" s="14"/>
      <c r="F34" s="14">
        <f>SUM(E35:E43)</f>
        <v>6529174835.415</v>
      </c>
      <c r="G34" s="19"/>
    </row>
    <row r="35" spans="1:7" ht="10.5" customHeight="1" x14ac:dyDescent="0.25">
      <c r="A35" s="16"/>
      <c r="B35" s="12"/>
      <c r="C35" s="12" t="s">
        <v>57</v>
      </c>
      <c r="D35" s="13"/>
      <c r="E35" s="14">
        <f>'[3]Aktiva Tetap'!$D$9</f>
        <v>232450000</v>
      </c>
      <c r="F35" s="14"/>
      <c r="G35" s="14"/>
    </row>
    <row r="36" spans="1:7" ht="10.5" customHeight="1" x14ac:dyDescent="0.25">
      <c r="A36" s="16"/>
      <c r="B36" s="12"/>
      <c r="C36" s="12" t="s">
        <v>58</v>
      </c>
      <c r="D36" s="13"/>
      <c r="E36" s="14">
        <f>'[3]Aktiva Tetap'!$F$20</f>
        <v>510559191</v>
      </c>
      <c r="F36" s="14"/>
      <c r="G36" s="14"/>
    </row>
    <row r="37" spans="1:7" ht="10.5" customHeight="1" x14ac:dyDescent="0.25">
      <c r="A37" s="16"/>
      <c r="B37" s="12"/>
      <c r="C37" s="12" t="s">
        <v>59</v>
      </c>
      <c r="D37" s="13"/>
      <c r="E37" s="20">
        <f>'[3]Aktiva Tetap'!$F$30</f>
        <v>117602561</v>
      </c>
      <c r="F37" s="14"/>
      <c r="G37" s="14"/>
    </row>
    <row r="38" spans="1:7" ht="10.5" customHeight="1" x14ac:dyDescent="0.25">
      <c r="A38" s="16"/>
      <c r="B38" s="12"/>
      <c r="C38" s="12" t="s">
        <v>60</v>
      </c>
      <c r="D38" s="13"/>
      <c r="E38" s="14">
        <f>'[3]Aktiva Tetap'!$F$39</f>
        <v>2528466809</v>
      </c>
      <c r="F38" s="14"/>
      <c r="G38" s="14"/>
    </row>
    <row r="39" spans="1:7" ht="10.5" customHeight="1" x14ac:dyDescent="0.25">
      <c r="A39" s="16"/>
      <c r="B39" s="12"/>
      <c r="C39" s="12" t="s">
        <v>61</v>
      </c>
      <c r="D39" s="13"/>
      <c r="E39" s="14">
        <f>'[3]Aktiva Tetap'!$F$59</f>
        <v>2333421966.415</v>
      </c>
      <c r="F39" s="14"/>
      <c r="G39" s="14"/>
    </row>
    <row r="40" spans="1:7" ht="10.5" customHeight="1" x14ac:dyDescent="0.25">
      <c r="A40" s="16"/>
      <c r="B40" s="12"/>
      <c r="C40" s="12" t="s">
        <v>62</v>
      </c>
      <c r="D40" s="13"/>
      <c r="E40" s="14">
        <f>'[3]Aktiva Tetap'!$F$76</f>
        <v>409862308</v>
      </c>
      <c r="F40" s="14"/>
      <c r="G40" s="14"/>
    </row>
    <row r="41" spans="1:7" ht="10.5" customHeight="1" x14ac:dyDescent="0.25">
      <c r="A41" s="16"/>
      <c r="B41" s="12"/>
      <c r="C41" s="12" t="s">
        <v>63</v>
      </c>
      <c r="D41" s="13"/>
      <c r="E41" s="14">
        <f>'[3]Aktiva Tetap'!$D$90</f>
        <v>10182000</v>
      </c>
      <c r="F41" s="14"/>
      <c r="G41" s="14"/>
    </row>
    <row r="42" spans="1:7" ht="10.5" customHeight="1" x14ac:dyDescent="0.25">
      <c r="A42" s="16"/>
      <c r="B42" s="12"/>
      <c r="C42" s="12" t="s">
        <v>64</v>
      </c>
      <c r="D42" s="13"/>
      <c r="E42" s="14">
        <f>'[3]Aktiva Tetap'!$F$100</f>
        <v>284050000</v>
      </c>
      <c r="F42" s="14"/>
      <c r="G42" s="14"/>
    </row>
    <row r="43" spans="1:7" ht="10.5" customHeight="1" x14ac:dyDescent="0.25">
      <c r="A43" s="16"/>
      <c r="B43" s="12"/>
      <c r="C43" s="12" t="s">
        <v>65</v>
      </c>
      <c r="D43" s="13"/>
      <c r="E43" s="14">
        <f>'[3]Aktiva Tetap'!$F$115</f>
        <v>102580000</v>
      </c>
      <c r="F43" s="14"/>
      <c r="G43" s="14"/>
    </row>
    <row r="44" spans="1:7" ht="10.5" customHeight="1" x14ac:dyDescent="0.25">
      <c r="A44" s="16"/>
      <c r="B44" s="12"/>
      <c r="C44" s="12" t="s">
        <v>66</v>
      </c>
      <c r="D44" s="13"/>
      <c r="E44" s="14"/>
      <c r="F44" s="14">
        <f>SUM(E45:E52)</f>
        <v>-2409158807.9974999</v>
      </c>
      <c r="G44" s="14"/>
    </row>
    <row r="45" spans="1:7" ht="10.5" customHeight="1" x14ac:dyDescent="0.25">
      <c r="A45" s="16"/>
      <c r="B45" s="12"/>
      <c r="C45" s="12"/>
      <c r="D45" s="13" t="s">
        <v>67</v>
      </c>
      <c r="E45" s="14">
        <f>-'[3]Akum. Ak. Tetap'!$F$10</f>
        <v>-108966265</v>
      </c>
      <c r="F45" s="14"/>
      <c r="G45" s="14"/>
    </row>
    <row r="46" spans="1:7" ht="10.5" customHeight="1" x14ac:dyDescent="0.25">
      <c r="A46" s="16"/>
      <c r="B46" s="12"/>
      <c r="C46" s="12"/>
      <c r="D46" s="13" t="s">
        <v>68</v>
      </c>
      <c r="E46" s="14">
        <f>-'[3]Akum. Ak. Tetap'!$F$19</f>
        <v>-56154756</v>
      </c>
      <c r="F46" s="14"/>
      <c r="G46" s="14"/>
    </row>
    <row r="47" spans="1:7" ht="10.5" customHeight="1" x14ac:dyDescent="0.25">
      <c r="A47" s="16"/>
      <c r="B47" s="12"/>
      <c r="C47" s="12"/>
      <c r="D47" s="13" t="s">
        <v>69</v>
      </c>
      <c r="E47" s="14">
        <f>-'[3]Akum. Ak. Tetap'!$F$28</f>
        <v>-886392270</v>
      </c>
      <c r="F47" s="14"/>
      <c r="G47" s="14"/>
    </row>
    <row r="48" spans="1:7" ht="10.5" customHeight="1" x14ac:dyDescent="0.25">
      <c r="A48" s="16"/>
      <c r="B48" s="12"/>
      <c r="C48" s="12"/>
      <c r="D48" s="13" t="s">
        <v>70</v>
      </c>
      <c r="E48" s="14">
        <f>-'[3]Akum. Ak. Tetap'!$F$36</f>
        <v>-917685149</v>
      </c>
      <c r="F48" s="14"/>
      <c r="G48" s="14"/>
    </row>
    <row r="49" spans="1:7" ht="10.5" customHeight="1" x14ac:dyDescent="0.25">
      <c r="A49" s="16"/>
      <c r="B49" s="12"/>
      <c r="C49" s="12"/>
      <c r="D49" s="13" t="s">
        <v>71</v>
      </c>
      <c r="E49" s="14">
        <f>-'[4]Aktiva Tetap'!$E$84</f>
        <v>-85012500</v>
      </c>
      <c r="F49" s="14"/>
      <c r="G49" s="14"/>
    </row>
    <row r="50" spans="1:7" ht="10.5" customHeight="1" x14ac:dyDescent="0.25">
      <c r="A50" s="16"/>
      <c r="B50" s="12"/>
      <c r="C50" s="12"/>
      <c r="D50" s="13" t="s">
        <v>72</v>
      </c>
      <c r="E50" s="14">
        <f>-'[4]Aktiva Tetap'!$E$85</f>
        <v>-7177933</v>
      </c>
      <c r="F50" s="14"/>
      <c r="G50" s="14"/>
    </row>
    <row r="51" spans="1:7" ht="10.5" customHeight="1" x14ac:dyDescent="0.25">
      <c r="A51" s="16"/>
      <c r="B51" s="12"/>
      <c r="C51" s="12"/>
      <c r="D51" s="13" t="s">
        <v>73</v>
      </c>
      <c r="E51" s="14">
        <f>-'[4]Aktiva Tetap'!$E$86</f>
        <v>-275450000</v>
      </c>
      <c r="F51" s="14"/>
      <c r="G51" s="14"/>
    </row>
    <row r="52" spans="1:7" ht="10.5" customHeight="1" x14ac:dyDescent="0.25">
      <c r="A52" s="16"/>
      <c r="B52" s="12"/>
      <c r="C52" s="12"/>
      <c r="D52" s="13" t="s">
        <v>74</v>
      </c>
      <c r="E52" s="14">
        <f>-'[4]Aktiva Tetap'!$E$87</f>
        <v>-72319934.997500002</v>
      </c>
      <c r="F52" s="14"/>
      <c r="G52" s="14"/>
    </row>
    <row r="53" spans="1:7" ht="10.5" customHeight="1" x14ac:dyDescent="0.25">
      <c r="A53" s="11" t="s">
        <v>75</v>
      </c>
      <c r="B53" s="12"/>
      <c r="C53" s="12"/>
      <c r="D53" s="13"/>
      <c r="E53" s="14"/>
      <c r="F53" s="14">
        <f>0</f>
        <v>0</v>
      </c>
      <c r="G53" s="14"/>
    </row>
    <row r="54" spans="1:7" ht="10.5" customHeight="1" x14ac:dyDescent="0.25">
      <c r="A54" s="11" t="s">
        <v>76</v>
      </c>
      <c r="B54" s="12"/>
      <c r="C54" s="12"/>
      <c r="D54" s="13"/>
      <c r="E54" s="14"/>
      <c r="F54" s="14">
        <f>0</f>
        <v>0</v>
      </c>
      <c r="G54" s="14"/>
    </row>
    <row r="55" spans="1:7" ht="10.5" customHeight="1" x14ac:dyDescent="0.25">
      <c r="A55" s="16"/>
      <c r="B55" s="12" t="s">
        <v>77</v>
      </c>
      <c r="C55" s="12"/>
      <c r="D55" s="13"/>
      <c r="E55" s="14"/>
      <c r="F55" s="14">
        <f>0</f>
        <v>0</v>
      </c>
      <c r="G55" s="14"/>
    </row>
    <row r="56" spans="1:7" ht="10.5" customHeight="1" x14ac:dyDescent="0.25">
      <c r="A56" s="16"/>
      <c r="B56" s="12"/>
      <c r="C56" s="12" t="s">
        <v>78</v>
      </c>
      <c r="D56" s="13"/>
      <c r="E56" s="14">
        <f>0</f>
        <v>0</v>
      </c>
      <c r="F56" s="14"/>
      <c r="G56" s="14"/>
    </row>
    <row r="57" spans="1:7" ht="10.5" customHeight="1" x14ac:dyDescent="0.25">
      <c r="A57" s="16"/>
      <c r="B57" s="12"/>
      <c r="C57" s="12" t="s">
        <v>79</v>
      </c>
      <c r="D57" s="13"/>
      <c r="E57" s="14">
        <f>0</f>
        <v>0</v>
      </c>
      <c r="F57" s="14"/>
      <c r="G57" s="14"/>
    </row>
    <row r="58" spans="1:7" ht="10.5" customHeight="1" x14ac:dyDescent="0.25">
      <c r="A58" s="16"/>
      <c r="B58" s="12"/>
      <c r="C58" s="12" t="s">
        <v>80</v>
      </c>
      <c r="D58" s="13"/>
      <c r="E58" s="14">
        <f>0</f>
        <v>0</v>
      </c>
      <c r="F58" s="14"/>
      <c r="G58" s="14"/>
    </row>
    <row r="59" spans="1:7" ht="10.5" customHeight="1" x14ac:dyDescent="0.25">
      <c r="A59" s="16"/>
      <c r="B59" s="12"/>
      <c r="C59" s="12" t="s">
        <v>81</v>
      </c>
      <c r="D59" s="13"/>
      <c r="E59" s="14">
        <f>0</f>
        <v>0</v>
      </c>
      <c r="F59" s="14"/>
      <c r="G59" s="14"/>
    </row>
    <row r="60" spans="1:7" ht="10.5" customHeight="1" x14ac:dyDescent="0.25">
      <c r="A60" s="16"/>
      <c r="B60" s="12"/>
      <c r="C60" s="12" t="s">
        <v>82</v>
      </c>
      <c r="D60" s="13"/>
      <c r="E60" s="14">
        <f>0</f>
        <v>0</v>
      </c>
      <c r="F60" s="14"/>
      <c r="G60" s="14"/>
    </row>
    <row r="61" spans="1:7" ht="10.5" customHeight="1" x14ac:dyDescent="0.25">
      <c r="A61" s="16"/>
      <c r="B61" s="12"/>
      <c r="C61" s="12" t="s">
        <v>83</v>
      </c>
      <c r="D61" s="13"/>
      <c r="E61" s="14">
        <f>0</f>
        <v>0</v>
      </c>
      <c r="F61" s="14"/>
      <c r="G61" s="14"/>
    </row>
    <row r="62" spans="1:7" ht="10.5" customHeight="1" x14ac:dyDescent="0.25">
      <c r="A62" s="16"/>
      <c r="B62" s="12"/>
      <c r="C62" s="12" t="s">
        <v>84</v>
      </c>
      <c r="D62" s="13"/>
      <c r="E62" s="14">
        <f>0</f>
        <v>0</v>
      </c>
      <c r="F62" s="14"/>
      <c r="G62" s="14"/>
    </row>
    <row r="63" spans="1:7" ht="10.5" customHeight="1" x14ac:dyDescent="0.25">
      <c r="A63" s="16"/>
      <c r="B63" s="12"/>
      <c r="C63" s="12" t="s">
        <v>85</v>
      </c>
      <c r="D63" s="13"/>
      <c r="E63" s="14">
        <f>0</f>
        <v>0</v>
      </c>
      <c r="F63" s="14"/>
      <c r="G63" s="14"/>
    </row>
    <row r="64" spans="1:7" ht="10.5" customHeight="1" x14ac:dyDescent="0.25">
      <c r="A64" s="11" t="s">
        <v>86</v>
      </c>
      <c r="B64" s="12"/>
      <c r="C64" s="12"/>
      <c r="D64" s="13"/>
      <c r="E64" s="14"/>
      <c r="F64" s="14">
        <f>0</f>
        <v>0</v>
      </c>
      <c r="G64" s="14"/>
    </row>
    <row r="65" spans="1:7" ht="10.5" customHeight="1" x14ac:dyDescent="0.25">
      <c r="A65" s="16"/>
      <c r="B65" s="12" t="s">
        <v>87</v>
      </c>
      <c r="C65" s="12"/>
      <c r="D65" s="13"/>
      <c r="E65" s="14">
        <f>0</f>
        <v>0</v>
      </c>
      <c r="F65" s="14"/>
      <c r="G65" s="14"/>
    </row>
    <row r="66" spans="1:7" ht="10.5" customHeight="1" x14ac:dyDescent="0.25">
      <c r="A66" s="16"/>
      <c r="B66" s="12" t="s">
        <v>79</v>
      </c>
      <c r="C66" s="12"/>
      <c r="D66" s="13"/>
      <c r="E66" s="14">
        <f>0</f>
        <v>0</v>
      </c>
      <c r="F66" s="14"/>
      <c r="G66" s="14"/>
    </row>
    <row r="67" spans="1:7" ht="10.5" customHeight="1" x14ac:dyDescent="0.25">
      <c r="A67" s="16"/>
      <c r="B67" s="12" t="s">
        <v>80</v>
      </c>
      <c r="C67" s="12"/>
      <c r="D67" s="13"/>
      <c r="E67" s="14">
        <f>0</f>
        <v>0</v>
      </c>
      <c r="F67" s="14"/>
      <c r="G67" s="14"/>
    </row>
    <row r="68" spans="1:7" ht="10.5" customHeight="1" x14ac:dyDescent="0.25">
      <c r="A68" s="16"/>
      <c r="B68" s="12" t="s">
        <v>81</v>
      </c>
      <c r="C68" s="12"/>
      <c r="D68" s="13"/>
      <c r="E68" s="14">
        <f>0</f>
        <v>0</v>
      </c>
      <c r="F68" s="14"/>
      <c r="G68" s="14"/>
    </row>
    <row r="69" spans="1:7" ht="10.5" customHeight="1" x14ac:dyDescent="0.25">
      <c r="A69" s="16"/>
      <c r="B69" s="12" t="s">
        <v>88</v>
      </c>
      <c r="C69" s="12"/>
      <c r="D69" s="13"/>
      <c r="E69" s="14">
        <f>0</f>
        <v>0</v>
      </c>
      <c r="F69" s="14"/>
      <c r="G69" s="14"/>
    </row>
    <row r="70" spans="1:7" ht="10.5" customHeight="1" x14ac:dyDescent="0.25">
      <c r="A70" s="16"/>
      <c r="B70" s="12" t="s">
        <v>89</v>
      </c>
      <c r="C70" s="12"/>
      <c r="D70" s="13"/>
      <c r="E70" s="14">
        <f>0</f>
        <v>0</v>
      </c>
      <c r="F70" s="14"/>
      <c r="G70" s="14"/>
    </row>
    <row r="71" spans="1:7" ht="10.5" customHeight="1" x14ac:dyDescent="0.25">
      <c r="A71" s="16"/>
      <c r="B71" s="12" t="s">
        <v>90</v>
      </c>
      <c r="C71" s="12"/>
      <c r="D71" s="13"/>
      <c r="E71" s="14">
        <f>0</f>
        <v>0</v>
      </c>
      <c r="F71" s="14"/>
      <c r="G71" s="14"/>
    </row>
    <row r="72" spans="1:7" ht="10.5" customHeight="1" x14ac:dyDescent="0.25">
      <c r="A72" s="16"/>
      <c r="B72" s="12" t="s">
        <v>85</v>
      </c>
      <c r="C72" s="12"/>
      <c r="D72" s="13"/>
      <c r="E72" s="14">
        <f>0</f>
        <v>0</v>
      </c>
      <c r="F72" s="14"/>
      <c r="G72" s="14"/>
    </row>
    <row r="73" spans="1:7" ht="10.5" customHeight="1" x14ac:dyDescent="0.25">
      <c r="A73" s="11" t="s">
        <v>86</v>
      </c>
      <c r="B73" s="12"/>
      <c r="C73" s="12"/>
      <c r="D73" s="13"/>
      <c r="E73" s="14"/>
      <c r="F73" s="14">
        <f>0</f>
        <v>0</v>
      </c>
      <c r="G73" s="14"/>
    </row>
    <row r="74" spans="1:7" ht="10.5" customHeight="1" x14ac:dyDescent="0.25">
      <c r="A74" s="16"/>
      <c r="B74" s="12" t="s">
        <v>91</v>
      </c>
      <c r="C74" s="12"/>
      <c r="D74" s="13"/>
      <c r="E74" s="14">
        <f>0</f>
        <v>0</v>
      </c>
      <c r="F74" s="14"/>
      <c r="G74" s="14"/>
    </row>
    <row r="75" spans="1:7" ht="10.5" customHeight="1" x14ac:dyDescent="0.25">
      <c r="A75" s="16"/>
      <c r="B75" s="12" t="s">
        <v>92</v>
      </c>
      <c r="C75" s="12"/>
      <c r="D75" s="13"/>
      <c r="E75" s="14">
        <f>0</f>
        <v>0</v>
      </c>
      <c r="F75" s="14"/>
      <c r="G75" s="14"/>
    </row>
    <row r="76" spans="1:7" ht="10.5" customHeight="1" x14ac:dyDescent="0.25">
      <c r="A76" s="16"/>
      <c r="B76" s="12" t="s">
        <v>93</v>
      </c>
      <c r="C76" s="12"/>
      <c r="D76" s="13"/>
      <c r="E76" s="14">
        <f>0</f>
        <v>0</v>
      </c>
      <c r="F76" s="14"/>
      <c r="G76" s="14"/>
    </row>
    <row r="77" spans="1:7" ht="10.5" customHeight="1" x14ac:dyDescent="0.25">
      <c r="A77" s="16"/>
      <c r="B77" s="12" t="s">
        <v>94</v>
      </c>
      <c r="C77" s="12"/>
      <c r="D77" s="13"/>
      <c r="E77" s="14">
        <f>0</f>
        <v>0</v>
      </c>
      <c r="F77" s="14"/>
      <c r="G77" s="14"/>
    </row>
    <row r="78" spans="1:7" ht="10.5" customHeight="1" x14ac:dyDescent="0.25">
      <c r="A78" s="16"/>
      <c r="B78" s="12" t="s">
        <v>95</v>
      </c>
      <c r="C78" s="12"/>
      <c r="D78" s="13"/>
      <c r="E78" s="14">
        <f>0</f>
        <v>0</v>
      </c>
      <c r="F78" s="14"/>
      <c r="G78" s="14"/>
    </row>
    <row r="79" spans="1:7" ht="10.5" customHeight="1" x14ac:dyDescent="0.25">
      <c r="A79" s="21"/>
      <c r="B79" s="22" t="s">
        <v>96</v>
      </c>
      <c r="C79" s="22"/>
      <c r="D79" s="23"/>
      <c r="E79" s="24">
        <f>0</f>
        <v>0</v>
      </c>
      <c r="F79" s="24"/>
      <c r="G79" s="24"/>
    </row>
    <row r="80" spans="1:7" ht="17.25" customHeight="1" x14ac:dyDescent="0.25">
      <c r="A80" s="470" t="s">
        <v>7</v>
      </c>
      <c r="B80" s="471"/>
      <c r="C80" s="471"/>
      <c r="D80" s="472"/>
      <c r="E80" s="25"/>
      <c r="F80" s="25"/>
      <c r="G80" s="25">
        <f>SUM(G8:G79)</f>
        <v>5263121912.8838024</v>
      </c>
    </row>
    <row r="81" spans="1:7" ht="10.5" customHeight="1" x14ac:dyDescent="0.25">
      <c r="A81" s="5"/>
      <c r="B81" s="5"/>
      <c r="C81" s="5"/>
      <c r="D81" s="5"/>
      <c r="E81" s="26"/>
      <c r="F81" s="26"/>
      <c r="G81" s="26"/>
    </row>
    <row r="82" spans="1:7" ht="10.5" customHeight="1" x14ac:dyDescent="0.25">
      <c r="A82" s="5"/>
      <c r="B82" s="5"/>
      <c r="C82" s="5"/>
      <c r="D82" s="5"/>
      <c r="E82" s="26"/>
      <c r="F82" s="26"/>
      <c r="G82" s="26"/>
    </row>
    <row r="83" spans="1:7" ht="10.5" customHeight="1" x14ac:dyDescent="0.25">
      <c r="A83" s="5"/>
      <c r="B83" s="5"/>
      <c r="C83" s="5"/>
      <c r="D83" s="5"/>
      <c r="E83" s="26"/>
      <c r="F83" s="26"/>
      <c r="G83" s="26"/>
    </row>
    <row r="84" spans="1:7" ht="10.5" customHeight="1" x14ac:dyDescent="0.25">
      <c r="A84" s="5"/>
      <c r="B84" s="5"/>
      <c r="C84" s="5"/>
      <c r="D84" s="5"/>
      <c r="E84" s="26"/>
      <c r="F84" s="26"/>
      <c r="G84" s="26"/>
    </row>
    <row r="85" spans="1:7" ht="10.5" customHeight="1" x14ac:dyDescent="0.25">
      <c r="A85" s="5"/>
      <c r="B85" s="5"/>
      <c r="C85" s="5"/>
      <c r="D85" s="5"/>
      <c r="E85" s="26"/>
      <c r="F85" s="26"/>
      <c r="G85" s="26"/>
    </row>
    <row r="86" spans="1:7" ht="10.5" customHeight="1" x14ac:dyDescent="0.25">
      <c r="A86" s="5"/>
      <c r="B86" s="5"/>
      <c r="C86" s="5"/>
      <c r="D86" s="5"/>
      <c r="E86" s="26"/>
      <c r="F86" s="26"/>
      <c r="G86" s="26"/>
    </row>
    <row r="87" spans="1:7" ht="10.5" customHeight="1" x14ac:dyDescent="0.25">
      <c r="A87" s="5"/>
      <c r="B87" s="5"/>
      <c r="C87" s="5"/>
      <c r="D87" s="5"/>
      <c r="E87" s="26"/>
      <c r="F87" s="26"/>
      <c r="G87" s="26"/>
    </row>
    <row r="88" spans="1:7" ht="10.5" customHeight="1" x14ac:dyDescent="0.25">
      <c r="A88" s="473" t="s">
        <v>97</v>
      </c>
      <c r="B88" s="473"/>
      <c r="C88" s="473"/>
      <c r="D88" s="473"/>
      <c r="E88" s="473"/>
      <c r="F88" s="473"/>
      <c r="G88" s="473"/>
    </row>
    <row r="89" spans="1:7" ht="10.5" customHeight="1" x14ac:dyDescent="0.25">
      <c r="A89" s="467" t="s">
        <v>10</v>
      </c>
      <c r="B89" s="468"/>
      <c r="C89" s="468"/>
      <c r="D89" s="468"/>
      <c r="E89" s="467" t="s">
        <v>18</v>
      </c>
      <c r="F89" s="474"/>
      <c r="G89" s="475"/>
    </row>
    <row r="90" spans="1:7" ht="10.5" customHeight="1" x14ac:dyDescent="0.25">
      <c r="A90" s="476" t="s">
        <v>8</v>
      </c>
      <c r="B90" s="477"/>
      <c r="C90" s="477"/>
      <c r="D90" s="478"/>
      <c r="E90" s="10"/>
      <c r="F90" s="3"/>
      <c r="G90" s="3"/>
    </row>
    <row r="91" spans="1:7" ht="10.5" customHeight="1" x14ac:dyDescent="0.25">
      <c r="A91" s="11" t="s">
        <v>98</v>
      </c>
      <c r="B91" s="12"/>
      <c r="C91" s="12"/>
      <c r="D91" s="13"/>
      <c r="E91" s="14"/>
      <c r="F91" s="14"/>
      <c r="G91" s="15">
        <f>SUM(F92:F103)</f>
        <v>27212604.530646451</v>
      </c>
    </row>
    <row r="92" spans="1:7" ht="10.5" customHeight="1" x14ac:dyDescent="0.25">
      <c r="A92" s="16"/>
      <c r="B92" s="12" t="s">
        <v>99</v>
      </c>
      <c r="C92" s="12"/>
      <c r="D92" s="13"/>
      <c r="E92" s="14"/>
      <c r="F92" s="14">
        <f>[3]Kewajiban!$F$10</f>
        <v>16672500</v>
      </c>
      <c r="G92" s="14"/>
    </row>
    <row r="93" spans="1:7" ht="10.5" customHeight="1" x14ac:dyDescent="0.25">
      <c r="A93" s="16"/>
      <c r="B93" s="12" t="s">
        <v>100</v>
      </c>
      <c r="C93" s="12"/>
      <c r="D93" s="13"/>
      <c r="E93" s="14"/>
      <c r="F93" s="14"/>
      <c r="G93" s="14"/>
    </row>
    <row r="94" spans="1:7" ht="10.5" customHeight="1" x14ac:dyDescent="0.25">
      <c r="A94" s="16"/>
      <c r="B94" s="12" t="s">
        <v>101</v>
      </c>
      <c r="C94" s="12"/>
      <c r="D94" s="13"/>
      <c r="E94" s="14"/>
      <c r="F94" s="14"/>
      <c r="G94" s="14"/>
    </row>
    <row r="95" spans="1:7" ht="10.5" customHeight="1" x14ac:dyDescent="0.25">
      <c r="A95" s="16"/>
      <c r="B95" s="12" t="s">
        <v>102</v>
      </c>
      <c r="C95" s="12"/>
      <c r="D95" s="13"/>
      <c r="E95" s="14"/>
      <c r="F95" s="14"/>
      <c r="G95" s="14"/>
    </row>
    <row r="96" spans="1:7" ht="10.5" customHeight="1" x14ac:dyDescent="0.25">
      <c r="A96" s="16"/>
      <c r="B96" s="12" t="s">
        <v>103</v>
      </c>
      <c r="C96" s="12"/>
      <c r="D96" s="13"/>
      <c r="E96" s="14"/>
      <c r="F96" s="14"/>
      <c r="G96" s="14"/>
    </row>
    <row r="97" spans="1:7" ht="10.5" customHeight="1" x14ac:dyDescent="0.25">
      <c r="A97" s="16"/>
      <c r="B97" s="12"/>
      <c r="C97" s="12" t="s">
        <v>104</v>
      </c>
      <c r="D97" s="13"/>
      <c r="E97" s="14"/>
      <c r="F97" s="14"/>
      <c r="G97" s="14"/>
    </row>
    <row r="98" spans="1:7" ht="10.5" customHeight="1" x14ac:dyDescent="0.25">
      <c r="A98" s="16"/>
      <c r="B98" s="12"/>
      <c r="C98" s="12" t="s">
        <v>105</v>
      </c>
      <c r="D98" s="13"/>
      <c r="E98" s="14"/>
      <c r="F98" s="14"/>
      <c r="G98" s="14"/>
    </row>
    <row r="99" spans="1:7" ht="10.5" customHeight="1" x14ac:dyDescent="0.25">
      <c r="A99" s="16"/>
      <c r="B99" s="12" t="s">
        <v>106</v>
      </c>
      <c r="C99" s="12"/>
      <c r="D99" s="13"/>
      <c r="E99" s="14"/>
      <c r="F99" s="14">
        <f>[3]Kewajiban!$F$32</f>
        <v>10540104.530646453</v>
      </c>
      <c r="G99" s="14"/>
    </row>
    <row r="100" spans="1:7" ht="10.5" customHeight="1" x14ac:dyDescent="0.25">
      <c r="A100" s="16" t="s">
        <v>107</v>
      </c>
      <c r="B100" s="12"/>
      <c r="C100" s="12"/>
      <c r="D100" s="13"/>
      <c r="E100" s="14"/>
      <c r="F100" s="14"/>
      <c r="G100" s="14"/>
    </row>
    <row r="101" spans="1:7" ht="10.5" customHeight="1" x14ac:dyDescent="0.25">
      <c r="A101" s="16" t="s">
        <v>108</v>
      </c>
      <c r="B101" s="12"/>
      <c r="C101" s="12"/>
      <c r="D101" s="13"/>
      <c r="E101" s="14"/>
      <c r="F101" s="14"/>
      <c r="G101" s="14"/>
    </row>
    <row r="102" spans="1:7" ht="10.5" customHeight="1" x14ac:dyDescent="0.25">
      <c r="A102" s="16" t="s">
        <v>109</v>
      </c>
      <c r="B102" s="12"/>
      <c r="C102" s="12"/>
      <c r="D102" s="13"/>
      <c r="E102" s="14"/>
      <c r="F102" s="14"/>
      <c r="G102" s="14"/>
    </row>
    <row r="103" spans="1:7" ht="10.5" customHeight="1" x14ac:dyDescent="0.25">
      <c r="A103" s="16" t="s">
        <v>110</v>
      </c>
      <c r="B103" s="12"/>
      <c r="C103" s="12"/>
      <c r="D103" s="13"/>
      <c r="E103" s="14"/>
      <c r="F103" s="14"/>
      <c r="G103" s="14"/>
    </row>
    <row r="104" spans="1:7" ht="10.5" customHeight="1" x14ac:dyDescent="0.25">
      <c r="A104" s="11" t="s">
        <v>111</v>
      </c>
      <c r="B104" s="12"/>
      <c r="C104" s="12"/>
      <c r="D104" s="13"/>
      <c r="E104" s="14"/>
      <c r="F104" s="14"/>
      <c r="G104" s="14">
        <f>0</f>
        <v>0</v>
      </c>
    </row>
    <row r="105" spans="1:7" ht="10.5" customHeight="1" x14ac:dyDescent="0.25">
      <c r="A105" s="16"/>
      <c r="B105" s="12" t="s">
        <v>111</v>
      </c>
      <c r="C105" s="12"/>
      <c r="D105" s="13"/>
      <c r="E105" s="14"/>
      <c r="F105" s="14"/>
      <c r="G105" s="14"/>
    </row>
    <row r="106" spans="1:7" ht="10.5" customHeight="1" x14ac:dyDescent="0.25">
      <c r="A106" s="16"/>
      <c r="B106" s="12"/>
      <c r="C106" s="12" t="s">
        <v>112</v>
      </c>
      <c r="D106" s="13"/>
      <c r="E106" s="14"/>
      <c r="F106" s="14"/>
      <c r="G106" s="14"/>
    </row>
    <row r="107" spans="1:7" ht="10.5" customHeight="1" x14ac:dyDescent="0.25">
      <c r="A107" s="16"/>
      <c r="B107" s="12"/>
      <c r="C107" s="12"/>
      <c r="D107" s="13" t="s">
        <v>113</v>
      </c>
      <c r="E107" s="14"/>
      <c r="F107" s="14"/>
      <c r="G107" s="14"/>
    </row>
    <row r="108" spans="1:7" ht="10.5" customHeight="1" x14ac:dyDescent="0.25">
      <c r="A108" s="16"/>
      <c r="B108" s="12"/>
      <c r="C108" s="12"/>
      <c r="D108" s="13" t="s">
        <v>114</v>
      </c>
      <c r="E108" s="14"/>
      <c r="F108" s="14"/>
      <c r="G108" s="14"/>
    </row>
    <row r="109" spans="1:7" ht="10.5" customHeight="1" x14ac:dyDescent="0.25">
      <c r="A109" s="16"/>
      <c r="B109" s="12"/>
      <c r="C109" s="12"/>
      <c r="D109" s="13" t="s">
        <v>115</v>
      </c>
      <c r="E109" s="14"/>
      <c r="F109" s="14"/>
      <c r="G109" s="14"/>
    </row>
    <row r="110" spans="1:7" ht="10.5" customHeight="1" x14ac:dyDescent="0.25">
      <c r="A110" s="16"/>
      <c r="B110" s="12"/>
      <c r="C110" s="12" t="s">
        <v>116</v>
      </c>
      <c r="D110" s="13"/>
      <c r="E110" s="14"/>
      <c r="F110" s="14"/>
      <c r="G110" s="14"/>
    </row>
    <row r="111" spans="1:7" ht="10.5" customHeight="1" x14ac:dyDescent="0.25">
      <c r="A111" s="16"/>
      <c r="B111" s="12"/>
      <c r="C111" s="12" t="s">
        <v>117</v>
      </c>
      <c r="D111" s="13"/>
      <c r="E111" s="14"/>
      <c r="F111" s="14"/>
      <c r="G111" s="14"/>
    </row>
    <row r="112" spans="1:7" ht="10.5" customHeight="1" x14ac:dyDescent="0.25">
      <c r="A112" s="16"/>
      <c r="B112" s="12"/>
      <c r="C112" s="12"/>
      <c r="D112" s="13" t="s">
        <v>118</v>
      </c>
      <c r="E112" s="14"/>
      <c r="F112" s="14"/>
      <c r="G112" s="14"/>
    </row>
    <row r="113" spans="1:7" ht="10.5" customHeight="1" x14ac:dyDescent="0.25">
      <c r="A113" s="16"/>
      <c r="B113" s="12"/>
      <c r="C113" s="12"/>
      <c r="D113" s="13" t="s">
        <v>119</v>
      </c>
      <c r="E113" s="14"/>
      <c r="F113" s="14"/>
      <c r="G113" s="14"/>
    </row>
    <row r="114" spans="1:7" ht="10.5" customHeight="1" x14ac:dyDescent="0.25">
      <c r="A114" s="16"/>
      <c r="B114" s="12"/>
      <c r="C114" s="12" t="s">
        <v>120</v>
      </c>
      <c r="D114" s="13"/>
      <c r="E114" s="14"/>
      <c r="F114" s="14"/>
      <c r="G114" s="14"/>
    </row>
    <row r="115" spans="1:7" ht="10.5" customHeight="1" x14ac:dyDescent="0.25">
      <c r="A115" s="11" t="s">
        <v>121</v>
      </c>
      <c r="B115" s="12"/>
      <c r="C115" s="12"/>
      <c r="D115" s="13"/>
      <c r="E115" s="14"/>
      <c r="F115" s="14"/>
      <c r="G115" s="14"/>
    </row>
    <row r="116" spans="1:7" ht="10.5" customHeight="1" x14ac:dyDescent="0.25">
      <c r="A116" s="11"/>
      <c r="B116" s="12" t="s">
        <v>122</v>
      </c>
      <c r="C116" s="17"/>
      <c r="D116" s="18"/>
      <c r="E116" s="15"/>
      <c r="F116" s="15"/>
      <c r="G116" s="15"/>
    </row>
    <row r="117" spans="1:7" ht="10.5" customHeight="1" x14ac:dyDescent="0.25">
      <c r="A117" s="16"/>
      <c r="B117" s="12" t="s">
        <v>123</v>
      </c>
      <c r="C117" s="12"/>
      <c r="D117" s="13"/>
      <c r="E117" s="14"/>
      <c r="F117" s="14"/>
      <c r="G117" s="19"/>
    </row>
    <row r="118" spans="1:7" ht="10.5" customHeight="1" x14ac:dyDescent="0.25">
      <c r="A118" s="464" t="s">
        <v>124</v>
      </c>
      <c r="B118" s="465"/>
      <c r="C118" s="465"/>
      <c r="D118" s="466"/>
      <c r="E118" s="14"/>
      <c r="F118" s="14"/>
      <c r="G118" s="27">
        <f>SUM(G91:G117)</f>
        <v>27212604.530646451</v>
      </c>
    </row>
    <row r="119" spans="1:7" ht="10.5" customHeight="1" x14ac:dyDescent="0.25">
      <c r="A119" s="16"/>
      <c r="B119" s="12"/>
      <c r="C119" s="12"/>
      <c r="D119" s="13"/>
      <c r="E119" s="14"/>
      <c r="F119" s="14"/>
      <c r="G119" s="14"/>
    </row>
    <row r="120" spans="1:7" ht="10.5" customHeight="1" x14ac:dyDescent="0.25">
      <c r="A120" s="461" t="s">
        <v>125</v>
      </c>
      <c r="B120" s="462"/>
      <c r="C120" s="462"/>
      <c r="D120" s="463"/>
      <c r="E120" s="14"/>
      <c r="F120" s="14"/>
      <c r="G120" s="14"/>
    </row>
    <row r="121" spans="1:7" ht="10.5" customHeight="1" x14ac:dyDescent="0.25">
      <c r="A121" s="11" t="s">
        <v>126</v>
      </c>
      <c r="B121" s="12"/>
      <c r="C121" s="12"/>
      <c r="D121" s="13"/>
      <c r="E121" s="14"/>
      <c r="F121" s="14"/>
      <c r="G121" s="14"/>
    </row>
    <row r="122" spans="1:7" ht="10.5" customHeight="1" x14ac:dyDescent="0.25">
      <c r="A122" s="16"/>
      <c r="B122" s="12" t="s">
        <v>127</v>
      </c>
      <c r="C122" s="12"/>
      <c r="D122" s="13"/>
      <c r="E122" s="14"/>
      <c r="F122" s="14"/>
      <c r="G122" s="14"/>
    </row>
    <row r="123" spans="1:7" ht="10.5" customHeight="1" x14ac:dyDescent="0.25">
      <c r="A123" s="16"/>
      <c r="B123" s="12" t="s">
        <v>128</v>
      </c>
      <c r="C123" s="12"/>
      <c r="D123" s="13"/>
      <c r="E123" s="14"/>
      <c r="F123" s="14"/>
      <c r="G123" s="14"/>
    </row>
    <row r="124" spans="1:7" ht="10.5" customHeight="1" x14ac:dyDescent="0.25">
      <c r="A124" s="11" t="s">
        <v>129</v>
      </c>
      <c r="B124" s="12"/>
      <c r="C124" s="12"/>
      <c r="D124" s="13"/>
      <c r="E124" s="14"/>
      <c r="F124" s="14"/>
      <c r="G124" s="14"/>
    </row>
    <row r="125" spans="1:7" ht="10.5" customHeight="1" x14ac:dyDescent="0.25">
      <c r="A125" s="16"/>
      <c r="B125" s="12" t="s">
        <v>130</v>
      </c>
      <c r="C125" s="12"/>
      <c r="D125" s="13"/>
      <c r="E125" s="14"/>
      <c r="F125" s="14"/>
      <c r="G125" s="14"/>
    </row>
    <row r="126" spans="1:7" ht="10.5" customHeight="1" x14ac:dyDescent="0.25">
      <c r="A126" s="16"/>
      <c r="B126" s="12" t="s">
        <v>131</v>
      </c>
      <c r="C126" s="12"/>
      <c r="D126" s="13"/>
      <c r="E126" s="14"/>
      <c r="F126" s="14"/>
      <c r="G126" s="14"/>
    </row>
    <row r="127" spans="1:7" ht="10.5" customHeight="1" x14ac:dyDescent="0.25">
      <c r="A127" s="11" t="s">
        <v>132</v>
      </c>
      <c r="B127" s="12"/>
      <c r="C127" s="12"/>
      <c r="D127" s="13"/>
      <c r="E127" s="14"/>
      <c r="F127" s="14"/>
      <c r="G127" s="14">
        <f>F128+F129</f>
        <v>5310339654</v>
      </c>
    </row>
    <row r="128" spans="1:7" ht="10.5" customHeight="1" x14ac:dyDescent="0.25">
      <c r="A128" s="16"/>
      <c r="B128" s="12" t="s">
        <v>133</v>
      </c>
      <c r="C128" s="12"/>
      <c r="D128" s="13"/>
      <c r="E128" s="14"/>
      <c r="F128" s="14">
        <f>[3]Modal!$F$8</f>
        <v>3573752821</v>
      </c>
      <c r="G128" s="14"/>
    </row>
    <row r="129" spans="1:7" ht="10.5" customHeight="1" x14ac:dyDescent="0.25">
      <c r="A129" s="16"/>
      <c r="B129" s="12" t="s">
        <v>131</v>
      </c>
      <c r="C129" s="12"/>
      <c r="D129" s="13"/>
      <c r="E129" s="14"/>
      <c r="F129" s="14">
        <f>[3]Modal!$F$18</f>
        <v>1736586833</v>
      </c>
      <c r="G129" s="14"/>
    </row>
    <row r="130" spans="1:7" ht="10.5" customHeight="1" x14ac:dyDescent="0.25">
      <c r="A130" s="11" t="s">
        <v>9</v>
      </c>
      <c r="B130" s="12"/>
      <c r="C130" s="12"/>
      <c r="D130" s="13"/>
      <c r="E130" s="14"/>
      <c r="F130" s="14"/>
      <c r="G130" s="14">
        <f>[3]Modal!$F$38</f>
        <v>1262000000</v>
      </c>
    </row>
    <row r="131" spans="1:7" ht="10.5" customHeight="1" x14ac:dyDescent="0.25">
      <c r="A131" s="11" t="s">
        <v>134</v>
      </c>
      <c r="B131" s="12"/>
      <c r="C131" s="12"/>
      <c r="D131" s="13"/>
      <c r="E131" s="14"/>
      <c r="F131" s="14"/>
      <c r="G131" s="14">
        <f>[3]Modal!$F$28</f>
        <v>250838537</v>
      </c>
    </row>
    <row r="132" spans="1:7" ht="10.5" customHeight="1" x14ac:dyDescent="0.25">
      <c r="A132" s="11" t="s">
        <v>135</v>
      </c>
      <c r="B132" s="12"/>
      <c r="C132" s="12"/>
      <c r="D132" s="13"/>
      <c r="E132" s="14"/>
      <c r="F132" s="14"/>
      <c r="G132" s="14"/>
    </row>
    <row r="133" spans="1:7" ht="10.5" customHeight="1" x14ac:dyDescent="0.25">
      <c r="A133" s="11" t="s">
        <v>136</v>
      </c>
      <c r="B133" s="12"/>
      <c r="C133" s="12"/>
      <c r="D133" s="13"/>
      <c r="E133" s="14"/>
      <c r="F133" s="14"/>
      <c r="G133" s="14"/>
    </row>
    <row r="134" spans="1:7" ht="10.5" customHeight="1" x14ac:dyDescent="0.25">
      <c r="A134" s="16"/>
      <c r="B134" s="12" t="s">
        <v>137</v>
      </c>
      <c r="C134" s="12"/>
      <c r="D134" s="13"/>
      <c r="E134" s="14"/>
      <c r="F134" s="14"/>
      <c r="G134" s="14"/>
    </row>
    <row r="135" spans="1:7" ht="10.5" customHeight="1" x14ac:dyDescent="0.25">
      <c r="A135" s="16"/>
      <c r="B135" s="12" t="s">
        <v>138</v>
      </c>
      <c r="C135" s="12"/>
      <c r="D135" s="13"/>
      <c r="E135" s="14"/>
      <c r="F135" s="14"/>
      <c r="G135" s="14"/>
    </row>
    <row r="136" spans="1:7" ht="10.5" customHeight="1" x14ac:dyDescent="0.25">
      <c r="A136" s="11" t="s">
        <v>139</v>
      </c>
      <c r="B136" s="12"/>
      <c r="C136" s="12"/>
      <c r="D136" s="13"/>
      <c r="E136" s="14"/>
      <c r="F136" s="14"/>
      <c r="G136" s="14">
        <f>[3]Modal!$F$48</f>
        <v>-1038284010.6</v>
      </c>
    </row>
    <row r="137" spans="1:7" ht="10.5" customHeight="1" x14ac:dyDescent="0.25">
      <c r="A137" s="11" t="s">
        <v>140</v>
      </c>
      <c r="B137" s="12"/>
      <c r="C137" s="12"/>
      <c r="D137" s="13"/>
      <c r="E137" s="14"/>
      <c r="F137" s="14"/>
      <c r="G137" s="14">
        <f>'[5]RL KOMPARATIF'!F60</f>
        <v>-548984872.05334449</v>
      </c>
    </row>
    <row r="138" spans="1:7" ht="10.5" customHeight="1" x14ac:dyDescent="0.25">
      <c r="A138" s="464" t="s">
        <v>141</v>
      </c>
      <c r="B138" s="465"/>
      <c r="C138" s="465"/>
      <c r="D138" s="466"/>
      <c r="E138" s="14"/>
      <c r="F138" s="14"/>
      <c r="G138" s="27">
        <f>SUM(G121:G137)</f>
        <v>5235909308.3466549</v>
      </c>
    </row>
    <row r="139" spans="1:7" ht="10.5" customHeight="1" x14ac:dyDescent="0.25">
      <c r="A139" s="21"/>
      <c r="B139" s="22"/>
      <c r="C139" s="22"/>
      <c r="D139" s="23"/>
      <c r="E139" s="24"/>
      <c r="F139" s="24"/>
      <c r="G139" s="24"/>
    </row>
    <row r="140" spans="1:7" ht="10.5" customHeight="1" x14ac:dyDescent="0.25">
      <c r="A140" s="467" t="s">
        <v>142</v>
      </c>
      <c r="B140" s="468"/>
      <c r="C140" s="468"/>
      <c r="D140" s="469"/>
      <c r="E140" s="25"/>
      <c r="F140" s="25"/>
      <c r="G140" s="25">
        <f>G138+G118</f>
        <v>5263121912.8773012</v>
      </c>
    </row>
    <row r="141" spans="1:7" ht="10.5" customHeight="1" x14ac:dyDescent="0.25">
      <c r="A141" s="5"/>
      <c r="B141" s="5"/>
      <c r="C141" s="5"/>
      <c r="D141" s="5"/>
      <c r="E141" s="26"/>
      <c r="F141" s="26"/>
      <c r="G141" s="26"/>
    </row>
    <row r="142" spans="1:7" ht="10.5" customHeight="1" x14ac:dyDescent="0.25">
      <c r="A142" s="5"/>
      <c r="B142" s="5"/>
      <c r="C142" s="5"/>
      <c r="D142" s="5"/>
      <c r="E142" s="26"/>
      <c r="F142" s="26"/>
      <c r="G142" s="26"/>
    </row>
    <row r="143" spans="1:7" ht="10.5" customHeight="1" x14ac:dyDescent="0.25">
      <c r="A143" s="5"/>
      <c r="B143" s="5"/>
      <c r="C143" s="5"/>
      <c r="D143" s="5"/>
      <c r="E143" s="26"/>
      <c r="F143" s="26"/>
      <c r="G143" s="26"/>
    </row>
    <row r="144" spans="1:7" ht="10.5" customHeight="1" x14ac:dyDescent="0.25">
      <c r="A144" s="5"/>
      <c r="B144" s="5"/>
      <c r="C144" s="5"/>
      <c r="D144" s="5"/>
      <c r="E144" s="26"/>
      <c r="F144" s="26"/>
      <c r="G144" s="26"/>
    </row>
    <row r="145" spans="1:7" ht="10.5" customHeight="1" x14ac:dyDescent="0.25">
      <c r="A145" s="5"/>
      <c r="B145" s="5"/>
      <c r="C145" s="5"/>
      <c r="D145" s="5"/>
      <c r="E145" s="26"/>
      <c r="F145" s="26"/>
      <c r="G145" s="26"/>
    </row>
    <row r="146" spans="1:7" ht="10.5" customHeight="1" x14ac:dyDescent="0.25">
      <c r="A146" s="5"/>
      <c r="B146" s="5"/>
      <c r="C146" s="5"/>
      <c r="D146" s="5"/>
      <c r="E146" s="26"/>
      <c r="F146" s="26"/>
      <c r="G146" s="26"/>
    </row>
    <row r="147" spans="1:7" ht="10.5" customHeight="1" x14ac:dyDescent="0.25">
      <c r="A147" s="5"/>
      <c r="B147" s="5"/>
      <c r="C147" s="5"/>
      <c r="D147" s="5"/>
      <c r="E147" s="26"/>
      <c r="F147" s="26"/>
      <c r="G147" s="26"/>
    </row>
    <row r="148" spans="1:7" ht="10.5" customHeight="1" x14ac:dyDescent="0.25">
      <c r="A148" s="5"/>
      <c r="B148" s="5"/>
      <c r="C148" s="5"/>
      <c r="D148" s="5"/>
      <c r="E148" s="26"/>
      <c r="F148" s="26"/>
      <c r="G148" s="26"/>
    </row>
    <row r="149" spans="1:7" ht="10.5" customHeight="1" x14ac:dyDescent="0.25">
      <c r="A149" s="5"/>
      <c r="B149" s="5"/>
      <c r="C149" s="5"/>
      <c r="D149" s="5"/>
      <c r="E149" s="26"/>
      <c r="F149" s="26"/>
      <c r="G149" s="26"/>
    </row>
    <row r="150" spans="1:7" ht="10.5" customHeight="1" x14ac:dyDescent="0.25">
      <c r="A150" s="5"/>
      <c r="B150" s="5"/>
      <c r="C150" s="5"/>
      <c r="D150" s="5"/>
      <c r="E150" s="26"/>
      <c r="F150" s="26"/>
      <c r="G150" s="26"/>
    </row>
    <row r="151" spans="1:7" ht="10.5" customHeight="1" x14ac:dyDescent="0.25">
      <c r="A151" s="5"/>
      <c r="B151" s="5"/>
      <c r="C151" s="5"/>
      <c r="D151" s="5"/>
      <c r="E151" s="26"/>
      <c r="F151" s="26"/>
      <c r="G151" s="26"/>
    </row>
  </sheetData>
  <mergeCells count="15">
    <mergeCell ref="A1:G1"/>
    <mergeCell ref="A2:G2"/>
    <mergeCell ref="A3:G3"/>
    <mergeCell ref="A5:G5"/>
    <mergeCell ref="A6:D6"/>
    <mergeCell ref="E6:G6"/>
    <mergeCell ref="A120:D120"/>
    <mergeCell ref="A138:D138"/>
    <mergeCell ref="A140:D140"/>
    <mergeCell ref="A80:D80"/>
    <mergeCell ref="A88:G88"/>
    <mergeCell ref="A89:D89"/>
    <mergeCell ref="E89:G89"/>
    <mergeCell ref="A90:D90"/>
    <mergeCell ref="A118:D118"/>
  </mergeCells>
  <pageMargins left="0.70866141732283472" right="0.70866141732283472" top="0.74803149606299213" bottom="0.74803149606299213" header="0.31496062992125984" footer="0.31496062992125984"/>
  <pageSetup paperSize="5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6"/>
  <sheetViews>
    <sheetView view="pageLayout" workbookViewId="0">
      <selection activeCell="D7" sqref="D7"/>
    </sheetView>
  </sheetViews>
  <sheetFormatPr defaultRowHeight="15" x14ac:dyDescent="0.25"/>
  <cols>
    <col min="1" max="2" width="3.140625" customWidth="1"/>
    <col min="3" max="3" width="29.85546875" customWidth="1"/>
    <col min="4" max="4" width="14.140625" customWidth="1"/>
    <col min="5" max="5" width="14.42578125" customWidth="1"/>
    <col min="6" max="6" width="15.140625" customWidth="1"/>
  </cols>
  <sheetData>
    <row r="1" spans="1:6" ht="15.75" x14ac:dyDescent="0.3">
      <c r="A1" s="28"/>
      <c r="B1" s="28"/>
      <c r="C1" s="28"/>
      <c r="D1" s="28"/>
      <c r="E1" s="28"/>
      <c r="F1" s="28"/>
    </row>
    <row r="2" spans="1:6" ht="15.75" x14ac:dyDescent="0.3">
      <c r="A2" s="29" t="s">
        <v>143</v>
      </c>
      <c r="B2" s="29"/>
      <c r="C2" s="29"/>
      <c r="D2" s="29"/>
      <c r="E2" s="29"/>
      <c r="F2" s="29"/>
    </row>
    <row r="3" spans="1:6" ht="15.75" x14ac:dyDescent="0.3">
      <c r="A3" s="29" t="s">
        <v>144</v>
      </c>
      <c r="B3" s="29"/>
      <c r="C3" s="29"/>
      <c r="D3" s="29"/>
      <c r="E3" s="29"/>
      <c r="F3" s="29"/>
    </row>
    <row r="4" spans="1:6" ht="15.75" x14ac:dyDescent="0.3">
      <c r="A4" s="29" t="s">
        <v>185</v>
      </c>
      <c r="B4" s="29"/>
      <c r="C4" s="29"/>
      <c r="D4" s="29"/>
      <c r="E4" s="29"/>
      <c r="F4" s="29"/>
    </row>
    <row r="5" spans="1:6" x14ac:dyDescent="0.25">
      <c r="A5" s="30"/>
      <c r="B5" s="30"/>
      <c r="C5" s="30"/>
      <c r="D5" s="30"/>
      <c r="E5" s="30"/>
      <c r="F5" s="30"/>
    </row>
    <row r="6" spans="1:6" x14ac:dyDescent="0.25">
      <c r="A6" s="480" t="s">
        <v>10</v>
      </c>
      <c r="B6" s="480"/>
      <c r="C6" s="480"/>
      <c r="D6" s="481">
        <v>41274</v>
      </c>
      <c r="E6" s="480"/>
      <c r="F6" s="480"/>
    </row>
    <row r="7" spans="1:6" ht="15.75" x14ac:dyDescent="0.3">
      <c r="A7" s="31" t="s">
        <v>145</v>
      </c>
      <c r="B7" s="32"/>
      <c r="C7" s="33"/>
      <c r="D7" s="34"/>
      <c r="E7" s="35"/>
      <c r="F7" s="34"/>
    </row>
    <row r="8" spans="1:6" x14ac:dyDescent="0.25">
      <c r="A8" s="36"/>
      <c r="B8" s="37" t="s">
        <v>0</v>
      </c>
      <c r="C8" s="38"/>
      <c r="D8" s="39"/>
      <c r="E8" s="40" t="e">
        <f>D9</f>
        <v>#REF!</v>
      </c>
      <c r="F8" s="39"/>
    </row>
    <row r="9" spans="1:6" x14ac:dyDescent="0.25">
      <c r="A9" s="36"/>
      <c r="B9" s="37"/>
      <c r="C9" s="38" t="s">
        <v>146</v>
      </c>
      <c r="D9" s="39" t="e">
        <f>#REF!</f>
        <v>#REF!</v>
      </c>
      <c r="E9" s="40"/>
      <c r="F9" s="39"/>
    </row>
    <row r="10" spans="1:6" x14ac:dyDescent="0.25">
      <c r="A10" s="36"/>
      <c r="B10" s="37" t="s">
        <v>1</v>
      </c>
      <c r="C10" s="38"/>
      <c r="D10" s="39"/>
      <c r="E10" s="40" t="e">
        <f>SUM(D11:D17)</f>
        <v>#REF!</v>
      </c>
      <c r="F10" s="39"/>
    </row>
    <row r="11" spans="1:6" x14ac:dyDescent="0.25">
      <c r="A11" s="36"/>
      <c r="B11" s="37"/>
      <c r="C11" s="38" t="s">
        <v>147</v>
      </c>
      <c r="D11" s="39" t="e">
        <f>#REF!</f>
        <v>#REF!</v>
      </c>
      <c r="E11" s="41"/>
      <c r="F11" s="39"/>
    </row>
    <row r="12" spans="1:6" x14ac:dyDescent="0.25">
      <c r="A12" s="36"/>
      <c r="B12" s="37"/>
      <c r="C12" s="38" t="s">
        <v>148</v>
      </c>
      <c r="D12" s="39" t="e">
        <f>#REF!</f>
        <v>#REF!</v>
      </c>
      <c r="E12" s="41"/>
      <c r="F12" s="39"/>
    </row>
    <row r="13" spans="1:6" x14ac:dyDescent="0.25">
      <c r="A13" s="36"/>
      <c r="B13" s="37"/>
      <c r="C13" s="38" t="s">
        <v>149</v>
      </c>
      <c r="D13" s="39" t="e">
        <f>#REF!</f>
        <v>#REF!</v>
      </c>
      <c r="E13" s="41"/>
      <c r="F13" s="39"/>
    </row>
    <row r="14" spans="1:6" x14ac:dyDescent="0.25">
      <c r="A14" s="36"/>
      <c r="B14" s="37"/>
      <c r="C14" s="38" t="s">
        <v>150</v>
      </c>
      <c r="D14" s="39" t="e">
        <f>#REF!</f>
        <v>#REF!</v>
      </c>
      <c r="E14" s="41"/>
      <c r="F14" s="39"/>
    </row>
    <row r="15" spans="1:6" x14ac:dyDescent="0.25">
      <c r="A15" s="36"/>
      <c r="B15" s="37"/>
      <c r="C15" s="38" t="s">
        <v>151</v>
      </c>
      <c r="D15" s="39" t="e">
        <f>#REF!</f>
        <v>#REF!</v>
      </c>
      <c r="E15" s="41"/>
      <c r="F15" s="39"/>
    </row>
    <row r="16" spans="1:6" x14ac:dyDescent="0.25">
      <c r="A16" s="36"/>
      <c r="B16" s="37"/>
      <c r="C16" s="38" t="s">
        <v>182</v>
      </c>
      <c r="D16" s="39" t="e">
        <f>#REF!</f>
        <v>#REF!</v>
      </c>
      <c r="E16" s="41"/>
      <c r="F16" s="39"/>
    </row>
    <row r="17" spans="1:6" x14ac:dyDescent="0.25">
      <c r="A17" s="36"/>
      <c r="B17" s="37"/>
      <c r="C17" s="38" t="s">
        <v>183</v>
      </c>
      <c r="D17" s="39" t="e">
        <f>#REF!</f>
        <v>#REF!</v>
      </c>
      <c r="E17" s="41"/>
      <c r="F17" s="39"/>
    </row>
    <row r="18" spans="1:6" ht="15.75" x14ac:dyDescent="0.3">
      <c r="A18" s="36"/>
      <c r="B18" s="37"/>
      <c r="C18" s="42"/>
      <c r="D18" s="43"/>
      <c r="E18" s="40"/>
      <c r="F18" s="39"/>
    </row>
    <row r="19" spans="1:6" ht="15.75" x14ac:dyDescent="0.3">
      <c r="A19" s="36"/>
      <c r="B19" s="37" t="s">
        <v>3</v>
      </c>
      <c r="C19" s="42"/>
      <c r="D19" s="43"/>
      <c r="E19" s="39" t="e">
        <f>SUM(D20:D21)</f>
        <v>#REF!</v>
      </c>
      <c r="F19" s="39"/>
    </row>
    <row r="20" spans="1:6" x14ac:dyDescent="0.25">
      <c r="A20" s="36"/>
      <c r="B20" s="37"/>
      <c r="C20" s="38" t="s">
        <v>152</v>
      </c>
      <c r="D20" s="39" t="e">
        <f>#REF!</f>
        <v>#REF!</v>
      </c>
      <c r="E20" s="41"/>
      <c r="F20" s="39"/>
    </row>
    <row r="21" spans="1:6" x14ac:dyDescent="0.25">
      <c r="A21" s="36"/>
      <c r="B21" s="37"/>
      <c r="C21" s="38" t="s">
        <v>184</v>
      </c>
      <c r="D21" s="39" t="e">
        <f>#REF!</f>
        <v>#REF!</v>
      </c>
      <c r="E21" s="41"/>
      <c r="F21" s="39"/>
    </row>
    <row r="22" spans="1:6" x14ac:dyDescent="0.25">
      <c r="A22" s="36"/>
      <c r="B22" s="37"/>
      <c r="C22" s="38"/>
      <c r="E22" s="41"/>
      <c r="F22" s="39"/>
    </row>
    <row r="23" spans="1:6" ht="15.75" x14ac:dyDescent="0.3">
      <c r="A23" s="36"/>
      <c r="B23" s="37"/>
      <c r="C23" s="42" t="s">
        <v>2</v>
      </c>
      <c r="D23" s="43"/>
      <c r="E23" s="44"/>
      <c r="F23" s="45" t="e">
        <f>E8+E10+E19</f>
        <v>#REF!</v>
      </c>
    </row>
    <row r="24" spans="1:6" x14ac:dyDescent="0.25">
      <c r="A24" s="36"/>
      <c r="B24" s="37"/>
      <c r="C24" s="38"/>
      <c r="D24" s="39"/>
      <c r="E24" s="40"/>
      <c r="F24" s="39"/>
    </row>
    <row r="25" spans="1:6" ht="15.75" x14ac:dyDescent="0.3">
      <c r="A25" s="46" t="s">
        <v>19</v>
      </c>
      <c r="B25" s="37"/>
      <c r="C25" s="38"/>
      <c r="D25" s="39"/>
      <c r="E25" s="40"/>
      <c r="F25" s="39"/>
    </row>
    <row r="26" spans="1:6" x14ac:dyDescent="0.25">
      <c r="A26" s="36"/>
      <c r="B26" s="37" t="s">
        <v>20</v>
      </c>
      <c r="C26" s="38"/>
      <c r="D26" s="39"/>
      <c r="E26" s="40" t="e">
        <f>SUM(D27:D28)</f>
        <v>#REF!</v>
      </c>
      <c r="F26" s="39"/>
    </row>
    <row r="27" spans="1:6" x14ac:dyDescent="0.25">
      <c r="A27" s="36"/>
      <c r="B27" s="37"/>
      <c r="C27" s="38" t="s">
        <v>153</v>
      </c>
      <c r="D27" s="39" t="e">
        <f>#REF!</f>
        <v>#REF!</v>
      </c>
      <c r="E27" s="40"/>
      <c r="F27" s="39"/>
    </row>
    <row r="28" spans="1:6" x14ac:dyDescent="0.25">
      <c r="A28" s="36"/>
      <c r="B28" s="37"/>
      <c r="C28" s="38" t="s">
        <v>154</v>
      </c>
      <c r="D28" s="39" t="e">
        <f>#REF!+#REF!+#REF!+#REF!+#REF!+#REF!+#REF!+#REF!+#REF!+#REF!+#REF!+#REF!+#REF!+#REF!+#REF!+#REF!+#REF!</f>
        <v>#REF!</v>
      </c>
      <c r="E28" s="40"/>
      <c r="F28" s="39"/>
    </row>
    <row r="29" spans="1:6" x14ac:dyDescent="0.25">
      <c r="A29" s="36"/>
      <c r="B29" s="37" t="s">
        <v>21</v>
      </c>
      <c r="C29" s="38"/>
      <c r="D29" s="39"/>
      <c r="E29" s="40" t="e">
        <f>#REF!</f>
        <v>#REF!</v>
      </c>
      <c r="F29" s="39"/>
    </row>
    <row r="30" spans="1:6" x14ac:dyDescent="0.25">
      <c r="A30" s="36"/>
      <c r="B30" s="37" t="s">
        <v>22</v>
      </c>
      <c r="C30" s="38"/>
      <c r="D30" s="39"/>
      <c r="E30" s="40" t="e">
        <f>#REF!</f>
        <v>#REF!</v>
      </c>
      <c r="F30" s="39"/>
    </row>
    <row r="31" spans="1:6" x14ac:dyDescent="0.25">
      <c r="A31" s="36"/>
      <c r="B31" s="37" t="s">
        <v>23</v>
      </c>
      <c r="C31" s="38"/>
      <c r="D31" s="39"/>
      <c r="E31" s="40" t="e">
        <f>D32+D33</f>
        <v>#REF!</v>
      </c>
      <c r="F31" s="39"/>
    </row>
    <row r="32" spans="1:6" x14ac:dyDescent="0.25">
      <c r="A32" s="36"/>
      <c r="B32" s="37"/>
      <c r="C32" s="38" t="s">
        <v>155</v>
      </c>
      <c r="D32" s="39" t="e">
        <f>#REF!</f>
        <v>#REF!</v>
      </c>
      <c r="E32" s="40"/>
      <c r="F32" s="39"/>
    </row>
    <row r="33" spans="1:6" x14ac:dyDescent="0.25">
      <c r="A33" s="36"/>
      <c r="B33" s="37"/>
      <c r="C33" s="38" t="s">
        <v>156</v>
      </c>
      <c r="D33" s="39" t="e">
        <f>#REF!</f>
        <v>#REF!</v>
      </c>
      <c r="E33" s="40"/>
      <c r="F33" s="39"/>
    </row>
    <row r="34" spans="1:6" x14ac:dyDescent="0.25">
      <c r="A34" s="36"/>
      <c r="B34" s="37" t="s">
        <v>24</v>
      </c>
      <c r="C34" s="38"/>
      <c r="D34" s="39"/>
      <c r="E34" s="40" t="e">
        <f>SUM(D35:D37)</f>
        <v>#REF!</v>
      </c>
      <c r="F34" s="39"/>
    </row>
    <row r="35" spans="1:6" x14ac:dyDescent="0.25">
      <c r="A35" s="36"/>
      <c r="B35" s="37"/>
      <c r="C35" s="38" t="s">
        <v>157</v>
      </c>
      <c r="D35" s="39" t="e">
        <f>#REF!</f>
        <v>#REF!</v>
      </c>
      <c r="E35" s="40"/>
      <c r="F35" s="39"/>
    </row>
    <row r="36" spans="1:6" x14ac:dyDescent="0.25">
      <c r="A36" s="36"/>
      <c r="B36" s="37"/>
      <c r="C36" s="38" t="s">
        <v>159</v>
      </c>
      <c r="D36" s="39" t="e">
        <f>#REF!</f>
        <v>#REF!</v>
      </c>
      <c r="E36" s="40"/>
      <c r="F36" s="39"/>
    </row>
    <row r="37" spans="1:6" x14ac:dyDescent="0.25">
      <c r="A37" s="36"/>
      <c r="B37" s="37"/>
      <c r="C37" s="38" t="s">
        <v>158</v>
      </c>
      <c r="D37" s="39" t="e">
        <f>#REF!</f>
        <v>#REF!</v>
      </c>
      <c r="E37" s="40"/>
      <c r="F37" s="39"/>
    </row>
    <row r="38" spans="1:6" x14ac:dyDescent="0.25">
      <c r="A38" s="36"/>
      <c r="B38" s="37" t="s">
        <v>160</v>
      </c>
      <c r="C38" s="38"/>
      <c r="D38" s="39"/>
      <c r="E38" s="40" t="e">
        <f>SUM(D39:D40)</f>
        <v>#REF!</v>
      </c>
      <c r="F38" s="39"/>
    </row>
    <row r="39" spans="1:6" x14ac:dyDescent="0.25">
      <c r="A39" s="36"/>
      <c r="B39" s="37"/>
      <c r="C39" s="38" t="s">
        <v>161</v>
      </c>
      <c r="D39" s="39" t="e">
        <f>#REF!</f>
        <v>#REF!</v>
      </c>
      <c r="E39" s="40"/>
      <c r="F39" s="39"/>
    </row>
    <row r="40" spans="1:6" x14ac:dyDescent="0.25">
      <c r="A40" s="36"/>
      <c r="B40" s="37"/>
      <c r="C40" s="38" t="s">
        <v>162</v>
      </c>
      <c r="D40" s="39" t="e">
        <f>#REF!</f>
        <v>#REF!</v>
      </c>
      <c r="E40" s="40"/>
      <c r="F40" s="39"/>
    </row>
    <row r="41" spans="1:6" x14ac:dyDescent="0.25">
      <c r="A41" s="36"/>
      <c r="B41" s="37" t="s">
        <v>163</v>
      </c>
      <c r="C41" s="38"/>
      <c r="D41" s="39"/>
      <c r="E41" s="40" t="e">
        <f>#REF!</f>
        <v>#REF!</v>
      </c>
      <c r="F41" s="39"/>
    </row>
    <row r="42" spans="1:6" x14ac:dyDescent="0.25">
      <c r="A42" s="36"/>
      <c r="B42" s="37" t="s">
        <v>164</v>
      </c>
      <c r="C42" s="38"/>
      <c r="D42" s="39"/>
      <c r="E42" s="40" t="e">
        <f>SUM(D44:D46)</f>
        <v>#REF!</v>
      </c>
      <c r="F42" s="39"/>
    </row>
    <row r="43" spans="1:6" x14ac:dyDescent="0.25">
      <c r="A43" s="36"/>
      <c r="B43" s="37"/>
      <c r="C43" s="47" t="s">
        <v>165</v>
      </c>
      <c r="D43" t="e">
        <f>#REF!</f>
        <v>#REF!</v>
      </c>
      <c r="E43" s="40"/>
      <c r="F43" s="41"/>
    </row>
    <row r="44" spans="1:6" x14ac:dyDescent="0.25">
      <c r="A44" s="36"/>
      <c r="B44" s="37"/>
      <c r="C44" s="47" t="s">
        <v>166</v>
      </c>
      <c r="D44" s="39" t="e">
        <f>#REF!</f>
        <v>#REF!</v>
      </c>
      <c r="E44" s="40"/>
      <c r="F44" s="41"/>
    </row>
    <row r="45" spans="1:6" x14ac:dyDescent="0.25">
      <c r="A45" s="36"/>
      <c r="B45" s="37"/>
      <c r="C45" s="47" t="s">
        <v>167</v>
      </c>
      <c r="D45" s="39" t="e">
        <f>#REF!</f>
        <v>#REF!</v>
      </c>
      <c r="E45" s="40"/>
      <c r="F45" s="41"/>
    </row>
    <row r="46" spans="1:6" x14ac:dyDescent="0.25">
      <c r="A46" s="36"/>
      <c r="B46" s="37"/>
      <c r="C46" s="38" t="s">
        <v>168</v>
      </c>
      <c r="D46" s="39" t="e">
        <f>#REF!</f>
        <v>#REF!</v>
      </c>
      <c r="E46" s="40"/>
      <c r="F46" s="41"/>
    </row>
    <row r="47" spans="1:6" x14ac:dyDescent="0.25">
      <c r="A47" s="36"/>
      <c r="B47" s="37" t="s">
        <v>25</v>
      </c>
      <c r="C47" s="38"/>
      <c r="D47" s="39"/>
      <c r="E47" s="40" t="e">
        <f>#REF!</f>
        <v>#REF!</v>
      </c>
      <c r="F47" s="41"/>
    </row>
    <row r="48" spans="1:6" x14ac:dyDescent="0.25">
      <c r="A48" s="36"/>
      <c r="B48" s="37" t="s">
        <v>169</v>
      </c>
      <c r="C48" s="38"/>
      <c r="D48" s="39"/>
      <c r="E48" s="40" t="e">
        <f>SUM(D49:D54)</f>
        <v>#REF!</v>
      </c>
      <c r="F48" s="41"/>
    </row>
    <row r="49" spans="1:6" x14ac:dyDescent="0.25">
      <c r="A49" s="36"/>
      <c r="B49" s="37"/>
      <c r="C49" s="48" t="s">
        <v>170</v>
      </c>
      <c r="D49" s="39" t="e">
        <f>#REF!</f>
        <v>#REF!</v>
      </c>
      <c r="E49" s="40"/>
      <c r="F49" s="41"/>
    </row>
    <row r="50" spans="1:6" x14ac:dyDescent="0.25">
      <c r="A50" s="36"/>
      <c r="B50" s="37"/>
      <c r="C50" s="48" t="s">
        <v>171</v>
      </c>
      <c r="D50" s="39" t="e">
        <f>#REF!</f>
        <v>#REF!</v>
      </c>
      <c r="E50" s="40"/>
      <c r="F50" s="41"/>
    </row>
    <row r="51" spans="1:6" x14ac:dyDescent="0.25">
      <c r="A51" s="36"/>
      <c r="B51" s="37"/>
      <c r="C51" s="48" t="s">
        <v>172</v>
      </c>
      <c r="D51" s="39" t="e">
        <f>#REF!</f>
        <v>#REF!</v>
      </c>
      <c r="E51" s="40"/>
      <c r="F51" s="41"/>
    </row>
    <row r="52" spans="1:6" x14ac:dyDescent="0.25">
      <c r="A52" s="36"/>
      <c r="B52" s="37"/>
      <c r="C52" s="48" t="s">
        <v>173</v>
      </c>
      <c r="D52" s="39" t="e">
        <f>#REF!</f>
        <v>#REF!</v>
      </c>
      <c r="E52" s="40"/>
      <c r="F52" s="41"/>
    </row>
    <row r="53" spans="1:6" x14ac:dyDescent="0.25">
      <c r="A53" s="36"/>
      <c r="B53" s="37"/>
      <c r="C53" s="48" t="s">
        <v>174</v>
      </c>
      <c r="D53" s="39" t="e">
        <f>#REF!</f>
        <v>#REF!</v>
      </c>
      <c r="E53" s="40"/>
      <c r="F53" s="41"/>
    </row>
    <row r="54" spans="1:6" x14ac:dyDescent="0.25">
      <c r="A54" s="36"/>
      <c r="B54" s="37"/>
      <c r="C54" s="47" t="s">
        <v>175</v>
      </c>
      <c r="D54" s="39" t="e">
        <f>#REF!</f>
        <v>#REF!</v>
      </c>
      <c r="E54" s="40"/>
      <c r="F54" s="41"/>
    </row>
    <row r="55" spans="1:6" x14ac:dyDescent="0.25">
      <c r="A55" s="36"/>
      <c r="B55" s="37" t="s">
        <v>28</v>
      </c>
      <c r="C55" s="38"/>
      <c r="D55" s="39"/>
      <c r="E55" s="40" t="e">
        <f>#REF!</f>
        <v>#REF!</v>
      </c>
      <c r="F55" s="41"/>
    </row>
    <row r="56" spans="1:6" x14ac:dyDescent="0.25">
      <c r="A56" s="36"/>
      <c r="B56" s="37" t="s">
        <v>26</v>
      </c>
      <c r="C56" s="38"/>
      <c r="D56" s="39"/>
      <c r="E56" s="40" t="e">
        <f>#REF!</f>
        <v>#REF!</v>
      </c>
      <c r="F56" s="41"/>
    </row>
    <row r="57" spans="1:6" x14ac:dyDescent="0.25">
      <c r="A57" s="36"/>
      <c r="B57" s="37"/>
      <c r="C57" s="38"/>
      <c r="D57" s="39"/>
      <c r="E57" s="40"/>
      <c r="F57" s="41"/>
    </row>
    <row r="58" spans="1:6" ht="15.75" x14ac:dyDescent="0.3">
      <c r="A58" s="36"/>
      <c r="B58" s="37"/>
      <c r="C58" s="42" t="s">
        <v>176</v>
      </c>
      <c r="D58" s="39"/>
      <c r="E58" s="40"/>
      <c r="F58" s="49" t="e">
        <f>SUM(E26:E56)</f>
        <v>#REF!</v>
      </c>
    </row>
    <row r="59" spans="1:6" ht="15.75" x14ac:dyDescent="0.3">
      <c r="A59" s="36"/>
      <c r="B59" s="37"/>
      <c r="C59" s="42"/>
      <c r="D59" s="39"/>
      <c r="E59" s="40"/>
      <c r="F59" s="49"/>
    </row>
    <row r="60" spans="1:6" x14ac:dyDescent="0.25">
      <c r="A60" s="36" t="s">
        <v>177</v>
      </c>
      <c r="B60" s="37"/>
      <c r="C60" s="38"/>
      <c r="D60" s="39"/>
      <c r="E60" s="40"/>
      <c r="F60" s="50" t="e">
        <f>F23-F58</f>
        <v>#REF!</v>
      </c>
    </row>
    <row r="61" spans="1:6" x14ac:dyDescent="0.25">
      <c r="A61" s="36" t="s">
        <v>178</v>
      </c>
      <c r="B61" s="37"/>
      <c r="C61" s="38"/>
      <c r="D61" s="39"/>
      <c r="E61" s="40"/>
      <c r="F61" s="39">
        <v>0</v>
      </c>
    </row>
    <row r="62" spans="1:6" x14ac:dyDescent="0.25">
      <c r="A62" s="36" t="s">
        <v>179</v>
      </c>
      <c r="B62" s="37"/>
      <c r="C62" s="38"/>
      <c r="D62" s="39"/>
      <c r="E62" s="40"/>
      <c r="F62" s="50" t="e">
        <f>F60-F61</f>
        <v>#REF!</v>
      </c>
    </row>
    <row r="63" spans="1:6" x14ac:dyDescent="0.25">
      <c r="A63" s="51" t="s">
        <v>180</v>
      </c>
      <c r="B63" s="51"/>
      <c r="C63" s="51"/>
      <c r="D63" s="52"/>
      <c r="E63" s="53"/>
      <c r="F63" s="52">
        <v>0</v>
      </c>
    </row>
    <row r="64" spans="1:6" ht="15.75" x14ac:dyDescent="0.3">
      <c r="A64" s="482" t="s">
        <v>181</v>
      </c>
      <c r="B64" s="483"/>
      <c r="C64" s="484"/>
      <c r="D64" s="54"/>
      <c r="E64" s="54"/>
      <c r="F64" s="55" t="e">
        <f>F62-F63</f>
        <v>#REF!</v>
      </c>
    </row>
    <row r="65" spans="1:6" x14ac:dyDescent="0.25">
      <c r="A65" s="30"/>
      <c r="B65" s="30"/>
      <c r="C65" s="30"/>
      <c r="D65" s="30"/>
      <c r="E65" s="30"/>
      <c r="F65" s="30"/>
    </row>
    <row r="66" spans="1:6" x14ac:dyDescent="0.25">
      <c r="F66" s="4"/>
    </row>
  </sheetData>
  <mergeCells count="3">
    <mergeCell ref="A6:C6"/>
    <mergeCell ref="D6:F6"/>
    <mergeCell ref="A64:C64"/>
  </mergeCells>
  <pageMargins left="0.70866141732283472" right="0.70866141732283472" top="0.74803149606299213" bottom="0.74803149606299213" header="0.31496062992125984" footer="0.31496062992125984"/>
  <pageSetup paperSize="5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276"/>
  <sheetViews>
    <sheetView zoomScaleNormal="100" zoomScalePageLayoutView="130" workbookViewId="0">
      <pane xSplit="1" ySplit="9" topLeftCell="B70" activePane="bottomRight" state="frozen"/>
      <selection pane="topRight" activeCell="B1" sqref="B1"/>
      <selection pane="bottomLeft" activeCell="A10" sqref="A10"/>
      <selection pane="bottomRight" activeCell="E73" sqref="E73:I77"/>
    </sheetView>
  </sheetViews>
  <sheetFormatPr defaultColWidth="9.7109375" defaultRowHeight="11.25" customHeight="1" x14ac:dyDescent="0.2"/>
  <cols>
    <col min="1" max="1" width="7.5703125" style="5" customWidth="1"/>
    <col min="2" max="2" width="2.7109375" style="147" customWidth="1"/>
    <col min="3" max="3" width="2.7109375" style="5" customWidth="1"/>
    <col min="4" max="4" width="24.5703125" style="5" customWidth="1"/>
    <col min="5" max="5" width="10.28515625" style="5" customWidth="1"/>
    <col min="6" max="6" width="10.42578125" style="5" customWidth="1"/>
    <col min="7" max="7" width="10.7109375" style="5" customWidth="1"/>
    <col min="8" max="8" width="10.5703125" style="5" customWidth="1"/>
    <col min="9" max="9" width="10.7109375" style="5" customWidth="1"/>
    <col min="10" max="10" width="11.140625" style="5" customWidth="1"/>
    <col min="11" max="11" width="10.7109375" style="5" customWidth="1"/>
    <col min="12" max="12" width="10.85546875" style="5" customWidth="1"/>
    <col min="13" max="13" width="10.5703125" style="5" customWidth="1"/>
    <col min="14" max="14" width="12" style="5" customWidth="1"/>
    <col min="15" max="15" width="10.42578125" style="5" customWidth="1"/>
    <col min="16" max="16" width="10.42578125" style="5" bestFit="1" customWidth="1"/>
    <col min="17" max="17" width="13.85546875" style="5" customWidth="1"/>
    <col min="18" max="18" width="21.28515625" style="5" customWidth="1"/>
    <col min="19" max="19" width="22.140625" style="5" customWidth="1"/>
    <col min="20" max="20" width="12.85546875" style="5" customWidth="1"/>
    <col min="21" max="21" width="13.85546875" style="5" customWidth="1"/>
    <col min="22" max="22" width="12.7109375" style="5" customWidth="1"/>
    <col min="23" max="23" width="13" style="5" customWidth="1"/>
    <col min="24" max="24" width="13.5703125" style="5" customWidth="1"/>
    <col min="25" max="25" width="12.7109375" style="5" customWidth="1"/>
    <col min="26" max="26" width="13.5703125" style="5" customWidth="1"/>
    <col min="27" max="27" width="12.5703125" style="5" customWidth="1"/>
    <col min="28" max="28" width="12.7109375" style="5" customWidth="1"/>
    <col min="29" max="29" width="14" style="5" customWidth="1"/>
    <col min="30" max="30" width="13.140625" style="5" customWidth="1"/>
    <col min="31" max="31" width="11.7109375" style="5" customWidth="1"/>
    <col min="32" max="16384" width="9.7109375" style="5"/>
  </cols>
  <sheetData>
    <row r="1" spans="1:31" ht="11.25" customHeight="1" x14ac:dyDescent="0.2">
      <c r="A1" s="94" t="s">
        <v>11</v>
      </c>
      <c r="B1" s="95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</row>
    <row r="2" spans="1:31" ht="11.25" customHeight="1" x14ac:dyDescent="0.2">
      <c r="A2" s="94" t="s">
        <v>29</v>
      </c>
      <c r="B2" s="95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6" t="s">
        <v>291</v>
      </c>
      <c r="R2" s="94"/>
    </row>
    <row r="3" spans="1:31" ht="11.25" customHeight="1" x14ac:dyDescent="0.2">
      <c r="A3" s="94"/>
      <c r="B3" s="95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</row>
    <row r="4" spans="1:31" ht="11.25" customHeight="1" x14ac:dyDescent="0.2">
      <c r="A4" s="497" t="s">
        <v>401</v>
      </c>
      <c r="B4" s="497"/>
      <c r="C4" s="497"/>
      <c r="D4" s="497"/>
      <c r="E4" s="497"/>
      <c r="F4" s="497"/>
      <c r="G4" s="497"/>
      <c r="H4" s="497"/>
      <c r="I4" s="497"/>
      <c r="J4" s="497"/>
      <c r="K4" s="497"/>
      <c r="L4" s="497"/>
      <c r="M4" s="497"/>
      <c r="N4" s="497"/>
      <c r="O4" s="497"/>
      <c r="P4" s="497"/>
      <c r="Q4" s="497"/>
      <c r="R4" s="497"/>
      <c r="U4" s="5">
        <v>12276</v>
      </c>
      <c r="V4" s="5">
        <v>18537</v>
      </c>
      <c r="W4" s="5">
        <v>43457</v>
      </c>
    </row>
    <row r="5" spans="1:31" ht="11.25" customHeight="1" x14ac:dyDescent="0.2">
      <c r="A5" s="497" t="s">
        <v>482</v>
      </c>
      <c r="B5" s="497"/>
      <c r="C5" s="497"/>
      <c r="D5" s="497"/>
      <c r="E5" s="497"/>
      <c r="F5" s="497"/>
      <c r="G5" s="497"/>
      <c r="H5" s="497"/>
      <c r="I5" s="497"/>
      <c r="J5" s="497"/>
      <c r="K5" s="497"/>
      <c r="L5" s="497"/>
      <c r="M5" s="497"/>
      <c r="N5" s="497"/>
      <c r="O5" s="497"/>
      <c r="P5" s="497"/>
      <c r="Q5" s="497"/>
      <c r="R5" s="497"/>
      <c r="X5" s="149">
        <f>W37+W44+W50+W51+W52+W73+W77+W83+W84+W85+W29-W28+W63</f>
        <v>0</v>
      </c>
    </row>
    <row r="6" spans="1:31" ht="11.25" customHeight="1" x14ac:dyDescent="0.2">
      <c r="A6" s="97"/>
      <c r="B6" s="95"/>
      <c r="C6" s="97"/>
      <c r="D6" s="97"/>
      <c r="E6" s="97"/>
      <c r="F6" s="97"/>
      <c r="G6" s="97"/>
      <c r="H6" s="97"/>
      <c r="I6" s="97"/>
      <c r="J6" s="97"/>
      <c r="K6" s="97"/>
      <c r="L6" s="97"/>
      <c r="M6" s="98"/>
      <c r="N6" s="97"/>
      <c r="O6" s="97"/>
      <c r="P6" s="97"/>
      <c r="Q6" s="97"/>
      <c r="R6" s="94"/>
    </row>
    <row r="7" spans="1:31" ht="11.25" customHeight="1" thickBot="1" x14ac:dyDescent="0.25">
      <c r="A7" s="5" t="s">
        <v>5</v>
      </c>
      <c r="B7" s="95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9"/>
      <c r="P7" s="99"/>
      <c r="Q7" s="99"/>
      <c r="R7" s="94"/>
    </row>
    <row r="8" spans="1:31" ht="11.25" customHeight="1" thickTop="1" x14ac:dyDescent="0.2">
      <c r="A8" s="100" t="s">
        <v>199</v>
      </c>
      <c r="B8" s="498" t="s">
        <v>10</v>
      </c>
      <c r="C8" s="498"/>
      <c r="D8" s="498"/>
      <c r="E8" s="500" t="s">
        <v>200</v>
      </c>
      <c r="F8" s="500"/>
      <c r="G8" s="500"/>
      <c r="H8" s="500"/>
      <c r="I8" s="500"/>
      <c r="J8" s="500"/>
      <c r="K8" s="500"/>
      <c r="L8" s="500"/>
      <c r="M8" s="500"/>
      <c r="N8" s="500"/>
      <c r="O8" s="500"/>
      <c r="P8" s="500"/>
      <c r="Q8" s="101" t="s">
        <v>4</v>
      </c>
      <c r="R8" s="501" t="s">
        <v>201</v>
      </c>
    </row>
    <row r="9" spans="1:31" ht="11.25" customHeight="1" x14ac:dyDescent="0.2">
      <c r="A9" s="102" t="s">
        <v>202</v>
      </c>
      <c r="B9" s="499"/>
      <c r="C9" s="499"/>
      <c r="D9" s="499"/>
      <c r="E9" s="103">
        <v>1</v>
      </c>
      <c r="F9" s="103">
        <v>2</v>
      </c>
      <c r="G9" s="103">
        <v>3</v>
      </c>
      <c r="H9" s="103">
        <v>4</v>
      </c>
      <c r="I9" s="103">
        <v>5</v>
      </c>
      <c r="J9" s="103">
        <v>6</v>
      </c>
      <c r="K9" s="103">
        <v>7</v>
      </c>
      <c r="L9" s="103">
        <v>8</v>
      </c>
      <c r="M9" s="103">
        <v>9</v>
      </c>
      <c r="N9" s="103">
        <v>10</v>
      </c>
      <c r="O9" s="103">
        <v>11</v>
      </c>
      <c r="P9" s="103">
        <v>12</v>
      </c>
      <c r="Q9" s="104" t="s">
        <v>483</v>
      </c>
      <c r="R9" s="502"/>
      <c r="T9" s="428">
        <v>1</v>
      </c>
      <c r="U9" s="428">
        <v>2</v>
      </c>
      <c r="V9" s="428">
        <v>3</v>
      </c>
      <c r="W9" s="428">
        <v>4</v>
      </c>
      <c r="X9" s="428">
        <v>5</v>
      </c>
      <c r="Y9" s="428">
        <v>6</v>
      </c>
      <c r="Z9" s="428">
        <v>7</v>
      </c>
      <c r="AA9" s="428">
        <v>8</v>
      </c>
      <c r="AB9" s="428">
        <v>9</v>
      </c>
      <c r="AC9" s="428">
        <v>10</v>
      </c>
      <c r="AD9" s="428">
        <v>11</v>
      </c>
      <c r="AE9" s="428">
        <v>12</v>
      </c>
    </row>
    <row r="10" spans="1:31" ht="11.25" customHeight="1" x14ac:dyDescent="0.2">
      <c r="A10" s="105">
        <v>1</v>
      </c>
      <c r="B10" s="503">
        <v>2</v>
      </c>
      <c r="C10" s="503"/>
      <c r="D10" s="503"/>
      <c r="E10" s="106">
        <v>3</v>
      </c>
      <c r="F10" s="106">
        <v>4</v>
      </c>
      <c r="G10" s="106">
        <v>5</v>
      </c>
      <c r="H10" s="106">
        <v>6</v>
      </c>
      <c r="I10" s="106">
        <v>7</v>
      </c>
      <c r="J10" s="106">
        <v>8</v>
      </c>
      <c r="K10" s="106">
        <v>9</v>
      </c>
      <c r="L10" s="106">
        <v>10</v>
      </c>
      <c r="M10" s="106">
        <v>11</v>
      </c>
      <c r="N10" s="106">
        <v>12</v>
      </c>
      <c r="O10" s="106">
        <v>13</v>
      </c>
      <c r="P10" s="106">
        <v>14</v>
      </c>
      <c r="Q10" s="106">
        <v>15</v>
      </c>
      <c r="R10" s="107">
        <v>16</v>
      </c>
      <c r="T10" s="429"/>
      <c r="U10" s="430"/>
      <c r="V10" s="430"/>
      <c r="W10" s="430"/>
      <c r="X10" s="430"/>
      <c r="Y10" s="430"/>
      <c r="Z10" s="430"/>
      <c r="AA10" s="430"/>
      <c r="AB10" s="430"/>
      <c r="AC10" s="430"/>
      <c r="AD10" s="430"/>
      <c r="AE10" s="430"/>
    </row>
    <row r="11" spans="1:31" ht="11.25" customHeight="1" x14ac:dyDescent="0.2">
      <c r="A11" s="108" t="s">
        <v>187</v>
      </c>
      <c r="B11" s="109" t="s">
        <v>491</v>
      </c>
      <c r="C11" s="110"/>
      <c r="D11" s="111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3">
        <f t="shared" ref="Q11:Q12" si="0">SUM(F11:P11)</f>
        <v>0</v>
      </c>
      <c r="R11" s="114"/>
      <c r="T11" s="149">
        <f>E11</f>
        <v>0</v>
      </c>
      <c r="U11" s="149">
        <f>SUM(E11:F11)</f>
        <v>0</v>
      </c>
      <c r="V11" s="149">
        <f>SUM(E11:G11)</f>
        <v>0</v>
      </c>
      <c r="W11" s="149">
        <f>SUM(E11:H11)</f>
        <v>0</v>
      </c>
      <c r="X11" s="149">
        <f t="shared" ref="X11:X42" si="1">SUM(E11:I11)</f>
        <v>0</v>
      </c>
      <c r="Y11" s="149">
        <f>SUM(E11:J11)</f>
        <v>0</v>
      </c>
      <c r="Z11" s="149">
        <f>SUM(E11:K11)</f>
        <v>0</v>
      </c>
      <c r="AA11" s="149">
        <f>SUM(E11:L11)</f>
        <v>0</v>
      </c>
      <c r="AB11" s="149">
        <f>SUM(E11:M11)</f>
        <v>0</v>
      </c>
      <c r="AC11" s="149">
        <f>SUM(E11:N11)</f>
        <v>0</v>
      </c>
      <c r="AD11" s="149">
        <f>SUM(E11:O11)</f>
        <v>0</v>
      </c>
      <c r="AE11" s="149">
        <f>SUM(E11:P11)</f>
        <v>0</v>
      </c>
    </row>
    <row r="12" spans="1:31" ht="11.25" customHeight="1" x14ac:dyDescent="0.2">
      <c r="A12" s="115" t="s">
        <v>204</v>
      </c>
      <c r="B12" s="116" t="s">
        <v>492</v>
      </c>
      <c r="C12" s="117"/>
      <c r="D12" s="118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>
        <f t="shared" si="0"/>
        <v>0</v>
      </c>
      <c r="R12" s="114"/>
      <c r="T12" s="149">
        <f t="shared" ref="T12:T75" si="2">E12</f>
        <v>0</v>
      </c>
      <c r="U12" s="149">
        <f t="shared" ref="U12:U75" si="3">SUM(E12:F12)</f>
        <v>0</v>
      </c>
      <c r="V12" s="149">
        <f t="shared" ref="V12:V75" si="4">SUM(E12:G12)</f>
        <v>0</v>
      </c>
      <c r="W12" s="149">
        <f t="shared" ref="W12:W75" si="5">SUM(E12:H12)</f>
        <v>0</v>
      </c>
      <c r="X12" s="149">
        <f t="shared" si="1"/>
        <v>0</v>
      </c>
      <c r="Y12" s="149">
        <f t="shared" ref="Y12:Y75" si="6">SUM(E12:J12)</f>
        <v>0</v>
      </c>
      <c r="Z12" s="149">
        <f t="shared" ref="Z12:Z75" si="7">SUM(E12:K12)</f>
        <v>0</v>
      </c>
      <c r="AA12" s="149">
        <f t="shared" ref="AA12:AA75" si="8">SUM(E12:L12)</f>
        <v>0</v>
      </c>
      <c r="AB12" s="149">
        <f t="shared" ref="AB12:AB75" si="9">SUM(E12:M12)</f>
        <v>0</v>
      </c>
      <c r="AC12" s="149">
        <f t="shared" ref="AC12:AC75" si="10">SUM(E12:N12)</f>
        <v>0</v>
      </c>
      <c r="AD12" s="149">
        <f t="shared" ref="AD12:AD75" si="11">SUM(E12:O12)</f>
        <v>0</v>
      </c>
      <c r="AE12" s="149">
        <f t="shared" ref="AE12:AE75" si="12">SUM(E12:P12)</f>
        <v>0</v>
      </c>
    </row>
    <row r="13" spans="1:31" ht="11.25" customHeight="1" x14ac:dyDescent="0.2">
      <c r="A13" s="115" t="s">
        <v>206</v>
      </c>
      <c r="B13" s="116" t="s">
        <v>20</v>
      </c>
      <c r="C13" s="117"/>
      <c r="D13" s="118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>
        <f t="shared" ref="Q13:Q19" si="13">SUM(E13:P13)</f>
        <v>0</v>
      </c>
      <c r="R13" s="114" t="s">
        <v>208</v>
      </c>
      <c r="T13" s="149">
        <f t="shared" si="2"/>
        <v>0</v>
      </c>
      <c r="U13" s="149">
        <f t="shared" si="3"/>
        <v>0</v>
      </c>
      <c r="V13" s="149">
        <f t="shared" si="4"/>
        <v>0</v>
      </c>
      <c r="W13" s="149">
        <f t="shared" si="5"/>
        <v>0</v>
      </c>
      <c r="X13" s="149">
        <f t="shared" si="1"/>
        <v>0</v>
      </c>
      <c r="Y13" s="149">
        <f t="shared" si="6"/>
        <v>0</v>
      </c>
      <c r="Z13" s="149">
        <f t="shared" si="7"/>
        <v>0</v>
      </c>
      <c r="AA13" s="149">
        <f t="shared" si="8"/>
        <v>0</v>
      </c>
      <c r="AB13" s="149">
        <f t="shared" si="9"/>
        <v>0</v>
      </c>
      <c r="AC13" s="149">
        <f t="shared" si="10"/>
        <v>0</v>
      </c>
      <c r="AD13" s="149">
        <f t="shared" si="11"/>
        <v>0</v>
      </c>
      <c r="AE13" s="149">
        <f t="shared" si="12"/>
        <v>0</v>
      </c>
    </row>
    <row r="14" spans="1:31" ht="11.25" customHeight="1" x14ac:dyDescent="0.2">
      <c r="A14" s="115" t="s">
        <v>209</v>
      </c>
      <c r="B14" s="116" t="s">
        <v>484</v>
      </c>
      <c r="C14" s="117"/>
      <c r="D14" s="118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>
        <f t="shared" si="13"/>
        <v>0</v>
      </c>
      <c r="R14" s="114"/>
      <c r="T14" s="149">
        <f t="shared" si="2"/>
        <v>0</v>
      </c>
      <c r="U14" s="149">
        <f t="shared" si="3"/>
        <v>0</v>
      </c>
      <c r="V14" s="149">
        <f t="shared" si="4"/>
        <v>0</v>
      </c>
      <c r="W14" s="149">
        <f t="shared" si="5"/>
        <v>0</v>
      </c>
      <c r="X14" s="149">
        <f t="shared" si="1"/>
        <v>0</v>
      </c>
      <c r="Y14" s="149">
        <f t="shared" si="6"/>
        <v>0</v>
      </c>
      <c r="Z14" s="149">
        <f t="shared" si="7"/>
        <v>0</v>
      </c>
      <c r="AA14" s="149">
        <f t="shared" si="8"/>
        <v>0</v>
      </c>
      <c r="AB14" s="149">
        <f t="shared" si="9"/>
        <v>0</v>
      </c>
      <c r="AC14" s="149">
        <f t="shared" si="10"/>
        <v>0</v>
      </c>
      <c r="AD14" s="149">
        <f t="shared" si="11"/>
        <v>0</v>
      </c>
      <c r="AE14" s="149">
        <f t="shared" si="12"/>
        <v>0</v>
      </c>
    </row>
    <row r="15" spans="1:31" ht="11.25" customHeight="1" x14ac:dyDescent="0.2">
      <c r="A15" s="115" t="s">
        <v>212</v>
      </c>
      <c r="B15" s="116" t="s">
        <v>485</v>
      </c>
      <c r="C15" s="117"/>
      <c r="D15" s="118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>
        <f t="shared" si="13"/>
        <v>0</v>
      </c>
      <c r="R15" s="114"/>
      <c r="T15" s="149">
        <f t="shared" si="2"/>
        <v>0</v>
      </c>
      <c r="U15" s="149">
        <f t="shared" si="3"/>
        <v>0</v>
      </c>
      <c r="V15" s="149">
        <f t="shared" si="4"/>
        <v>0</v>
      </c>
      <c r="W15" s="149">
        <f t="shared" si="5"/>
        <v>0</v>
      </c>
      <c r="X15" s="149">
        <f t="shared" si="1"/>
        <v>0</v>
      </c>
      <c r="Y15" s="149">
        <f t="shared" si="6"/>
        <v>0</v>
      </c>
      <c r="Z15" s="149">
        <f t="shared" si="7"/>
        <v>0</v>
      </c>
      <c r="AA15" s="149">
        <f t="shared" si="8"/>
        <v>0</v>
      </c>
      <c r="AB15" s="149">
        <f t="shared" si="9"/>
        <v>0</v>
      </c>
      <c r="AC15" s="149">
        <f t="shared" si="10"/>
        <v>0</v>
      </c>
      <c r="AD15" s="149">
        <f t="shared" si="11"/>
        <v>0</v>
      </c>
      <c r="AE15" s="149">
        <f t="shared" si="12"/>
        <v>0</v>
      </c>
    </row>
    <row r="16" spans="1:31" ht="11.25" customHeight="1" x14ac:dyDescent="0.2">
      <c r="A16" s="115" t="s">
        <v>215</v>
      </c>
      <c r="B16" s="116" t="s">
        <v>486</v>
      </c>
      <c r="C16" s="117"/>
      <c r="D16" s="118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>
        <f t="shared" si="13"/>
        <v>0</v>
      </c>
      <c r="R16" s="114"/>
      <c r="T16" s="149">
        <f t="shared" si="2"/>
        <v>0</v>
      </c>
      <c r="U16" s="149">
        <f t="shared" si="3"/>
        <v>0</v>
      </c>
      <c r="V16" s="149">
        <f t="shared" si="4"/>
        <v>0</v>
      </c>
      <c r="W16" s="149">
        <f t="shared" si="5"/>
        <v>0</v>
      </c>
      <c r="X16" s="149">
        <f t="shared" si="1"/>
        <v>0</v>
      </c>
      <c r="Y16" s="149">
        <f t="shared" si="6"/>
        <v>0</v>
      </c>
      <c r="Z16" s="149">
        <f t="shared" si="7"/>
        <v>0</v>
      </c>
      <c r="AA16" s="149">
        <f t="shared" si="8"/>
        <v>0</v>
      </c>
      <c r="AB16" s="149">
        <f t="shared" si="9"/>
        <v>0</v>
      </c>
      <c r="AC16" s="149">
        <f t="shared" si="10"/>
        <v>0</v>
      </c>
      <c r="AD16" s="149">
        <f t="shared" si="11"/>
        <v>0</v>
      </c>
      <c r="AE16" s="149">
        <f t="shared" si="12"/>
        <v>0</v>
      </c>
    </row>
    <row r="17" spans="1:31" ht="11.25" customHeight="1" x14ac:dyDescent="0.2">
      <c r="A17" s="115" t="s">
        <v>488</v>
      </c>
      <c r="B17" s="116" t="s">
        <v>487</v>
      </c>
      <c r="C17" s="117"/>
      <c r="D17" s="118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>
        <f t="shared" si="13"/>
        <v>0</v>
      </c>
      <c r="R17" s="114"/>
      <c r="T17" s="149">
        <f t="shared" si="2"/>
        <v>0</v>
      </c>
      <c r="U17" s="149">
        <f t="shared" si="3"/>
        <v>0</v>
      </c>
      <c r="V17" s="149">
        <f t="shared" si="4"/>
        <v>0</v>
      </c>
      <c r="W17" s="149">
        <f t="shared" si="5"/>
        <v>0</v>
      </c>
      <c r="X17" s="149">
        <f t="shared" si="1"/>
        <v>0</v>
      </c>
      <c r="Y17" s="149">
        <f t="shared" si="6"/>
        <v>0</v>
      </c>
      <c r="Z17" s="149">
        <f t="shared" si="7"/>
        <v>0</v>
      </c>
      <c r="AA17" s="149">
        <f t="shared" si="8"/>
        <v>0</v>
      </c>
      <c r="AB17" s="149">
        <f t="shared" si="9"/>
        <v>0</v>
      </c>
      <c r="AC17" s="149">
        <f t="shared" si="10"/>
        <v>0</v>
      </c>
      <c r="AD17" s="149">
        <f t="shared" si="11"/>
        <v>0</v>
      </c>
      <c r="AE17" s="149">
        <f t="shared" si="12"/>
        <v>0</v>
      </c>
    </row>
    <row r="18" spans="1:31" ht="11.25" customHeight="1" x14ac:dyDescent="0.2">
      <c r="A18" s="115" t="s">
        <v>224</v>
      </c>
      <c r="B18" s="116" t="s">
        <v>210</v>
      </c>
      <c r="C18" s="117"/>
      <c r="D18" s="118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>
        <f t="shared" si="13"/>
        <v>0</v>
      </c>
      <c r="R18" s="119" t="s">
        <v>211</v>
      </c>
      <c r="T18" s="149">
        <f t="shared" si="2"/>
        <v>0</v>
      </c>
      <c r="U18" s="149">
        <f t="shared" si="3"/>
        <v>0</v>
      </c>
      <c r="V18" s="149">
        <f t="shared" si="4"/>
        <v>0</v>
      </c>
      <c r="W18" s="149">
        <f t="shared" si="5"/>
        <v>0</v>
      </c>
      <c r="X18" s="149">
        <f t="shared" si="1"/>
        <v>0</v>
      </c>
      <c r="Y18" s="149">
        <f t="shared" si="6"/>
        <v>0</v>
      </c>
      <c r="Z18" s="149">
        <f t="shared" si="7"/>
        <v>0</v>
      </c>
      <c r="AA18" s="149">
        <f t="shared" si="8"/>
        <v>0</v>
      </c>
      <c r="AB18" s="149">
        <f t="shared" si="9"/>
        <v>0</v>
      </c>
      <c r="AC18" s="149">
        <f t="shared" si="10"/>
        <v>0</v>
      </c>
      <c r="AD18" s="149">
        <f t="shared" si="11"/>
        <v>0</v>
      </c>
      <c r="AE18" s="149">
        <f t="shared" si="12"/>
        <v>0</v>
      </c>
    </row>
    <row r="19" spans="1:31" ht="11.25" customHeight="1" x14ac:dyDescent="0.2">
      <c r="A19" s="115" t="s">
        <v>489</v>
      </c>
      <c r="B19" s="116" t="s">
        <v>494</v>
      </c>
      <c r="C19" s="117"/>
      <c r="D19" s="118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>
        <f t="shared" si="13"/>
        <v>0</v>
      </c>
      <c r="R19" s="120" t="s">
        <v>214</v>
      </c>
      <c r="T19" s="149">
        <f t="shared" si="2"/>
        <v>0</v>
      </c>
      <c r="U19" s="149">
        <f t="shared" si="3"/>
        <v>0</v>
      </c>
      <c r="V19" s="149">
        <f t="shared" si="4"/>
        <v>0</v>
      </c>
      <c r="W19" s="149">
        <f t="shared" si="5"/>
        <v>0</v>
      </c>
      <c r="X19" s="149">
        <f t="shared" si="1"/>
        <v>0</v>
      </c>
      <c r="Y19" s="149">
        <f t="shared" si="6"/>
        <v>0</v>
      </c>
      <c r="Z19" s="149">
        <f t="shared" si="7"/>
        <v>0</v>
      </c>
      <c r="AA19" s="149">
        <f t="shared" si="8"/>
        <v>0</v>
      </c>
      <c r="AB19" s="149">
        <f t="shared" si="9"/>
        <v>0</v>
      </c>
      <c r="AC19" s="149">
        <f t="shared" si="10"/>
        <v>0</v>
      </c>
      <c r="AD19" s="149">
        <f t="shared" si="11"/>
        <v>0</v>
      </c>
      <c r="AE19" s="149">
        <f t="shared" si="12"/>
        <v>0</v>
      </c>
    </row>
    <row r="20" spans="1:31" ht="11.25" customHeight="1" x14ac:dyDescent="0.2">
      <c r="A20" s="115" t="s">
        <v>490</v>
      </c>
      <c r="B20" s="121" t="s">
        <v>216</v>
      </c>
      <c r="C20" s="117"/>
      <c r="D20" s="118"/>
      <c r="E20" s="122">
        <v>0</v>
      </c>
      <c r="F20" s="113"/>
      <c r="G20" s="113"/>
      <c r="H20" s="113"/>
      <c r="I20" s="113"/>
      <c r="J20" s="122"/>
      <c r="K20" s="122"/>
      <c r="L20" s="122"/>
      <c r="M20" s="122"/>
      <c r="N20" s="122"/>
      <c r="O20" s="122"/>
      <c r="P20" s="122"/>
      <c r="Q20" s="113">
        <f>SUM(E20:P20)</f>
        <v>0</v>
      </c>
      <c r="R20" s="119" t="s">
        <v>217</v>
      </c>
      <c r="T20" s="149">
        <f t="shared" si="2"/>
        <v>0</v>
      </c>
      <c r="U20" s="149">
        <f t="shared" si="3"/>
        <v>0</v>
      </c>
      <c r="V20" s="149">
        <f t="shared" si="4"/>
        <v>0</v>
      </c>
      <c r="W20" s="149">
        <f t="shared" si="5"/>
        <v>0</v>
      </c>
      <c r="X20" s="149">
        <f t="shared" si="1"/>
        <v>0</v>
      </c>
      <c r="Y20" s="149">
        <f t="shared" si="6"/>
        <v>0</v>
      </c>
      <c r="Z20" s="149">
        <f t="shared" si="7"/>
        <v>0</v>
      </c>
      <c r="AA20" s="149">
        <f t="shared" si="8"/>
        <v>0</v>
      </c>
      <c r="AB20" s="149">
        <f t="shared" si="9"/>
        <v>0</v>
      </c>
      <c r="AC20" s="149">
        <f t="shared" si="10"/>
        <v>0</v>
      </c>
      <c r="AD20" s="149">
        <f t="shared" si="11"/>
        <v>0</v>
      </c>
      <c r="AE20" s="149">
        <f t="shared" si="12"/>
        <v>0</v>
      </c>
    </row>
    <row r="21" spans="1:31" ht="11.25" customHeight="1" x14ac:dyDescent="0.2">
      <c r="A21" s="115" t="s">
        <v>227</v>
      </c>
      <c r="B21" s="121" t="s">
        <v>493</v>
      </c>
      <c r="C21" s="117"/>
      <c r="D21" s="118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>
        <f t="shared" ref="Q21" si="14">SUM(E21:P21)</f>
        <v>0</v>
      </c>
      <c r="R21" s="114" t="s">
        <v>220</v>
      </c>
      <c r="T21" s="149">
        <f t="shared" si="2"/>
        <v>0</v>
      </c>
      <c r="U21" s="149">
        <f t="shared" si="3"/>
        <v>0</v>
      </c>
      <c r="V21" s="149">
        <f t="shared" si="4"/>
        <v>0</v>
      </c>
      <c r="W21" s="149">
        <f t="shared" si="5"/>
        <v>0</v>
      </c>
      <c r="X21" s="149">
        <f t="shared" si="1"/>
        <v>0</v>
      </c>
      <c r="Y21" s="149">
        <f t="shared" si="6"/>
        <v>0</v>
      </c>
      <c r="Z21" s="149">
        <f t="shared" si="7"/>
        <v>0</v>
      </c>
      <c r="AA21" s="149">
        <f t="shared" si="8"/>
        <v>0</v>
      </c>
      <c r="AB21" s="149">
        <f t="shared" si="9"/>
        <v>0</v>
      </c>
      <c r="AC21" s="149">
        <f t="shared" si="10"/>
        <v>0</v>
      </c>
      <c r="AD21" s="149">
        <f t="shared" si="11"/>
        <v>0</v>
      </c>
      <c r="AE21" s="149">
        <f t="shared" si="12"/>
        <v>0</v>
      </c>
    </row>
    <row r="22" spans="1:31" ht="11.25" customHeight="1" x14ac:dyDescent="0.2">
      <c r="A22" s="123"/>
      <c r="B22" s="488" t="s">
        <v>221</v>
      </c>
      <c r="C22" s="489"/>
      <c r="D22" s="490"/>
      <c r="E22" s="124">
        <f>SUM(E13:E21)</f>
        <v>0</v>
      </c>
      <c r="F22" s="124">
        <f t="shared" ref="F22:P22" si="15">SUM(F13:F21)</f>
        <v>0</v>
      </c>
      <c r="G22" s="124">
        <f t="shared" si="15"/>
        <v>0</v>
      </c>
      <c r="H22" s="124">
        <f t="shared" si="15"/>
        <v>0</v>
      </c>
      <c r="I22" s="124">
        <f t="shared" si="15"/>
        <v>0</v>
      </c>
      <c r="J22" s="124">
        <f t="shared" si="15"/>
        <v>0</v>
      </c>
      <c r="K22" s="124">
        <f t="shared" si="15"/>
        <v>0</v>
      </c>
      <c r="L22" s="124">
        <f t="shared" si="15"/>
        <v>0</v>
      </c>
      <c r="M22" s="124">
        <f t="shared" si="15"/>
        <v>0</v>
      </c>
      <c r="N22" s="124">
        <f t="shared" si="15"/>
        <v>0</v>
      </c>
      <c r="O22" s="124">
        <f t="shared" si="15"/>
        <v>0</v>
      </c>
      <c r="P22" s="124">
        <f t="shared" si="15"/>
        <v>0</v>
      </c>
      <c r="Q22" s="124">
        <f>SUM(E22:P22)</f>
        <v>0</v>
      </c>
      <c r="R22" s="125"/>
      <c r="T22" s="149">
        <f t="shared" si="2"/>
        <v>0</v>
      </c>
      <c r="U22" s="149">
        <f t="shared" si="3"/>
        <v>0</v>
      </c>
      <c r="V22" s="149">
        <f t="shared" si="4"/>
        <v>0</v>
      </c>
      <c r="W22" s="149">
        <f t="shared" si="5"/>
        <v>0</v>
      </c>
      <c r="X22" s="149">
        <f t="shared" si="1"/>
        <v>0</v>
      </c>
      <c r="Y22" s="149">
        <f t="shared" si="6"/>
        <v>0</v>
      </c>
      <c r="Z22" s="149">
        <f t="shared" si="7"/>
        <v>0</v>
      </c>
      <c r="AA22" s="149">
        <f t="shared" si="8"/>
        <v>0</v>
      </c>
      <c r="AB22" s="149">
        <f t="shared" si="9"/>
        <v>0</v>
      </c>
      <c r="AC22" s="149">
        <f t="shared" si="10"/>
        <v>0</v>
      </c>
      <c r="AD22" s="149">
        <f t="shared" si="11"/>
        <v>0</v>
      </c>
      <c r="AE22" s="149">
        <f t="shared" si="12"/>
        <v>0</v>
      </c>
    </row>
    <row r="23" spans="1:31" ht="11.25" customHeight="1" x14ac:dyDescent="0.2">
      <c r="A23" s="115" t="s">
        <v>238</v>
      </c>
      <c r="B23" s="116" t="s">
        <v>495</v>
      </c>
      <c r="C23" s="117"/>
      <c r="D23" s="118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4"/>
      <c r="T23" s="149">
        <f t="shared" si="2"/>
        <v>0</v>
      </c>
      <c r="U23" s="149">
        <f t="shared" si="3"/>
        <v>0</v>
      </c>
      <c r="V23" s="149">
        <f t="shared" si="4"/>
        <v>0</v>
      </c>
      <c r="W23" s="149">
        <f t="shared" si="5"/>
        <v>0</v>
      </c>
      <c r="X23" s="149">
        <f t="shared" si="1"/>
        <v>0</v>
      </c>
      <c r="Y23" s="149">
        <f t="shared" si="6"/>
        <v>0</v>
      </c>
      <c r="Z23" s="149">
        <f t="shared" si="7"/>
        <v>0</v>
      </c>
      <c r="AA23" s="149">
        <f t="shared" si="8"/>
        <v>0</v>
      </c>
      <c r="AB23" s="149">
        <f t="shared" si="9"/>
        <v>0</v>
      </c>
      <c r="AC23" s="149">
        <f t="shared" si="10"/>
        <v>0</v>
      </c>
      <c r="AD23" s="149">
        <f t="shared" si="11"/>
        <v>0</v>
      </c>
      <c r="AE23" s="149">
        <f t="shared" si="12"/>
        <v>0</v>
      </c>
    </row>
    <row r="24" spans="1:31" ht="11.25" customHeight="1" x14ac:dyDescent="0.2">
      <c r="A24" s="115" t="s">
        <v>496</v>
      </c>
      <c r="B24" s="116" t="s">
        <v>225</v>
      </c>
      <c r="C24" s="117"/>
      <c r="D24" s="118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>
        <f t="shared" ref="Q24:Q57" si="16">SUM(E24:P24)</f>
        <v>0</v>
      </c>
      <c r="R24" s="114"/>
      <c r="T24" s="149">
        <f t="shared" si="2"/>
        <v>0</v>
      </c>
      <c r="U24" s="149">
        <f t="shared" si="3"/>
        <v>0</v>
      </c>
      <c r="V24" s="149">
        <f t="shared" si="4"/>
        <v>0</v>
      </c>
      <c r="W24" s="149">
        <f t="shared" si="5"/>
        <v>0</v>
      </c>
      <c r="X24" s="149">
        <f t="shared" si="1"/>
        <v>0</v>
      </c>
      <c r="Y24" s="149">
        <f t="shared" si="6"/>
        <v>0</v>
      </c>
      <c r="Z24" s="149">
        <f t="shared" si="7"/>
        <v>0</v>
      </c>
      <c r="AA24" s="149">
        <f t="shared" si="8"/>
        <v>0</v>
      </c>
      <c r="AB24" s="149">
        <f t="shared" si="9"/>
        <v>0</v>
      </c>
      <c r="AC24" s="149">
        <f t="shared" si="10"/>
        <v>0</v>
      </c>
      <c r="AD24" s="149">
        <f t="shared" si="11"/>
        <v>0</v>
      </c>
      <c r="AE24" s="149">
        <f t="shared" si="12"/>
        <v>0</v>
      </c>
    </row>
    <row r="25" spans="1:31" ht="11.25" customHeight="1" x14ac:dyDescent="0.2">
      <c r="A25" s="115" t="s">
        <v>497</v>
      </c>
      <c r="B25" s="116" t="s">
        <v>228</v>
      </c>
      <c r="C25" s="117"/>
      <c r="D25" s="118"/>
      <c r="E25" s="113"/>
      <c r="F25" s="113"/>
      <c r="G25" s="113"/>
      <c r="H25" s="113"/>
      <c r="I25" s="113"/>
      <c r="J25" s="113"/>
      <c r="K25" s="113"/>
      <c r="L25" s="126"/>
      <c r="M25" s="113"/>
      <c r="N25" s="113"/>
      <c r="O25" s="113"/>
      <c r="P25" s="113"/>
      <c r="Q25" s="113">
        <f t="shared" si="16"/>
        <v>0</v>
      </c>
      <c r="R25" s="114"/>
      <c r="T25" s="149">
        <f t="shared" si="2"/>
        <v>0</v>
      </c>
      <c r="U25" s="149">
        <f t="shared" si="3"/>
        <v>0</v>
      </c>
      <c r="V25" s="149">
        <f t="shared" si="4"/>
        <v>0</v>
      </c>
      <c r="W25" s="149">
        <f t="shared" si="5"/>
        <v>0</v>
      </c>
      <c r="X25" s="149">
        <f t="shared" si="1"/>
        <v>0</v>
      </c>
      <c r="Y25" s="149">
        <f t="shared" si="6"/>
        <v>0</v>
      </c>
      <c r="Z25" s="149">
        <f t="shared" si="7"/>
        <v>0</v>
      </c>
      <c r="AA25" s="149">
        <f t="shared" si="8"/>
        <v>0</v>
      </c>
      <c r="AB25" s="149">
        <f t="shared" si="9"/>
        <v>0</v>
      </c>
      <c r="AC25" s="149">
        <f t="shared" si="10"/>
        <v>0</v>
      </c>
      <c r="AD25" s="149">
        <f t="shared" si="11"/>
        <v>0</v>
      </c>
      <c r="AE25" s="149">
        <f t="shared" si="12"/>
        <v>0</v>
      </c>
    </row>
    <row r="26" spans="1:31" ht="11.25" customHeight="1" x14ac:dyDescent="0.2">
      <c r="A26" s="115" t="s">
        <v>498</v>
      </c>
      <c r="B26" s="116" t="s">
        <v>230</v>
      </c>
      <c r="C26" s="117"/>
      <c r="D26" s="118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>
        <f t="shared" si="16"/>
        <v>0</v>
      </c>
      <c r="R26" s="114"/>
      <c r="T26" s="149">
        <f t="shared" si="2"/>
        <v>0</v>
      </c>
      <c r="U26" s="149">
        <f t="shared" si="3"/>
        <v>0</v>
      </c>
      <c r="V26" s="149">
        <f t="shared" si="4"/>
        <v>0</v>
      </c>
      <c r="W26" s="149">
        <f t="shared" si="5"/>
        <v>0</v>
      </c>
      <c r="X26" s="149">
        <f t="shared" si="1"/>
        <v>0</v>
      </c>
      <c r="Y26" s="149">
        <f t="shared" si="6"/>
        <v>0</v>
      </c>
      <c r="Z26" s="149">
        <f t="shared" si="7"/>
        <v>0</v>
      </c>
      <c r="AA26" s="149">
        <f t="shared" si="8"/>
        <v>0</v>
      </c>
      <c r="AB26" s="149">
        <f t="shared" si="9"/>
        <v>0</v>
      </c>
      <c r="AC26" s="149">
        <f t="shared" si="10"/>
        <v>0</v>
      </c>
      <c r="AD26" s="149">
        <f t="shared" si="11"/>
        <v>0</v>
      </c>
      <c r="AE26" s="149">
        <f t="shared" si="12"/>
        <v>0</v>
      </c>
    </row>
    <row r="27" spans="1:31" ht="11.25" customHeight="1" x14ac:dyDescent="0.2">
      <c r="A27" s="115" t="s">
        <v>499</v>
      </c>
      <c r="B27" s="116" t="s">
        <v>232</v>
      </c>
      <c r="C27" s="117"/>
      <c r="D27" s="118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>
        <f t="shared" si="16"/>
        <v>0</v>
      </c>
      <c r="R27" s="114"/>
      <c r="T27" s="149">
        <f t="shared" si="2"/>
        <v>0</v>
      </c>
      <c r="U27" s="149">
        <f t="shared" si="3"/>
        <v>0</v>
      </c>
      <c r="V27" s="149">
        <f t="shared" si="4"/>
        <v>0</v>
      </c>
      <c r="W27" s="149">
        <f t="shared" si="5"/>
        <v>0</v>
      </c>
      <c r="X27" s="149">
        <f t="shared" si="1"/>
        <v>0</v>
      </c>
      <c r="Y27" s="149">
        <f t="shared" si="6"/>
        <v>0</v>
      </c>
      <c r="Z27" s="149">
        <f t="shared" si="7"/>
        <v>0</v>
      </c>
      <c r="AA27" s="149">
        <f t="shared" si="8"/>
        <v>0</v>
      </c>
      <c r="AB27" s="149">
        <f t="shared" si="9"/>
        <v>0</v>
      </c>
      <c r="AC27" s="149">
        <f t="shared" si="10"/>
        <v>0</v>
      </c>
      <c r="AD27" s="149">
        <f t="shared" si="11"/>
        <v>0</v>
      </c>
      <c r="AE27" s="149">
        <f t="shared" si="12"/>
        <v>0</v>
      </c>
    </row>
    <row r="28" spans="1:31" ht="11.25" customHeight="1" x14ac:dyDescent="0.2">
      <c r="A28" s="115" t="s">
        <v>500</v>
      </c>
      <c r="B28" s="116" t="s">
        <v>234</v>
      </c>
      <c r="C28" s="117"/>
      <c r="D28" s="118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>
        <f t="shared" si="16"/>
        <v>0</v>
      </c>
      <c r="R28" s="114"/>
      <c r="T28" s="149">
        <f t="shared" si="2"/>
        <v>0</v>
      </c>
      <c r="U28" s="149">
        <f t="shared" si="3"/>
        <v>0</v>
      </c>
      <c r="V28" s="149">
        <f t="shared" si="4"/>
        <v>0</v>
      </c>
      <c r="W28" s="149">
        <f t="shared" si="5"/>
        <v>0</v>
      </c>
      <c r="X28" s="149">
        <f t="shared" si="1"/>
        <v>0</v>
      </c>
      <c r="Y28" s="149">
        <f t="shared" si="6"/>
        <v>0</v>
      </c>
      <c r="Z28" s="149">
        <f t="shared" si="7"/>
        <v>0</v>
      </c>
      <c r="AA28" s="149">
        <f t="shared" si="8"/>
        <v>0</v>
      </c>
      <c r="AB28" s="149">
        <f t="shared" si="9"/>
        <v>0</v>
      </c>
      <c r="AC28" s="149">
        <f t="shared" si="10"/>
        <v>0</v>
      </c>
      <c r="AD28" s="149">
        <f t="shared" si="11"/>
        <v>0</v>
      </c>
      <c r="AE28" s="149">
        <f t="shared" si="12"/>
        <v>0</v>
      </c>
    </row>
    <row r="29" spans="1:31" ht="11.25" customHeight="1" x14ac:dyDescent="0.2">
      <c r="A29" s="115" t="s">
        <v>501</v>
      </c>
      <c r="B29" s="116" t="s">
        <v>236</v>
      </c>
      <c r="C29" s="117"/>
      <c r="D29" s="118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>
        <f t="shared" si="16"/>
        <v>0</v>
      </c>
      <c r="R29" s="114"/>
      <c r="T29" s="149">
        <f t="shared" si="2"/>
        <v>0</v>
      </c>
      <c r="U29" s="149">
        <f t="shared" si="3"/>
        <v>0</v>
      </c>
      <c r="V29" s="149">
        <f t="shared" si="4"/>
        <v>0</v>
      </c>
      <c r="W29" s="149">
        <f t="shared" si="5"/>
        <v>0</v>
      </c>
      <c r="X29" s="149">
        <f t="shared" si="1"/>
        <v>0</v>
      </c>
      <c r="Y29" s="149">
        <f t="shared" si="6"/>
        <v>0</v>
      </c>
      <c r="Z29" s="149">
        <f t="shared" si="7"/>
        <v>0</v>
      </c>
      <c r="AA29" s="149">
        <f t="shared" si="8"/>
        <v>0</v>
      </c>
      <c r="AB29" s="149">
        <f t="shared" si="9"/>
        <v>0</v>
      </c>
      <c r="AC29" s="149">
        <f t="shared" si="10"/>
        <v>0</v>
      </c>
      <c r="AD29" s="149">
        <f t="shared" si="11"/>
        <v>0</v>
      </c>
      <c r="AE29" s="149">
        <f t="shared" si="12"/>
        <v>0</v>
      </c>
    </row>
    <row r="30" spans="1:31" ht="11.25" customHeight="1" x14ac:dyDescent="0.2">
      <c r="A30" s="123"/>
      <c r="B30" s="488" t="s">
        <v>502</v>
      </c>
      <c r="C30" s="489"/>
      <c r="D30" s="490"/>
      <c r="E30" s="124">
        <f>SUM(E24:E29)</f>
        <v>0</v>
      </c>
      <c r="F30" s="124">
        <f t="shared" ref="F30:P30" si="17">SUM(F24:F29)</f>
        <v>0</v>
      </c>
      <c r="G30" s="124">
        <f t="shared" si="17"/>
        <v>0</v>
      </c>
      <c r="H30" s="124">
        <f t="shared" si="17"/>
        <v>0</v>
      </c>
      <c r="I30" s="124">
        <f t="shared" si="17"/>
        <v>0</v>
      </c>
      <c r="J30" s="124">
        <f t="shared" si="17"/>
        <v>0</v>
      </c>
      <c r="K30" s="124">
        <f t="shared" si="17"/>
        <v>0</v>
      </c>
      <c r="L30" s="124">
        <f t="shared" si="17"/>
        <v>0</v>
      </c>
      <c r="M30" s="124">
        <f t="shared" si="17"/>
        <v>0</v>
      </c>
      <c r="N30" s="124">
        <f t="shared" si="17"/>
        <v>0</v>
      </c>
      <c r="O30" s="124">
        <f t="shared" si="17"/>
        <v>0</v>
      </c>
      <c r="P30" s="124">
        <f t="shared" si="17"/>
        <v>0</v>
      </c>
      <c r="Q30" s="124">
        <f t="shared" si="16"/>
        <v>0</v>
      </c>
      <c r="R30" s="127" t="s">
        <v>226</v>
      </c>
      <c r="T30" s="149">
        <f t="shared" si="2"/>
        <v>0</v>
      </c>
      <c r="U30" s="149">
        <f t="shared" si="3"/>
        <v>0</v>
      </c>
      <c r="V30" s="149">
        <f t="shared" si="4"/>
        <v>0</v>
      </c>
      <c r="W30" s="149">
        <f t="shared" si="5"/>
        <v>0</v>
      </c>
      <c r="X30" s="149">
        <f t="shared" si="1"/>
        <v>0</v>
      </c>
      <c r="Y30" s="149">
        <f t="shared" si="6"/>
        <v>0</v>
      </c>
      <c r="Z30" s="149">
        <f t="shared" si="7"/>
        <v>0</v>
      </c>
      <c r="AA30" s="149">
        <f t="shared" si="8"/>
        <v>0</v>
      </c>
      <c r="AB30" s="149">
        <f t="shared" si="9"/>
        <v>0</v>
      </c>
      <c r="AC30" s="149">
        <f t="shared" si="10"/>
        <v>0</v>
      </c>
      <c r="AD30" s="149">
        <f t="shared" si="11"/>
        <v>0</v>
      </c>
      <c r="AE30" s="149">
        <f t="shared" si="12"/>
        <v>0</v>
      </c>
    </row>
    <row r="31" spans="1:31" ht="11.25" customHeight="1" x14ac:dyDescent="0.2">
      <c r="A31" s="115" t="s">
        <v>706</v>
      </c>
      <c r="B31" s="116" t="s">
        <v>503</v>
      </c>
      <c r="C31" s="117"/>
      <c r="D31" s="118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24">
        <f t="shared" si="16"/>
        <v>0</v>
      </c>
      <c r="R31" s="128" t="s">
        <v>455</v>
      </c>
      <c r="T31" s="149">
        <f>E31</f>
        <v>0</v>
      </c>
      <c r="U31" s="149">
        <f t="shared" si="3"/>
        <v>0</v>
      </c>
      <c r="V31" s="149">
        <f t="shared" si="4"/>
        <v>0</v>
      </c>
      <c r="W31" s="149">
        <f t="shared" si="5"/>
        <v>0</v>
      </c>
      <c r="X31" s="149">
        <f t="shared" si="1"/>
        <v>0</v>
      </c>
      <c r="Y31" s="149">
        <f t="shared" si="6"/>
        <v>0</v>
      </c>
      <c r="Z31" s="149">
        <f t="shared" si="7"/>
        <v>0</v>
      </c>
      <c r="AA31" s="149">
        <f t="shared" si="8"/>
        <v>0</v>
      </c>
      <c r="AB31" s="149">
        <f t="shared" si="9"/>
        <v>0</v>
      </c>
      <c r="AC31" s="149">
        <f t="shared" si="10"/>
        <v>0</v>
      </c>
      <c r="AD31" s="149">
        <f t="shared" si="11"/>
        <v>0</v>
      </c>
      <c r="AE31" s="149">
        <f t="shared" si="12"/>
        <v>0</v>
      </c>
    </row>
    <row r="32" spans="1:31" ht="11.25" customHeight="1" x14ac:dyDescent="0.2">
      <c r="A32" s="123"/>
      <c r="B32" s="494" t="s">
        <v>240</v>
      </c>
      <c r="C32" s="495"/>
      <c r="D32" s="496"/>
      <c r="E32" s="124">
        <f>E30+E22+E31</f>
        <v>0</v>
      </c>
      <c r="F32" s="124">
        <f>F30+F22+F31</f>
        <v>0</v>
      </c>
      <c r="G32" s="124">
        <f t="shared" ref="G32:P32" si="18">G30+G22+G31</f>
        <v>0</v>
      </c>
      <c r="H32" s="124">
        <f>H30+H22+H31</f>
        <v>0</v>
      </c>
      <c r="I32" s="124">
        <f t="shared" si="18"/>
        <v>0</v>
      </c>
      <c r="J32" s="124">
        <f t="shared" si="18"/>
        <v>0</v>
      </c>
      <c r="K32" s="124">
        <f t="shared" si="18"/>
        <v>0</v>
      </c>
      <c r="L32" s="124">
        <f t="shared" si="18"/>
        <v>0</v>
      </c>
      <c r="M32" s="124">
        <f t="shared" si="18"/>
        <v>0</v>
      </c>
      <c r="N32" s="124">
        <f t="shared" si="18"/>
        <v>0</v>
      </c>
      <c r="O32" s="124">
        <f t="shared" si="18"/>
        <v>0</v>
      </c>
      <c r="P32" s="124">
        <f t="shared" si="18"/>
        <v>0</v>
      </c>
      <c r="Q32" s="113">
        <f t="shared" si="16"/>
        <v>0</v>
      </c>
      <c r="R32" s="129"/>
      <c r="T32" s="149">
        <f t="shared" si="2"/>
        <v>0</v>
      </c>
      <c r="U32" s="149">
        <f t="shared" si="3"/>
        <v>0</v>
      </c>
      <c r="V32" s="149">
        <f t="shared" si="4"/>
        <v>0</v>
      </c>
      <c r="W32" s="149">
        <f>SUM(E32:H32)</f>
        <v>0</v>
      </c>
      <c r="X32" s="149">
        <f t="shared" si="1"/>
        <v>0</v>
      </c>
      <c r="Y32" s="149">
        <f t="shared" si="6"/>
        <v>0</v>
      </c>
      <c r="Z32" s="149">
        <f t="shared" si="7"/>
        <v>0</v>
      </c>
      <c r="AA32" s="149">
        <f t="shared" si="8"/>
        <v>0</v>
      </c>
      <c r="AB32" s="149">
        <f t="shared" si="9"/>
        <v>0</v>
      </c>
      <c r="AC32" s="149">
        <f t="shared" si="10"/>
        <v>0</v>
      </c>
      <c r="AD32" s="149">
        <f t="shared" si="11"/>
        <v>0</v>
      </c>
      <c r="AE32" s="149">
        <f t="shared" si="12"/>
        <v>0</v>
      </c>
    </row>
    <row r="33" spans="1:31" ht="11.25" customHeight="1" x14ac:dyDescent="0.2">
      <c r="A33" s="123" t="s">
        <v>531</v>
      </c>
      <c r="B33" s="130" t="s">
        <v>504</v>
      </c>
      <c r="C33" s="131"/>
      <c r="D33" s="132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>
        <f t="shared" si="16"/>
        <v>0</v>
      </c>
      <c r="R33" s="120" t="s">
        <v>242</v>
      </c>
      <c r="T33" s="149">
        <f t="shared" si="2"/>
        <v>0</v>
      </c>
      <c r="U33" s="149">
        <f t="shared" si="3"/>
        <v>0</v>
      </c>
      <c r="V33" s="149">
        <f t="shared" si="4"/>
        <v>0</v>
      </c>
      <c r="W33" s="149">
        <f t="shared" si="5"/>
        <v>0</v>
      </c>
      <c r="X33" s="149">
        <f t="shared" si="1"/>
        <v>0</v>
      </c>
      <c r="Y33" s="149">
        <f t="shared" si="6"/>
        <v>0</v>
      </c>
      <c r="Z33" s="149">
        <f t="shared" si="7"/>
        <v>0</v>
      </c>
      <c r="AA33" s="149">
        <f t="shared" si="8"/>
        <v>0</v>
      </c>
      <c r="AB33" s="149">
        <f t="shared" si="9"/>
        <v>0</v>
      </c>
      <c r="AC33" s="149">
        <f t="shared" si="10"/>
        <v>0</v>
      </c>
      <c r="AD33" s="149">
        <f t="shared" si="11"/>
        <v>0</v>
      </c>
      <c r="AE33" s="149">
        <f t="shared" si="12"/>
        <v>0</v>
      </c>
    </row>
    <row r="34" spans="1:31" ht="11.25" customHeight="1" x14ac:dyDescent="0.2">
      <c r="A34" s="123"/>
      <c r="B34" s="485" t="s">
        <v>505</v>
      </c>
      <c r="C34" s="486"/>
      <c r="D34" s="487"/>
      <c r="E34" s="124"/>
      <c r="F34" s="124"/>
      <c r="G34" s="124"/>
      <c r="H34" s="124"/>
      <c r="I34" s="124"/>
      <c r="J34" s="124">
        <f t="shared" ref="F34:P34" si="19">SUM(J32:J33)</f>
        <v>0</v>
      </c>
      <c r="K34" s="124">
        <f t="shared" si="19"/>
        <v>0</v>
      </c>
      <c r="L34" s="124">
        <f t="shared" si="19"/>
        <v>0</v>
      </c>
      <c r="M34" s="124">
        <f t="shared" si="19"/>
        <v>0</v>
      </c>
      <c r="N34" s="124">
        <f t="shared" si="19"/>
        <v>0</v>
      </c>
      <c r="O34" s="124">
        <f t="shared" si="19"/>
        <v>0</v>
      </c>
      <c r="P34" s="124">
        <f t="shared" si="19"/>
        <v>0</v>
      </c>
      <c r="Q34" s="124">
        <f t="shared" si="16"/>
        <v>0</v>
      </c>
      <c r="R34" s="133"/>
      <c r="T34" s="149">
        <f t="shared" si="2"/>
        <v>0</v>
      </c>
      <c r="U34" s="149">
        <f t="shared" si="3"/>
        <v>0</v>
      </c>
      <c r="V34" s="149">
        <f t="shared" si="4"/>
        <v>0</v>
      </c>
      <c r="W34" s="149">
        <f t="shared" si="5"/>
        <v>0</v>
      </c>
      <c r="X34" s="149">
        <f t="shared" si="1"/>
        <v>0</v>
      </c>
      <c r="Y34" s="149">
        <f t="shared" si="6"/>
        <v>0</v>
      </c>
      <c r="Z34" s="149">
        <f t="shared" si="7"/>
        <v>0</v>
      </c>
      <c r="AA34" s="149">
        <f t="shared" si="8"/>
        <v>0</v>
      </c>
      <c r="AB34" s="149">
        <f t="shared" si="9"/>
        <v>0</v>
      </c>
      <c r="AC34" s="149">
        <f t="shared" si="10"/>
        <v>0</v>
      </c>
      <c r="AD34" s="149">
        <f t="shared" si="11"/>
        <v>0</v>
      </c>
      <c r="AE34" s="149">
        <f t="shared" si="12"/>
        <v>0</v>
      </c>
    </row>
    <row r="35" spans="1:31" ht="11.25" customHeight="1" x14ac:dyDescent="0.2">
      <c r="A35" s="115"/>
      <c r="B35" s="134"/>
      <c r="C35" s="135"/>
      <c r="D35" s="136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>
        <f t="shared" si="16"/>
        <v>0</v>
      </c>
      <c r="R35" s="137"/>
      <c r="T35" s="149">
        <f t="shared" si="2"/>
        <v>0</v>
      </c>
      <c r="U35" s="149">
        <f>SUM(E35:F35)</f>
        <v>0</v>
      </c>
      <c r="V35" s="149">
        <f t="shared" si="4"/>
        <v>0</v>
      </c>
      <c r="W35" s="149">
        <f t="shared" si="5"/>
        <v>0</v>
      </c>
      <c r="X35" s="149">
        <f t="shared" si="1"/>
        <v>0</v>
      </c>
      <c r="Y35" s="149">
        <f t="shared" si="6"/>
        <v>0</v>
      </c>
      <c r="Z35" s="149">
        <f t="shared" si="7"/>
        <v>0</v>
      </c>
      <c r="AA35" s="149">
        <f t="shared" si="8"/>
        <v>0</v>
      </c>
      <c r="AB35" s="149">
        <f t="shared" si="9"/>
        <v>0</v>
      </c>
      <c r="AC35" s="149">
        <f t="shared" si="10"/>
        <v>0</v>
      </c>
      <c r="AD35" s="149">
        <f t="shared" si="11"/>
        <v>0</v>
      </c>
      <c r="AE35" s="149">
        <f t="shared" si="12"/>
        <v>0</v>
      </c>
    </row>
    <row r="36" spans="1:31" ht="11.25" customHeight="1" x14ac:dyDescent="0.2">
      <c r="A36" s="115" t="s">
        <v>188</v>
      </c>
      <c r="B36" s="116" t="s">
        <v>506</v>
      </c>
      <c r="C36" s="117"/>
      <c r="D36" s="118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>
        <f t="shared" si="16"/>
        <v>0</v>
      </c>
      <c r="R36" s="137"/>
      <c r="T36" s="149">
        <f t="shared" si="2"/>
        <v>0</v>
      </c>
      <c r="U36" s="149">
        <f t="shared" si="3"/>
        <v>0</v>
      </c>
      <c r="V36" s="149">
        <f t="shared" si="4"/>
        <v>0</v>
      </c>
      <c r="W36" s="149">
        <f t="shared" si="5"/>
        <v>0</v>
      </c>
      <c r="X36" s="149">
        <f t="shared" si="1"/>
        <v>0</v>
      </c>
      <c r="Y36" s="149">
        <f t="shared" si="6"/>
        <v>0</v>
      </c>
      <c r="Z36" s="149">
        <f t="shared" si="7"/>
        <v>0</v>
      </c>
      <c r="AA36" s="149">
        <f t="shared" si="8"/>
        <v>0</v>
      </c>
      <c r="AB36" s="149">
        <f t="shared" si="9"/>
        <v>0</v>
      </c>
      <c r="AC36" s="149">
        <f t="shared" si="10"/>
        <v>0</v>
      </c>
      <c r="AD36" s="149">
        <f t="shared" si="11"/>
        <v>0</v>
      </c>
      <c r="AE36" s="149">
        <f t="shared" si="12"/>
        <v>0</v>
      </c>
    </row>
    <row r="37" spans="1:31" ht="11.25" customHeight="1" x14ac:dyDescent="0.2">
      <c r="A37" s="115" t="s">
        <v>245</v>
      </c>
      <c r="B37" s="116" t="s">
        <v>20</v>
      </c>
      <c r="C37" s="117"/>
      <c r="D37" s="118"/>
      <c r="E37" s="122">
        <f>SUM(E39:E43)</f>
        <v>0</v>
      </c>
      <c r="F37" s="122">
        <f t="shared" ref="F37:P37" si="20">SUM(F39:F43)</f>
        <v>0</v>
      </c>
      <c r="G37" s="122">
        <f t="shared" si="20"/>
        <v>0</v>
      </c>
      <c r="H37" s="122">
        <f t="shared" si="20"/>
        <v>0</v>
      </c>
      <c r="I37" s="122">
        <f t="shared" si="20"/>
        <v>0</v>
      </c>
      <c r="J37" s="122">
        <f t="shared" si="20"/>
        <v>0</v>
      </c>
      <c r="K37" s="122">
        <f t="shared" si="20"/>
        <v>0</v>
      </c>
      <c r="L37" s="122">
        <f t="shared" si="20"/>
        <v>0</v>
      </c>
      <c r="M37" s="122">
        <f t="shared" si="20"/>
        <v>0</v>
      </c>
      <c r="N37" s="122">
        <f t="shared" si="20"/>
        <v>0</v>
      </c>
      <c r="O37" s="122">
        <f t="shared" si="20"/>
        <v>0</v>
      </c>
      <c r="P37" s="122">
        <f t="shared" si="20"/>
        <v>0</v>
      </c>
      <c r="Q37" s="113">
        <f t="shared" si="16"/>
        <v>0</v>
      </c>
      <c r="R37" s="137" t="s">
        <v>208</v>
      </c>
      <c r="T37" s="149">
        <f t="shared" si="2"/>
        <v>0</v>
      </c>
      <c r="U37" s="149">
        <f>SUM(E37:F37)</f>
        <v>0</v>
      </c>
      <c r="V37" s="149">
        <f t="shared" si="4"/>
        <v>0</v>
      </c>
      <c r="W37" s="149">
        <f t="shared" si="5"/>
        <v>0</v>
      </c>
      <c r="X37" s="149">
        <f t="shared" si="1"/>
        <v>0</v>
      </c>
      <c r="Y37" s="149">
        <f t="shared" si="6"/>
        <v>0</v>
      </c>
      <c r="Z37" s="149">
        <f t="shared" si="7"/>
        <v>0</v>
      </c>
      <c r="AA37" s="149">
        <f t="shared" si="8"/>
        <v>0</v>
      </c>
      <c r="AB37" s="149">
        <f t="shared" si="9"/>
        <v>0</v>
      </c>
      <c r="AC37" s="149">
        <f t="shared" si="10"/>
        <v>0</v>
      </c>
      <c r="AD37" s="149">
        <f t="shared" si="11"/>
        <v>0</v>
      </c>
      <c r="AE37" s="149">
        <f t="shared" si="12"/>
        <v>0</v>
      </c>
    </row>
    <row r="38" spans="1:31" ht="11.25" customHeight="1" x14ac:dyDescent="0.2">
      <c r="A38" s="115"/>
      <c r="B38" s="5"/>
      <c r="C38" s="307" t="s">
        <v>507</v>
      </c>
      <c r="D38" s="118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>
        <f t="shared" si="16"/>
        <v>0</v>
      </c>
      <c r="R38" s="137"/>
      <c r="T38" s="149">
        <f t="shared" si="2"/>
        <v>0</v>
      </c>
      <c r="U38" s="149">
        <f t="shared" si="3"/>
        <v>0</v>
      </c>
      <c r="V38" s="149">
        <f t="shared" si="4"/>
        <v>0</v>
      </c>
      <c r="W38" s="149">
        <f t="shared" si="5"/>
        <v>0</v>
      </c>
      <c r="X38" s="149">
        <f t="shared" si="1"/>
        <v>0</v>
      </c>
      <c r="Y38" s="149">
        <f t="shared" si="6"/>
        <v>0</v>
      </c>
      <c r="Z38" s="149">
        <f t="shared" si="7"/>
        <v>0</v>
      </c>
      <c r="AA38" s="149">
        <f t="shared" si="8"/>
        <v>0</v>
      </c>
      <c r="AB38" s="149">
        <f t="shared" si="9"/>
        <v>0</v>
      </c>
      <c r="AC38" s="149">
        <f t="shared" si="10"/>
        <v>0</v>
      </c>
      <c r="AD38" s="149">
        <f t="shared" si="11"/>
        <v>0</v>
      </c>
      <c r="AE38" s="149">
        <f t="shared" si="12"/>
        <v>0</v>
      </c>
    </row>
    <row r="39" spans="1:31" ht="11.25" customHeight="1" x14ac:dyDescent="0.2">
      <c r="A39" s="115"/>
      <c r="B39" s="116"/>
      <c r="D39" s="117" t="s">
        <v>508</v>
      </c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>
        <f t="shared" si="16"/>
        <v>0</v>
      </c>
      <c r="R39" s="137"/>
      <c r="T39" s="149">
        <f t="shared" si="2"/>
        <v>0</v>
      </c>
      <c r="U39" s="149">
        <f t="shared" si="3"/>
        <v>0</v>
      </c>
      <c r="V39" s="149">
        <f t="shared" si="4"/>
        <v>0</v>
      </c>
      <c r="W39" s="149">
        <f t="shared" si="5"/>
        <v>0</v>
      </c>
      <c r="X39" s="149">
        <f t="shared" si="1"/>
        <v>0</v>
      </c>
      <c r="Y39" s="149">
        <f t="shared" si="6"/>
        <v>0</v>
      </c>
      <c r="Z39" s="149">
        <f t="shared" si="7"/>
        <v>0</v>
      </c>
      <c r="AA39" s="149">
        <f t="shared" si="8"/>
        <v>0</v>
      </c>
      <c r="AB39" s="149">
        <f t="shared" si="9"/>
        <v>0</v>
      </c>
      <c r="AC39" s="149">
        <f t="shared" si="10"/>
        <v>0</v>
      </c>
      <c r="AD39" s="149">
        <f t="shared" si="11"/>
        <v>0</v>
      </c>
      <c r="AE39" s="149">
        <f t="shared" si="12"/>
        <v>0</v>
      </c>
    </row>
    <row r="40" spans="1:31" ht="11.25" customHeight="1" x14ac:dyDescent="0.2">
      <c r="A40" s="115"/>
      <c r="B40" s="116"/>
      <c r="D40" s="117" t="s">
        <v>509</v>
      </c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>
        <f t="shared" si="16"/>
        <v>0</v>
      </c>
      <c r="R40" s="137"/>
      <c r="T40" s="149">
        <f t="shared" si="2"/>
        <v>0</v>
      </c>
      <c r="U40" s="149">
        <f t="shared" si="3"/>
        <v>0</v>
      </c>
      <c r="V40" s="149">
        <f t="shared" si="4"/>
        <v>0</v>
      </c>
      <c r="W40" s="149">
        <f t="shared" si="5"/>
        <v>0</v>
      </c>
      <c r="X40" s="149">
        <f t="shared" si="1"/>
        <v>0</v>
      </c>
      <c r="Y40" s="149">
        <f t="shared" si="6"/>
        <v>0</v>
      </c>
      <c r="Z40" s="149">
        <f t="shared" si="7"/>
        <v>0</v>
      </c>
      <c r="AA40" s="149">
        <f t="shared" si="8"/>
        <v>0</v>
      </c>
      <c r="AB40" s="149">
        <f t="shared" si="9"/>
        <v>0</v>
      </c>
      <c r="AC40" s="149">
        <f t="shared" si="10"/>
        <v>0</v>
      </c>
      <c r="AD40" s="149">
        <f t="shared" si="11"/>
        <v>0</v>
      </c>
      <c r="AE40" s="149">
        <f t="shared" si="12"/>
        <v>0</v>
      </c>
    </row>
    <row r="41" spans="1:31" ht="11.25" customHeight="1" x14ac:dyDescent="0.2">
      <c r="A41" s="115"/>
      <c r="B41" s="116"/>
      <c r="D41" s="117" t="s">
        <v>510</v>
      </c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>
        <f t="shared" si="16"/>
        <v>0</v>
      </c>
      <c r="R41" s="137"/>
      <c r="T41" s="149">
        <f t="shared" si="2"/>
        <v>0</v>
      </c>
      <c r="U41" s="149">
        <f t="shared" si="3"/>
        <v>0</v>
      </c>
      <c r="V41" s="149">
        <f t="shared" si="4"/>
        <v>0</v>
      </c>
      <c r="W41" s="149">
        <f t="shared" si="5"/>
        <v>0</v>
      </c>
      <c r="X41" s="149">
        <f t="shared" si="1"/>
        <v>0</v>
      </c>
      <c r="Y41" s="149">
        <f t="shared" si="6"/>
        <v>0</v>
      </c>
      <c r="Z41" s="149">
        <f t="shared" si="7"/>
        <v>0</v>
      </c>
      <c r="AA41" s="149">
        <f t="shared" si="8"/>
        <v>0</v>
      </c>
      <c r="AB41" s="149">
        <f t="shared" si="9"/>
        <v>0</v>
      </c>
      <c r="AC41" s="149">
        <f t="shared" si="10"/>
        <v>0</v>
      </c>
      <c r="AD41" s="149">
        <f t="shared" si="11"/>
        <v>0</v>
      </c>
      <c r="AE41" s="149">
        <f t="shared" si="12"/>
        <v>0</v>
      </c>
    </row>
    <row r="42" spans="1:31" ht="11.25" customHeight="1" x14ac:dyDescent="0.2">
      <c r="A42" s="115"/>
      <c r="B42" s="5"/>
      <c r="C42" s="307" t="s">
        <v>246</v>
      </c>
      <c r="D42" s="118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>
        <f t="shared" si="16"/>
        <v>0</v>
      </c>
      <c r="R42" s="137" t="s">
        <v>208</v>
      </c>
      <c r="T42" s="149">
        <f t="shared" si="2"/>
        <v>0</v>
      </c>
      <c r="U42" s="149">
        <f t="shared" si="3"/>
        <v>0</v>
      </c>
      <c r="V42" s="149">
        <f t="shared" si="4"/>
        <v>0</v>
      </c>
      <c r="W42" s="149">
        <f t="shared" si="5"/>
        <v>0</v>
      </c>
      <c r="X42" s="149">
        <f t="shared" si="1"/>
        <v>0</v>
      </c>
      <c r="Y42" s="149">
        <f t="shared" si="6"/>
        <v>0</v>
      </c>
      <c r="Z42" s="149">
        <f t="shared" si="7"/>
        <v>0</v>
      </c>
      <c r="AA42" s="149">
        <f t="shared" si="8"/>
        <v>0</v>
      </c>
      <c r="AB42" s="149">
        <f t="shared" si="9"/>
        <v>0</v>
      </c>
      <c r="AC42" s="149">
        <f t="shared" si="10"/>
        <v>0</v>
      </c>
      <c r="AD42" s="149">
        <f t="shared" si="11"/>
        <v>0</v>
      </c>
      <c r="AE42" s="149">
        <f t="shared" si="12"/>
        <v>0</v>
      </c>
    </row>
    <row r="43" spans="1:31" ht="11.25" customHeight="1" x14ac:dyDescent="0.2">
      <c r="A43" s="115"/>
      <c r="B43" s="5"/>
      <c r="C43" s="307" t="s">
        <v>511</v>
      </c>
      <c r="D43" s="118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>
        <f t="shared" si="16"/>
        <v>0</v>
      </c>
      <c r="R43" s="137"/>
      <c r="T43" s="149">
        <f t="shared" si="2"/>
        <v>0</v>
      </c>
      <c r="U43" s="149">
        <f t="shared" si="3"/>
        <v>0</v>
      </c>
      <c r="V43" s="149">
        <f t="shared" si="4"/>
        <v>0</v>
      </c>
      <c r="W43" s="149">
        <f t="shared" si="5"/>
        <v>0</v>
      </c>
      <c r="X43" s="149">
        <f t="shared" ref="X43:X74" si="21">SUM(E43:I43)</f>
        <v>0</v>
      </c>
      <c r="Y43" s="149">
        <f t="shared" si="6"/>
        <v>0</v>
      </c>
      <c r="Z43" s="149">
        <f t="shared" si="7"/>
        <v>0</v>
      </c>
      <c r="AA43" s="149">
        <f t="shared" si="8"/>
        <v>0</v>
      </c>
      <c r="AB43" s="149">
        <f t="shared" si="9"/>
        <v>0</v>
      </c>
      <c r="AC43" s="149">
        <f t="shared" si="10"/>
        <v>0</v>
      </c>
      <c r="AD43" s="149">
        <f t="shared" si="11"/>
        <v>0</v>
      </c>
      <c r="AE43" s="149">
        <f t="shared" si="12"/>
        <v>0</v>
      </c>
    </row>
    <row r="44" spans="1:31" ht="11.25" customHeight="1" x14ac:dyDescent="0.2">
      <c r="A44" s="115" t="s">
        <v>247</v>
      </c>
      <c r="B44" s="116" t="s">
        <v>512</v>
      </c>
      <c r="C44" s="117"/>
      <c r="D44" s="118"/>
      <c r="E44" s="122">
        <f>SUM(E45:E49)</f>
        <v>0</v>
      </c>
      <c r="F44" s="122">
        <f t="shared" ref="F44:P44" si="22">SUM(F45:F49)</f>
        <v>0</v>
      </c>
      <c r="G44" s="122">
        <f t="shared" si="22"/>
        <v>0</v>
      </c>
      <c r="H44" s="122">
        <f t="shared" si="22"/>
        <v>0</v>
      </c>
      <c r="I44" s="122">
        <f t="shared" si="22"/>
        <v>0</v>
      </c>
      <c r="J44" s="122">
        <f t="shared" si="22"/>
        <v>0</v>
      </c>
      <c r="K44" s="122">
        <f t="shared" si="22"/>
        <v>0</v>
      </c>
      <c r="L44" s="122">
        <f t="shared" si="22"/>
        <v>0</v>
      </c>
      <c r="M44" s="122">
        <f t="shared" si="22"/>
        <v>0</v>
      </c>
      <c r="N44" s="122">
        <f t="shared" si="22"/>
        <v>0</v>
      </c>
      <c r="O44" s="122">
        <f t="shared" si="22"/>
        <v>0</v>
      </c>
      <c r="P44" s="122">
        <f t="shared" si="22"/>
        <v>0</v>
      </c>
      <c r="Q44" s="113">
        <f t="shared" si="16"/>
        <v>0</v>
      </c>
      <c r="R44" s="137"/>
      <c r="T44" s="149">
        <f t="shared" si="2"/>
        <v>0</v>
      </c>
      <c r="U44" s="149">
        <f t="shared" si="3"/>
        <v>0</v>
      </c>
      <c r="V44" s="149">
        <f t="shared" si="4"/>
        <v>0</v>
      </c>
      <c r="W44" s="149">
        <f t="shared" si="5"/>
        <v>0</v>
      </c>
      <c r="X44" s="149">
        <f t="shared" si="21"/>
        <v>0</v>
      </c>
      <c r="Y44" s="149">
        <f t="shared" si="6"/>
        <v>0</v>
      </c>
      <c r="Z44" s="149">
        <f t="shared" si="7"/>
        <v>0</v>
      </c>
      <c r="AA44" s="149">
        <f t="shared" si="8"/>
        <v>0</v>
      </c>
      <c r="AB44" s="149">
        <f t="shared" si="9"/>
        <v>0</v>
      </c>
      <c r="AC44" s="149">
        <f t="shared" si="10"/>
        <v>0</v>
      </c>
      <c r="AD44" s="149">
        <f t="shared" si="11"/>
        <v>0</v>
      </c>
      <c r="AE44" s="149">
        <f t="shared" si="12"/>
        <v>0</v>
      </c>
    </row>
    <row r="45" spans="1:31" ht="11.25" customHeight="1" x14ac:dyDescent="0.2">
      <c r="A45" s="115"/>
      <c r="B45" s="116"/>
      <c r="C45" s="117" t="s">
        <v>513</v>
      </c>
      <c r="D45" s="118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>
        <f t="shared" si="16"/>
        <v>0</v>
      </c>
      <c r="R45" s="137"/>
      <c r="T45" s="149">
        <f t="shared" si="2"/>
        <v>0</v>
      </c>
      <c r="U45" s="149">
        <f t="shared" si="3"/>
        <v>0</v>
      </c>
      <c r="V45" s="149">
        <f t="shared" si="4"/>
        <v>0</v>
      </c>
      <c r="W45" s="149">
        <f t="shared" si="5"/>
        <v>0</v>
      </c>
      <c r="X45" s="149">
        <f t="shared" si="21"/>
        <v>0</v>
      </c>
      <c r="Y45" s="149">
        <f t="shared" si="6"/>
        <v>0</v>
      </c>
      <c r="Z45" s="149">
        <f t="shared" si="7"/>
        <v>0</v>
      </c>
      <c r="AA45" s="149">
        <f t="shared" si="8"/>
        <v>0</v>
      </c>
      <c r="AB45" s="149">
        <f t="shared" si="9"/>
        <v>0</v>
      </c>
      <c r="AC45" s="149">
        <f t="shared" si="10"/>
        <v>0</v>
      </c>
      <c r="AD45" s="149">
        <f t="shared" si="11"/>
        <v>0</v>
      </c>
      <c r="AE45" s="149">
        <f t="shared" si="12"/>
        <v>0</v>
      </c>
    </row>
    <row r="46" spans="1:31" ht="11.25" customHeight="1" x14ac:dyDescent="0.2">
      <c r="A46" s="115"/>
      <c r="B46" s="116"/>
      <c r="C46" s="117" t="s">
        <v>514</v>
      </c>
      <c r="D46" s="118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>
        <f t="shared" si="16"/>
        <v>0</v>
      </c>
      <c r="R46" s="137"/>
      <c r="T46" s="149">
        <f>E46</f>
        <v>0</v>
      </c>
      <c r="U46" s="149">
        <f t="shared" si="3"/>
        <v>0</v>
      </c>
      <c r="V46" s="149">
        <f t="shared" si="4"/>
        <v>0</v>
      </c>
      <c r="W46" s="149">
        <f t="shared" si="5"/>
        <v>0</v>
      </c>
      <c r="X46" s="149">
        <f t="shared" si="21"/>
        <v>0</v>
      </c>
      <c r="Y46" s="149">
        <f t="shared" si="6"/>
        <v>0</v>
      </c>
      <c r="Z46" s="149">
        <f t="shared" si="7"/>
        <v>0</v>
      </c>
      <c r="AA46" s="149">
        <f t="shared" si="8"/>
        <v>0</v>
      </c>
      <c r="AB46" s="149">
        <f t="shared" si="9"/>
        <v>0</v>
      </c>
      <c r="AC46" s="149">
        <f t="shared" si="10"/>
        <v>0</v>
      </c>
      <c r="AD46" s="149">
        <f t="shared" si="11"/>
        <v>0</v>
      </c>
      <c r="AE46" s="149">
        <f t="shared" si="12"/>
        <v>0</v>
      </c>
    </row>
    <row r="47" spans="1:31" ht="11.25" customHeight="1" x14ac:dyDescent="0.2">
      <c r="A47" s="115"/>
      <c r="B47" s="116"/>
      <c r="C47" s="117" t="s">
        <v>515</v>
      </c>
      <c r="D47" s="118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>
        <f t="shared" si="16"/>
        <v>0</v>
      </c>
      <c r="R47" s="137"/>
      <c r="T47" s="149">
        <f t="shared" si="2"/>
        <v>0</v>
      </c>
      <c r="U47" s="149">
        <f t="shared" si="3"/>
        <v>0</v>
      </c>
      <c r="V47" s="149">
        <f t="shared" si="4"/>
        <v>0</v>
      </c>
      <c r="W47" s="149">
        <f t="shared" si="5"/>
        <v>0</v>
      </c>
      <c r="X47" s="149">
        <f t="shared" si="21"/>
        <v>0</v>
      </c>
      <c r="Y47" s="149">
        <f t="shared" si="6"/>
        <v>0</v>
      </c>
      <c r="Z47" s="149">
        <f t="shared" si="7"/>
        <v>0</v>
      </c>
      <c r="AA47" s="149">
        <f t="shared" si="8"/>
        <v>0</v>
      </c>
      <c r="AB47" s="149">
        <f t="shared" si="9"/>
        <v>0</v>
      </c>
      <c r="AC47" s="149">
        <f t="shared" si="10"/>
        <v>0</v>
      </c>
      <c r="AD47" s="149">
        <f t="shared" si="11"/>
        <v>0</v>
      </c>
      <c r="AE47" s="149">
        <f t="shared" si="12"/>
        <v>0</v>
      </c>
    </row>
    <row r="48" spans="1:31" ht="11.25" customHeight="1" x14ac:dyDescent="0.2">
      <c r="A48" s="115"/>
      <c r="B48" s="116"/>
      <c r="C48" s="117" t="s">
        <v>516</v>
      </c>
      <c r="D48" s="118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>
        <f t="shared" si="16"/>
        <v>0</v>
      </c>
      <c r="R48" s="137"/>
      <c r="T48" s="149">
        <f t="shared" si="2"/>
        <v>0</v>
      </c>
      <c r="U48" s="149">
        <f t="shared" si="3"/>
        <v>0</v>
      </c>
      <c r="V48" s="149">
        <f t="shared" si="4"/>
        <v>0</v>
      </c>
      <c r="W48" s="149">
        <f t="shared" si="5"/>
        <v>0</v>
      </c>
      <c r="X48" s="149">
        <f t="shared" si="21"/>
        <v>0</v>
      </c>
      <c r="Y48" s="149">
        <f t="shared" si="6"/>
        <v>0</v>
      </c>
      <c r="Z48" s="149">
        <f t="shared" si="7"/>
        <v>0</v>
      </c>
      <c r="AA48" s="149">
        <f t="shared" si="8"/>
        <v>0</v>
      </c>
      <c r="AB48" s="149">
        <f t="shared" si="9"/>
        <v>0</v>
      </c>
      <c r="AC48" s="149">
        <f t="shared" si="10"/>
        <v>0</v>
      </c>
      <c r="AD48" s="149">
        <f t="shared" si="11"/>
        <v>0</v>
      </c>
      <c r="AE48" s="149">
        <f t="shared" si="12"/>
        <v>0</v>
      </c>
    </row>
    <row r="49" spans="1:31" ht="11.25" customHeight="1" x14ac:dyDescent="0.2">
      <c r="A49" s="115"/>
      <c r="B49" s="116"/>
      <c r="C49" s="117" t="s">
        <v>517</v>
      </c>
      <c r="D49" s="118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>
        <f t="shared" si="16"/>
        <v>0</v>
      </c>
      <c r="R49" s="137"/>
      <c r="T49" s="149">
        <f t="shared" si="2"/>
        <v>0</v>
      </c>
      <c r="U49" s="149">
        <f>SUM(E49:F49)</f>
        <v>0</v>
      </c>
      <c r="V49" s="149">
        <f t="shared" si="4"/>
        <v>0</v>
      </c>
      <c r="W49" s="149">
        <f>SUM(E49:H49)</f>
        <v>0</v>
      </c>
      <c r="X49" s="149">
        <f t="shared" si="21"/>
        <v>0</v>
      </c>
      <c r="Y49" s="149">
        <f t="shared" si="6"/>
        <v>0</v>
      </c>
      <c r="Z49" s="149">
        <f t="shared" si="7"/>
        <v>0</v>
      </c>
      <c r="AA49" s="149">
        <f t="shared" si="8"/>
        <v>0</v>
      </c>
      <c r="AB49" s="149">
        <f t="shared" si="9"/>
        <v>0</v>
      </c>
      <c r="AC49" s="149">
        <f t="shared" si="10"/>
        <v>0</v>
      </c>
      <c r="AD49" s="149">
        <f t="shared" si="11"/>
        <v>0</v>
      </c>
      <c r="AE49" s="149">
        <f t="shared" si="12"/>
        <v>0</v>
      </c>
    </row>
    <row r="50" spans="1:31" ht="11.25" customHeight="1" x14ac:dyDescent="0.2">
      <c r="A50" s="115" t="s">
        <v>418</v>
      </c>
      <c r="B50" s="116" t="s">
        <v>485</v>
      </c>
      <c r="C50" s="117"/>
      <c r="D50" s="118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>
        <f t="shared" si="16"/>
        <v>0</v>
      </c>
      <c r="R50" s="137"/>
      <c r="T50" s="149">
        <f t="shared" si="2"/>
        <v>0</v>
      </c>
      <c r="U50" s="149">
        <f t="shared" si="3"/>
        <v>0</v>
      </c>
      <c r="V50" s="149">
        <f t="shared" si="4"/>
        <v>0</v>
      </c>
      <c r="W50" s="149">
        <f t="shared" si="5"/>
        <v>0</v>
      </c>
      <c r="X50" s="149">
        <f t="shared" si="21"/>
        <v>0</v>
      </c>
      <c r="Y50" s="149">
        <f t="shared" si="6"/>
        <v>0</v>
      </c>
      <c r="Z50" s="149">
        <f t="shared" si="7"/>
        <v>0</v>
      </c>
      <c r="AA50" s="149">
        <f t="shared" si="8"/>
        <v>0</v>
      </c>
      <c r="AB50" s="149">
        <f t="shared" si="9"/>
        <v>0</v>
      </c>
      <c r="AC50" s="149">
        <f t="shared" si="10"/>
        <v>0</v>
      </c>
      <c r="AD50" s="149">
        <f t="shared" si="11"/>
        <v>0</v>
      </c>
      <c r="AE50" s="149">
        <f t="shared" si="12"/>
        <v>0</v>
      </c>
    </row>
    <row r="51" spans="1:31" ht="11.25" customHeight="1" x14ac:dyDescent="0.2">
      <c r="A51" s="115" t="s">
        <v>518</v>
      </c>
      <c r="B51" s="116" t="s">
        <v>486</v>
      </c>
      <c r="C51" s="117"/>
      <c r="D51" s="118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>
        <f t="shared" si="16"/>
        <v>0</v>
      </c>
      <c r="R51" s="137"/>
      <c r="T51" s="149">
        <f t="shared" si="2"/>
        <v>0</v>
      </c>
      <c r="U51" s="149">
        <f t="shared" si="3"/>
        <v>0</v>
      </c>
      <c r="V51" s="149">
        <f t="shared" si="4"/>
        <v>0</v>
      </c>
      <c r="W51" s="149">
        <f t="shared" si="5"/>
        <v>0</v>
      </c>
      <c r="X51" s="149">
        <f t="shared" si="21"/>
        <v>0</v>
      </c>
      <c r="Y51" s="149">
        <f t="shared" si="6"/>
        <v>0</v>
      </c>
      <c r="Z51" s="149">
        <f t="shared" si="7"/>
        <v>0</v>
      </c>
      <c r="AA51" s="149">
        <f t="shared" si="8"/>
        <v>0</v>
      </c>
      <c r="AB51" s="149">
        <f t="shared" si="9"/>
        <v>0</v>
      </c>
      <c r="AC51" s="149">
        <f t="shared" si="10"/>
        <v>0</v>
      </c>
      <c r="AD51" s="149">
        <f t="shared" si="11"/>
        <v>0</v>
      </c>
      <c r="AE51" s="149">
        <f t="shared" si="12"/>
        <v>0</v>
      </c>
    </row>
    <row r="52" spans="1:31" ht="11.25" customHeight="1" x14ac:dyDescent="0.2">
      <c r="A52" s="115" t="s">
        <v>519</v>
      </c>
      <c r="B52" s="116" t="s">
        <v>520</v>
      </c>
      <c r="C52" s="117"/>
      <c r="D52" s="118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>
        <f t="shared" si="16"/>
        <v>0</v>
      </c>
      <c r="R52" s="137"/>
      <c r="T52" s="149">
        <f t="shared" si="2"/>
        <v>0</v>
      </c>
      <c r="U52" s="149">
        <f t="shared" si="3"/>
        <v>0</v>
      </c>
      <c r="V52" s="149">
        <f t="shared" si="4"/>
        <v>0</v>
      </c>
      <c r="W52" s="149">
        <f t="shared" si="5"/>
        <v>0</v>
      </c>
      <c r="X52" s="149">
        <f t="shared" si="21"/>
        <v>0</v>
      </c>
      <c r="Y52" s="149">
        <f t="shared" si="6"/>
        <v>0</v>
      </c>
      <c r="Z52" s="149">
        <f t="shared" si="7"/>
        <v>0</v>
      </c>
      <c r="AA52" s="149">
        <f t="shared" si="8"/>
        <v>0</v>
      </c>
      <c r="AB52" s="149">
        <f t="shared" si="9"/>
        <v>0</v>
      </c>
      <c r="AC52" s="149">
        <f t="shared" si="10"/>
        <v>0</v>
      </c>
      <c r="AD52" s="149">
        <f t="shared" si="11"/>
        <v>0</v>
      </c>
      <c r="AE52" s="149">
        <f t="shared" si="12"/>
        <v>0</v>
      </c>
    </row>
    <row r="53" spans="1:31" ht="11.25" customHeight="1" x14ac:dyDescent="0.2">
      <c r="A53" s="115" t="s">
        <v>254</v>
      </c>
      <c r="B53" s="116" t="s">
        <v>409</v>
      </c>
      <c r="C53" s="117"/>
      <c r="D53" s="118"/>
      <c r="E53" s="122">
        <f>SUM(E54:E57)</f>
        <v>0</v>
      </c>
      <c r="F53" s="122">
        <f>SUM(F54:F57)</f>
        <v>0</v>
      </c>
      <c r="G53" s="122">
        <f t="shared" ref="G53:P53" si="23">SUM(G54:G57)</f>
        <v>0</v>
      </c>
      <c r="H53" s="122">
        <f t="shared" si="23"/>
        <v>0</v>
      </c>
      <c r="I53" s="122">
        <f t="shared" si="23"/>
        <v>0</v>
      </c>
      <c r="J53" s="122">
        <f t="shared" si="23"/>
        <v>0</v>
      </c>
      <c r="K53" s="122">
        <f t="shared" si="23"/>
        <v>0</v>
      </c>
      <c r="L53" s="122">
        <f t="shared" si="23"/>
        <v>0</v>
      </c>
      <c r="M53" s="122">
        <f t="shared" si="23"/>
        <v>0</v>
      </c>
      <c r="N53" s="122">
        <f t="shared" si="23"/>
        <v>0</v>
      </c>
      <c r="O53" s="122">
        <f t="shared" si="23"/>
        <v>0</v>
      </c>
      <c r="P53" s="122">
        <f t="shared" si="23"/>
        <v>0</v>
      </c>
      <c r="Q53" s="122">
        <f t="shared" si="16"/>
        <v>0</v>
      </c>
      <c r="R53" s="427"/>
      <c r="T53" s="149">
        <f t="shared" si="2"/>
        <v>0</v>
      </c>
      <c r="U53" s="149">
        <f t="shared" si="3"/>
        <v>0</v>
      </c>
      <c r="V53" s="149">
        <f t="shared" si="4"/>
        <v>0</v>
      </c>
      <c r="W53" s="149">
        <f t="shared" si="5"/>
        <v>0</v>
      </c>
      <c r="X53" s="149">
        <f t="shared" si="21"/>
        <v>0</v>
      </c>
      <c r="Y53" s="149">
        <f t="shared" si="6"/>
        <v>0</v>
      </c>
      <c r="Z53" s="149">
        <f t="shared" si="7"/>
        <v>0</v>
      </c>
      <c r="AA53" s="149">
        <f t="shared" si="8"/>
        <v>0</v>
      </c>
      <c r="AB53" s="149">
        <f t="shared" si="9"/>
        <v>0</v>
      </c>
      <c r="AC53" s="149">
        <f t="shared" si="10"/>
        <v>0</v>
      </c>
      <c r="AD53" s="149">
        <f t="shared" si="11"/>
        <v>0</v>
      </c>
      <c r="AE53" s="149">
        <f t="shared" si="12"/>
        <v>0</v>
      </c>
    </row>
    <row r="54" spans="1:31" ht="11.25" customHeight="1" x14ac:dyDescent="0.2">
      <c r="A54" s="115"/>
      <c r="B54" s="5"/>
      <c r="C54" s="307" t="s">
        <v>157</v>
      </c>
      <c r="D54" s="118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>
        <f t="shared" si="16"/>
        <v>0</v>
      </c>
      <c r="R54" s="137"/>
      <c r="T54" s="149">
        <f t="shared" si="2"/>
        <v>0</v>
      </c>
      <c r="U54" s="149">
        <f t="shared" si="3"/>
        <v>0</v>
      </c>
      <c r="V54" s="149">
        <f t="shared" si="4"/>
        <v>0</v>
      </c>
      <c r="W54" s="149">
        <f t="shared" si="5"/>
        <v>0</v>
      </c>
      <c r="X54" s="149">
        <f t="shared" si="21"/>
        <v>0</v>
      </c>
      <c r="Y54" s="149">
        <f t="shared" si="6"/>
        <v>0</v>
      </c>
      <c r="Z54" s="149">
        <f t="shared" si="7"/>
        <v>0</v>
      </c>
      <c r="AA54" s="149">
        <f t="shared" si="8"/>
        <v>0</v>
      </c>
      <c r="AB54" s="149">
        <f t="shared" si="9"/>
        <v>0</v>
      </c>
      <c r="AC54" s="149">
        <f t="shared" si="10"/>
        <v>0</v>
      </c>
      <c r="AD54" s="149">
        <f t="shared" si="11"/>
        <v>0</v>
      </c>
      <c r="AE54" s="149">
        <f t="shared" si="12"/>
        <v>0</v>
      </c>
    </row>
    <row r="55" spans="1:31" ht="11.25" customHeight="1" x14ac:dyDescent="0.2">
      <c r="A55" s="115"/>
      <c r="B55" s="5"/>
      <c r="C55" s="307" t="s">
        <v>159</v>
      </c>
      <c r="D55" s="118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>
        <f t="shared" si="16"/>
        <v>0</v>
      </c>
      <c r="R55" s="120"/>
      <c r="T55" s="149">
        <f t="shared" si="2"/>
        <v>0</v>
      </c>
      <c r="U55" s="149">
        <f t="shared" si="3"/>
        <v>0</v>
      </c>
      <c r="V55" s="149">
        <f t="shared" si="4"/>
        <v>0</v>
      </c>
      <c r="W55" s="149">
        <f t="shared" si="5"/>
        <v>0</v>
      </c>
      <c r="X55" s="149">
        <f t="shared" si="21"/>
        <v>0</v>
      </c>
      <c r="Y55" s="149">
        <f t="shared" si="6"/>
        <v>0</v>
      </c>
      <c r="Z55" s="149">
        <f t="shared" si="7"/>
        <v>0</v>
      </c>
      <c r="AA55" s="149">
        <f t="shared" si="8"/>
        <v>0</v>
      </c>
      <c r="AB55" s="149">
        <f t="shared" si="9"/>
        <v>0</v>
      </c>
      <c r="AC55" s="149">
        <f t="shared" si="10"/>
        <v>0</v>
      </c>
      <c r="AD55" s="149">
        <f t="shared" si="11"/>
        <v>0</v>
      </c>
      <c r="AE55" s="149">
        <f t="shared" si="12"/>
        <v>0</v>
      </c>
    </row>
    <row r="56" spans="1:31" ht="11.25" customHeight="1" x14ac:dyDescent="0.2">
      <c r="A56" s="115"/>
      <c r="B56" s="5"/>
      <c r="C56" s="307" t="s">
        <v>158</v>
      </c>
      <c r="D56" s="139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>
        <f t="shared" si="16"/>
        <v>0</v>
      </c>
      <c r="R56" s="137"/>
      <c r="T56" s="149">
        <f t="shared" si="2"/>
        <v>0</v>
      </c>
      <c r="U56" s="149">
        <f t="shared" si="3"/>
        <v>0</v>
      </c>
      <c r="V56" s="149">
        <f t="shared" si="4"/>
        <v>0</v>
      </c>
      <c r="W56" s="149">
        <f t="shared" si="5"/>
        <v>0</v>
      </c>
      <c r="X56" s="149">
        <f t="shared" si="21"/>
        <v>0</v>
      </c>
      <c r="Y56" s="149">
        <f t="shared" si="6"/>
        <v>0</v>
      </c>
      <c r="Z56" s="149">
        <f t="shared" si="7"/>
        <v>0</v>
      </c>
      <c r="AA56" s="149">
        <f t="shared" si="8"/>
        <v>0</v>
      </c>
      <c r="AB56" s="149">
        <f t="shared" si="9"/>
        <v>0</v>
      </c>
      <c r="AC56" s="149">
        <f t="shared" si="10"/>
        <v>0</v>
      </c>
      <c r="AD56" s="149">
        <f t="shared" si="11"/>
        <v>0</v>
      </c>
      <c r="AE56" s="149">
        <f t="shared" si="12"/>
        <v>0</v>
      </c>
    </row>
    <row r="57" spans="1:31" ht="11.25" customHeight="1" x14ac:dyDescent="0.2">
      <c r="A57" s="115"/>
      <c r="B57" s="5"/>
      <c r="C57" s="307" t="s">
        <v>479</v>
      </c>
      <c r="D57" s="139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>
        <f t="shared" si="16"/>
        <v>0</v>
      </c>
      <c r="R57" s="137"/>
      <c r="T57" s="149">
        <f t="shared" si="2"/>
        <v>0</v>
      </c>
      <c r="U57" s="149">
        <f t="shared" si="3"/>
        <v>0</v>
      </c>
      <c r="V57" s="149">
        <f t="shared" si="4"/>
        <v>0</v>
      </c>
      <c r="W57" s="149">
        <f t="shared" si="5"/>
        <v>0</v>
      </c>
      <c r="X57" s="149">
        <f t="shared" si="21"/>
        <v>0</v>
      </c>
      <c r="Y57" s="149">
        <f t="shared" si="6"/>
        <v>0</v>
      </c>
      <c r="Z57" s="149">
        <f t="shared" si="7"/>
        <v>0</v>
      </c>
      <c r="AA57" s="149">
        <f t="shared" si="8"/>
        <v>0</v>
      </c>
      <c r="AB57" s="149">
        <f t="shared" si="9"/>
        <v>0</v>
      </c>
      <c r="AC57" s="149">
        <f t="shared" si="10"/>
        <v>0</v>
      </c>
      <c r="AD57" s="149">
        <f t="shared" si="11"/>
        <v>0</v>
      </c>
      <c r="AE57" s="149">
        <f t="shared" si="12"/>
        <v>0</v>
      </c>
    </row>
    <row r="58" spans="1:31" ht="11.25" customHeight="1" x14ac:dyDescent="0.2">
      <c r="A58" s="115" t="s">
        <v>256</v>
      </c>
      <c r="B58" s="116" t="s">
        <v>419</v>
      </c>
      <c r="C58" s="135"/>
      <c r="D58" s="136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>
        <f t="shared" ref="Q58:Q59" si="24">SUM(E58:P58)</f>
        <v>0</v>
      </c>
      <c r="R58" s="114" t="s">
        <v>217</v>
      </c>
      <c r="T58" s="149">
        <f t="shared" si="2"/>
        <v>0</v>
      </c>
      <c r="U58" s="149">
        <f t="shared" si="3"/>
        <v>0</v>
      </c>
      <c r="V58" s="149">
        <f t="shared" si="4"/>
        <v>0</v>
      </c>
      <c r="W58" s="149">
        <f t="shared" si="5"/>
        <v>0</v>
      </c>
      <c r="X58" s="149">
        <f t="shared" si="21"/>
        <v>0</v>
      </c>
      <c r="Y58" s="149">
        <f t="shared" si="6"/>
        <v>0</v>
      </c>
      <c r="Z58" s="149">
        <f t="shared" si="7"/>
        <v>0</v>
      </c>
      <c r="AA58" s="149">
        <f t="shared" si="8"/>
        <v>0</v>
      </c>
      <c r="AB58" s="149">
        <f t="shared" si="9"/>
        <v>0</v>
      </c>
      <c r="AC58" s="149">
        <f t="shared" si="10"/>
        <v>0</v>
      </c>
      <c r="AD58" s="149">
        <f t="shared" si="11"/>
        <v>0</v>
      </c>
      <c r="AE58" s="149">
        <f t="shared" si="12"/>
        <v>0</v>
      </c>
    </row>
    <row r="59" spans="1:31" ht="11.25" customHeight="1" x14ac:dyDescent="0.2">
      <c r="A59" s="115" t="s">
        <v>521</v>
      </c>
      <c r="B59" s="116" t="s">
        <v>408</v>
      </c>
      <c r="C59" s="135"/>
      <c r="D59" s="136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>
        <f t="shared" si="24"/>
        <v>0</v>
      </c>
      <c r="R59" s="137" t="s">
        <v>220</v>
      </c>
      <c r="T59" s="149">
        <f t="shared" si="2"/>
        <v>0</v>
      </c>
      <c r="U59" s="149">
        <f t="shared" si="3"/>
        <v>0</v>
      </c>
      <c r="V59" s="149">
        <f t="shared" si="4"/>
        <v>0</v>
      </c>
      <c r="W59" s="149">
        <f t="shared" si="5"/>
        <v>0</v>
      </c>
      <c r="X59" s="149">
        <f t="shared" si="21"/>
        <v>0</v>
      </c>
      <c r="Y59" s="149">
        <f t="shared" si="6"/>
        <v>0</v>
      </c>
      <c r="Z59" s="149">
        <f t="shared" si="7"/>
        <v>0</v>
      </c>
      <c r="AA59" s="149">
        <f t="shared" si="8"/>
        <v>0</v>
      </c>
      <c r="AB59" s="149">
        <f t="shared" si="9"/>
        <v>0</v>
      </c>
      <c r="AC59" s="149">
        <f t="shared" si="10"/>
        <v>0</v>
      </c>
      <c r="AD59" s="149">
        <f t="shared" si="11"/>
        <v>0</v>
      </c>
      <c r="AE59" s="149">
        <f t="shared" si="12"/>
        <v>0</v>
      </c>
    </row>
    <row r="60" spans="1:31" ht="11.25" customHeight="1" x14ac:dyDescent="0.2">
      <c r="A60" s="123"/>
      <c r="B60" s="485" t="s">
        <v>522</v>
      </c>
      <c r="C60" s="486"/>
      <c r="D60" s="487"/>
      <c r="E60" s="124">
        <f>E37+E44+E50+E51+E52+E53+E58+E59</f>
        <v>0</v>
      </c>
      <c r="F60" s="124">
        <f t="shared" ref="F60:P60" si="25">F37+F44+F50+F51+F52+F53+F58+F59</f>
        <v>0</v>
      </c>
      <c r="G60" s="124">
        <f t="shared" si="25"/>
        <v>0</v>
      </c>
      <c r="H60" s="124">
        <f t="shared" si="25"/>
        <v>0</v>
      </c>
      <c r="I60" s="124">
        <f t="shared" si="25"/>
        <v>0</v>
      </c>
      <c r="J60" s="124">
        <f t="shared" si="25"/>
        <v>0</v>
      </c>
      <c r="K60" s="124">
        <f t="shared" si="25"/>
        <v>0</v>
      </c>
      <c r="L60" s="124">
        <f t="shared" si="25"/>
        <v>0</v>
      </c>
      <c r="M60" s="124">
        <f t="shared" si="25"/>
        <v>0</v>
      </c>
      <c r="N60" s="124">
        <f t="shared" si="25"/>
        <v>0</v>
      </c>
      <c r="O60" s="124">
        <f t="shared" si="25"/>
        <v>0</v>
      </c>
      <c r="P60" s="124">
        <f t="shared" si="25"/>
        <v>0</v>
      </c>
      <c r="Q60" s="124">
        <f>SUM(E60:P60)</f>
        <v>0</v>
      </c>
      <c r="R60" s="133"/>
      <c r="T60" s="431">
        <f>E60</f>
        <v>0</v>
      </c>
      <c r="U60" s="431">
        <f>SUM(E60:F60)</f>
        <v>0</v>
      </c>
      <c r="V60" s="431">
        <f t="shared" si="4"/>
        <v>0</v>
      </c>
      <c r="W60" s="431">
        <f t="shared" si="5"/>
        <v>0</v>
      </c>
      <c r="X60" s="431">
        <f t="shared" si="21"/>
        <v>0</v>
      </c>
      <c r="Y60" s="431">
        <f t="shared" si="6"/>
        <v>0</v>
      </c>
      <c r="Z60" s="431">
        <f t="shared" si="7"/>
        <v>0</v>
      </c>
      <c r="AA60" s="431">
        <f t="shared" si="8"/>
        <v>0</v>
      </c>
      <c r="AB60" s="431">
        <f t="shared" si="9"/>
        <v>0</v>
      </c>
      <c r="AC60" s="431">
        <f t="shared" si="10"/>
        <v>0</v>
      </c>
      <c r="AD60" s="431">
        <f t="shared" si="11"/>
        <v>0</v>
      </c>
      <c r="AE60" s="431">
        <f t="shared" si="12"/>
        <v>0</v>
      </c>
    </row>
    <row r="61" spans="1:31" ht="11.25" customHeight="1" x14ac:dyDescent="0.2">
      <c r="A61" s="115" t="s">
        <v>523</v>
      </c>
      <c r="B61" s="116" t="s">
        <v>524</v>
      </c>
      <c r="C61" s="117"/>
      <c r="D61" s="118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37"/>
      <c r="T61" s="149">
        <f>E61</f>
        <v>0</v>
      </c>
      <c r="U61" s="149">
        <f t="shared" si="3"/>
        <v>0</v>
      </c>
      <c r="V61" s="149">
        <f t="shared" si="4"/>
        <v>0</v>
      </c>
      <c r="W61" s="149">
        <f t="shared" si="5"/>
        <v>0</v>
      </c>
      <c r="X61" s="149">
        <f t="shared" si="21"/>
        <v>0</v>
      </c>
      <c r="Y61" s="149">
        <f t="shared" si="6"/>
        <v>0</v>
      </c>
      <c r="Z61" s="149">
        <f t="shared" si="7"/>
        <v>0</v>
      </c>
      <c r="AA61" s="149">
        <f t="shared" si="8"/>
        <v>0</v>
      </c>
      <c r="AB61" s="149">
        <f t="shared" si="9"/>
        <v>0</v>
      </c>
      <c r="AC61" s="149">
        <f t="shared" si="10"/>
        <v>0</v>
      </c>
      <c r="AD61" s="149">
        <f t="shared" si="11"/>
        <v>0</v>
      </c>
      <c r="AE61" s="149">
        <f t="shared" si="12"/>
        <v>0</v>
      </c>
    </row>
    <row r="62" spans="1:31" ht="11.25" customHeight="1" x14ac:dyDescent="0.2">
      <c r="A62" s="115" t="s">
        <v>525</v>
      </c>
      <c r="B62" s="116" t="s">
        <v>255</v>
      </c>
      <c r="C62" s="117"/>
      <c r="D62" s="118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37"/>
      <c r="T62" s="149">
        <f t="shared" si="2"/>
        <v>0</v>
      </c>
      <c r="U62" s="149">
        <f t="shared" si="3"/>
        <v>0</v>
      </c>
      <c r="V62" s="149">
        <f t="shared" si="4"/>
        <v>0</v>
      </c>
      <c r="W62" s="149">
        <f t="shared" si="5"/>
        <v>0</v>
      </c>
      <c r="X62" s="149">
        <f t="shared" si="21"/>
        <v>0</v>
      </c>
      <c r="Y62" s="149">
        <f t="shared" si="6"/>
        <v>0</v>
      </c>
      <c r="Z62" s="149">
        <f t="shared" si="7"/>
        <v>0</v>
      </c>
      <c r="AA62" s="149">
        <f t="shared" si="8"/>
        <v>0</v>
      </c>
      <c r="AB62" s="149">
        <f t="shared" si="9"/>
        <v>0</v>
      </c>
      <c r="AC62" s="149">
        <f t="shared" si="10"/>
        <v>0</v>
      </c>
      <c r="AD62" s="149">
        <f t="shared" si="11"/>
        <v>0</v>
      </c>
      <c r="AE62" s="149">
        <f t="shared" si="12"/>
        <v>0</v>
      </c>
    </row>
    <row r="63" spans="1:31" ht="11.25" customHeight="1" x14ac:dyDescent="0.2">
      <c r="A63" s="115" t="s">
        <v>526</v>
      </c>
      <c r="B63" s="116" t="s">
        <v>257</v>
      </c>
      <c r="C63" s="138"/>
      <c r="D63" s="139"/>
      <c r="E63" s="122"/>
      <c r="F63" s="122"/>
      <c r="G63" s="113"/>
      <c r="H63" s="122"/>
      <c r="I63" s="122"/>
      <c r="J63" s="113"/>
      <c r="K63" s="113"/>
      <c r="L63" s="122"/>
      <c r="M63" s="113"/>
      <c r="N63" s="113"/>
      <c r="O63" s="113"/>
      <c r="P63" s="113"/>
      <c r="Q63" s="113">
        <f t="shared" ref="Q63:Q64" si="26">SUM(E63:P63)</f>
        <v>0</v>
      </c>
      <c r="R63" s="137"/>
      <c r="T63" s="149">
        <f t="shared" si="2"/>
        <v>0</v>
      </c>
      <c r="U63" s="149">
        <f t="shared" si="3"/>
        <v>0</v>
      </c>
      <c r="V63" s="149">
        <f t="shared" si="4"/>
        <v>0</v>
      </c>
      <c r="W63" s="149">
        <f t="shared" si="5"/>
        <v>0</v>
      </c>
      <c r="X63" s="149">
        <f t="shared" si="21"/>
        <v>0</v>
      </c>
      <c r="Y63" s="149">
        <f t="shared" si="6"/>
        <v>0</v>
      </c>
      <c r="Z63" s="149">
        <f t="shared" si="7"/>
        <v>0</v>
      </c>
      <c r="AA63" s="149">
        <f t="shared" si="8"/>
        <v>0</v>
      </c>
      <c r="AB63" s="149">
        <f t="shared" si="9"/>
        <v>0</v>
      </c>
      <c r="AC63" s="149">
        <f t="shared" si="10"/>
        <v>0</v>
      </c>
      <c r="AD63" s="149">
        <f t="shared" si="11"/>
        <v>0</v>
      </c>
      <c r="AE63" s="149">
        <f t="shared" si="12"/>
        <v>0</v>
      </c>
    </row>
    <row r="64" spans="1:31" ht="11.25" customHeight="1" x14ac:dyDescent="0.2">
      <c r="A64" s="115" t="s">
        <v>527</v>
      </c>
      <c r="B64" s="116" t="s">
        <v>259</v>
      </c>
      <c r="C64" s="117"/>
      <c r="D64" s="118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>
        <f t="shared" si="26"/>
        <v>0</v>
      </c>
      <c r="R64" s="137"/>
      <c r="T64" s="149">
        <f t="shared" si="2"/>
        <v>0</v>
      </c>
      <c r="U64" s="149">
        <f t="shared" si="3"/>
        <v>0</v>
      </c>
      <c r="V64" s="149">
        <f t="shared" si="4"/>
        <v>0</v>
      </c>
      <c r="W64" s="149">
        <f>SUM(E64:H64)</f>
        <v>0</v>
      </c>
      <c r="X64" s="149">
        <f t="shared" si="21"/>
        <v>0</v>
      </c>
      <c r="Y64" s="149">
        <f t="shared" si="6"/>
        <v>0</v>
      </c>
      <c r="Z64" s="149">
        <f t="shared" si="7"/>
        <v>0</v>
      </c>
      <c r="AA64" s="149">
        <f t="shared" si="8"/>
        <v>0</v>
      </c>
      <c r="AB64" s="149">
        <f t="shared" si="9"/>
        <v>0</v>
      </c>
      <c r="AC64" s="149">
        <f t="shared" si="10"/>
        <v>0</v>
      </c>
      <c r="AD64" s="149">
        <f t="shared" si="11"/>
        <v>0</v>
      </c>
      <c r="AE64" s="149">
        <f t="shared" si="12"/>
        <v>0</v>
      </c>
    </row>
    <row r="65" spans="1:31" ht="11.25" customHeight="1" x14ac:dyDescent="0.2">
      <c r="A65" s="115" t="s">
        <v>528</v>
      </c>
      <c r="B65" s="116" t="s">
        <v>261</v>
      </c>
      <c r="C65" s="117"/>
      <c r="D65" s="118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>
        <f>SUM(E65:P65)</f>
        <v>0</v>
      </c>
      <c r="R65" s="137"/>
      <c r="T65" s="149">
        <f t="shared" si="2"/>
        <v>0</v>
      </c>
      <c r="U65" s="149">
        <f t="shared" si="3"/>
        <v>0</v>
      </c>
      <c r="V65" s="149">
        <f t="shared" si="4"/>
        <v>0</v>
      </c>
      <c r="W65" s="149">
        <f t="shared" si="5"/>
        <v>0</v>
      </c>
      <c r="X65" s="149">
        <f t="shared" si="21"/>
        <v>0</v>
      </c>
      <c r="Y65" s="149">
        <f t="shared" si="6"/>
        <v>0</v>
      </c>
      <c r="Z65" s="149">
        <f t="shared" si="7"/>
        <v>0</v>
      </c>
      <c r="AA65" s="149">
        <f t="shared" si="8"/>
        <v>0</v>
      </c>
      <c r="AB65" s="149">
        <f t="shared" si="9"/>
        <v>0</v>
      </c>
      <c r="AC65" s="149">
        <f t="shared" si="10"/>
        <v>0</v>
      </c>
      <c r="AD65" s="149">
        <f t="shared" si="11"/>
        <v>0</v>
      </c>
      <c r="AE65" s="149">
        <f t="shared" si="12"/>
        <v>0</v>
      </c>
    </row>
    <row r="66" spans="1:31" ht="11.25" customHeight="1" x14ac:dyDescent="0.2">
      <c r="A66" s="123"/>
      <c r="B66" s="485" t="s">
        <v>529</v>
      </c>
      <c r="C66" s="486"/>
      <c r="D66" s="487"/>
      <c r="E66" s="124">
        <f>SUM(E62:E65)</f>
        <v>0</v>
      </c>
      <c r="F66" s="124">
        <f t="shared" ref="F66:P66" si="27">SUM(F62:F65)</f>
        <v>0</v>
      </c>
      <c r="G66" s="124">
        <f t="shared" si="27"/>
        <v>0</v>
      </c>
      <c r="H66" s="124">
        <f t="shared" si="27"/>
        <v>0</v>
      </c>
      <c r="I66" s="124">
        <f t="shared" si="27"/>
        <v>0</v>
      </c>
      <c r="J66" s="124">
        <f t="shared" si="27"/>
        <v>0</v>
      </c>
      <c r="K66" s="124">
        <f t="shared" si="27"/>
        <v>0</v>
      </c>
      <c r="L66" s="124">
        <f t="shared" si="27"/>
        <v>0</v>
      </c>
      <c r="M66" s="124">
        <f t="shared" si="27"/>
        <v>0</v>
      </c>
      <c r="N66" s="124">
        <f t="shared" si="27"/>
        <v>0</v>
      </c>
      <c r="O66" s="124">
        <f t="shared" si="27"/>
        <v>0</v>
      </c>
      <c r="P66" s="124">
        <f t="shared" si="27"/>
        <v>0</v>
      </c>
      <c r="Q66" s="124">
        <f t="shared" ref="Q66" si="28">SUM(Q63:Q65)</f>
        <v>0</v>
      </c>
      <c r="R66" s="133" t="s">
        <v>226</v>
      </c>
      <c r="T66" s="149">
        <f t="shared" si="2"/>
        <v>0</v>
      </c>
      <c r="U66" s="149">
        <f t="shared" si="3"/>
        <v>0</v>
      </c>
      <c r="V66" s="149">
        <f t="shared" si="4"/>
        <v>0</v>
      </c>
      <c r="W66" s="149">
        <f t="shared" si="5"/>
        <v>0</v>
      </c>
      <c r="X66" s="149">
        <f t="shared" si="21"/>
        <v>0</v>
      </c>
      <c r="Y66" s="149">
        <f t="shared" si="6"/>
        <v>0</v>
      </c>
      <c r="Z66" s="149">
        <f t="shared" si="7"/>
        <v>0</v>
      </c>
      <c r="AA66" s="149">
        <f t="shared" si="8"/>
        <v>0</v>
      </c>
      <c r="AB66" s="149">
        <f t="shared" si="9"/>
        <v>0</v>
      </c>
      <c r="AC66" s="149">
        <f t="shared" si="10"/>
        <v>0</v>
      </c>
      <c r="AD66" s="149">
        <f t="shared" si="11"/>
        <v>0</v>
      </c>
      <c r="AE66" s="149">
        <f t="shared" si="12"/>
        <v>0</v>
      </c>
    </row>
    <row r="67" spans="1:31" ht="11.25" customHeight="1" x14ac:dyDescent="0.2">
      <c r="A67" s="123"/>
      <c r="B67" s="130" t="s">
        <v>240</v>
      </c>
      <c r="C67" s="131"/>
      <c r="D67" s="132"/>
      <c r="E67" s="124">
        <f>E66+E60</f>
        <v>0</v>
      </c>
      <c r="F67" s="124">
        <f t="shared" ref="F67:P67" si="29">F66+F60</f>
        <v>0</v>
      </c>
      <c r="G67" s="124">
        <f t="shared" si="29"/>
        <v>0</v>
      </c>
      <c r="H67" s="124">
        <f t="shared" si="29"/>
        <v>0</v>
      </c>
      <c r="I67" s="124">
        <f t="shared" si="29"/>
        <v>0</v>
      </c>
      <c r="J67" s="124">
        <f t="shared" si="29"/>
        <v>0</v>
      </c>
      <c r="K67" s="124">
        <f t="shared" si="29"/>
        <v>0</v>
      </c>
      <c r="L67" s="124">
        <f t="shared" si="29"/>
        <v>0</v>
      </c>
      <c r="M67" s="124">
        <f t="shared" si="29"/>
        <v>0</v>
      </c>
      <c r="N67" s="124">
        <f t="shared" si="29"/>
        <v>0</v>
      </c>
      <c r="O67" s="124">
        <f>O66+O60</f>
        <v>0</v>
      </c>
      <c r="P67" s="124">
        <f t="shared" si="29"/>
        <v>0</v>
      </c>
      <c r="Q67" s="124">
        <f>SUM(E67:P67)</f>
        <v>0</v>
      </c>
      <c r="R67" s="120"/>
      <c r="T67" s="149">
        <f t="shared" si="2"/>
        <v>0</v>
      </c>
      <c r="U67" s="149">
        <f t="shared" si="3"/>
        <v>0</v>
      </c>
      <c r="V67" s="149">
        <f t="shared" si="4"/>
        <v>0</v>
      </c>
      <c r="W67" s="149">
        <f t="shared" si="5"/>
        <v>0</v>
      </c>
      <c r="X67" s="149">
        <f t="shared" si="21"/>
        <v>0</v>
      </c>
      <c r="Y67" s="149">
        <f t="shared" si="6"/>
        <v>0</v>
      </c>
      <c r="Z67" s="149">
        <f t="shared" si="7"/>
        <v>0</v>
      </c>
      <c r="AA67" s="149">
        <f t="shared" si="8"/>
        <v>0</v>
      </c>
      <c r="AB67" s="149">
        <f t="shared" si="9"/>
        <v>0</v>
      </c>
      <c r="AC67" s="149">
        <f t="shared" si="10"/>
        <v>0</v>
      </c>
      <c r="AD67" s="149">
        <f t="shared" si="11"/>
        <v>0</v>
      </c>
      <c r="AE67" s="149">
        <f t="shared" si="12"/>
        <v>0</v>
      </c>
    </row>
    <row r="68" spans="1:31" ht="11.25" customHeight="1" x14ac:dyDescent="0.2">
      <c r="A68" s="123" t="s">
        <v>530</v>
      </c>
      <c r="B68" s="130" t="s">
        <v>532</v>
      </c>
      <c r="C68" s="141"/>
      <c r="D68" s="142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13">
        <f t="shared" ref="Q68" si="30">SUM(E68:P68)</f>
        <v>0</v>
      </c>
      <c r="R68" s="120" t="s">
        <v>242</v>
      </c>
      <c r="T68" s="149">
        <f t="shared" si="2"/>
        <v>0</v>
      </c>
      <c r="U68" s="149">
        <f t="shared" si="3"/>
        <v>0</v>
      </c>
      <c r="V68" s="149">
        <f t="shared" si="4"/>
        <v>0</v>
      </c>
      <c r="W68" s="149">
        <f t="shared" si="5"/>
        <v>0</v>
      </c>
      <c r="X68" s="149">
        <f t="shared" si="21"/>
        <v>0</v>
      </c>
      <c r="Y68" s="149">
        <f t="shared" si="6"/>
        <v>0</v>
      </c>
      <c r="Z68" s="149">
        <f t="shared" si="7"/>
        <v>0</v>
      </c>
      <c r="AA68" s="149">
        <f t="shared" si="8"/>
        <v>0</v>
      </c>
      <c r="AB68" s="149">
        <f t="shared" si="9"/>
        <v>0</v>
      </c>
      <c r="AC68" s="149">
        <f t="shared" si="10"/>
        <v>0</v>
      </c>
      <c r="AD68" s="149">
        <f t="shared" si="11"/>
        <v>0</v>
      </c>
      <c r="AE68" s="149">
        <f t="shared" si="12"/>
        <v>0</v>
      </c>
    </row>
    <row r="69" spans="1:31" ht="11.25" customHeight="1" x14ac:dyDescent="0.2">
      <c r="A69" s="123"/>
      <c r="B69" s="485" t="s">
        <v>533</v>
      </c>
      <c r="C69" s="486"/>
      <c r="D69" s="487"/>
      <c r="E69" s="124">
        <f>SUM(E67:E68)</f>
        <v>0</v>
      </c>
      <c r="F69" s="124">
        <f t="shared" ref="F69:H69" si="31">SUM(F67:F68)</f>
        <v>0</v>
      </c>
      <c r="G69" s="124">
        <f t="shared" si="31"/>
        <v>0</v>
      </c>
      <c r="H69" s="124">
        <f t="shared" si="31"/>
        <v>0</v>
      </c>
      <c r="I69" s="124">
        <f t="shared" ref="I69:P69" si="32">SUM(I67:I68)</f>
        <v>0</v>
      </c>
      <c r="J69" s="124">
        <f t="shared" si="32"/>
        <v>0</v>
      </c>
      <c r="K69" s="124">
        <f t="shared" si="32"/>
        <v>0</v>
      </c>
      <c r="L69" s="124">
        <f t="shared" si="32"/>
        <v>0</v>
      </c>
      <c r="M69" s="124">
        <f t="shared" si="32"/>
        <v>0</v>
      </c>
      <c r="N69" s="124">
        <f t="shared" si="32"/>
        <v>0</v>
      </c>
      <c r="O69" s="124">
        <f>SUM(O67:O68)</f>
        <v>0</v>
      </c>
      <c r="P69" s="124">
        <f t="shared" si="32"/>
        <v>0</v>
      </c>
      <c r="Q69" s="124">
        <f>SUM(E69:P69)</f>
        <v>0</v>
      </c>
      <c r="R69" s="133"/>
      <c r="T69" s="149">
        <f>E69</f>
        <v>0</v>
      </c>
      <c r="U69" s="149">
        <f>SUM(E69:F69)</f>
        <v>0</v>
      </c>
      <c r="V69" s="149">
        <f t="shared" si="4"/>
        <v>0</v>
      </c>
      <c r="W69" s="149">
        <f t="shared" si="5"/>
        <v>0</v>
      </c>
      <c r="X69" s="149">
        <f t="shared" si="21"/>
        <v>0</v>
      </c>
      <c r="Y69" s="149">
        <f t="shared" si="6"/>
        <v>0</v>
      </c>
      <c r="Z69" s="149">
        <f t="shared" si="7"/>
        <v>0</v>
      </c>
      <c r="AA69" s="149">
        <f t="shared" si="8"/>
        <v>0</v>
      </c>
      <c r="AB69" s="149">
        <f t="shared" si="9"/>
        <v>0</v>
      </c>
      <c r="AC69" s="149">
        <f t="shared" si="10"/>
        <v>0</v>
      </c>
      <c r="AD69" s="149">
        <f t="shared" si="11"/>
        <v>0</v>
      </c>
      <c r="AE69" s="149">
        <f t="shared" si="12"/>
        <v>0</v>
      </c>
    </row>
    <row r="70" spans="1:31" ht="11.25" customHeight="1" x14ac:dyDescent="0.2">
      <c r="A70" s="140"/>
      <c r="B70" s="143"/>
      <c r="C70" s="117"/>
      <c r="D70" s="118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4"/>
      <c r="T70" s="149">
        <f t="shared" si="2"/>
        <v>0</v>
      </c>
      <c r="U70" s="149">
        <f t="shared" si="3"/>
        <v>0</v>
      </c>
      <c r="V70" s="149">
        <f t="shared" si="4"/>
        <v>0</v>
      </c>
      <c r="W70" s="149">
        <f t="shared" si="5"/>
        <v>0</v>
      </c>
      <c r="X70" s="149">
        <f t="shared" si="21"/>
        <v>0</v>
      </c>
      <c r="Y70" s="149">
        <f t="shared" si="6"/>
        <v>0</v>
      </c>
      <c r="Z70" s="149">
        <f t="shared" si="7"/>
        <v>0</v>
      </c>
      <c r="AA70" s="149">
        <f t="shared" si="8"/>
        <v>0</v>
      </c>
      <c r="AB70" s="149">
        <f t="shared" si="9"/>
        <v>0</v>
      </c>
      <c r="AC70" s="149">
        <f t="shared" si="10"/>
        <v>0</v>
      </c>
      <c r="AD70" s="149">
        <f t="shared" si="11"/>
        <v>0</v>
      </c>
      <c r="AE70" s="149">
        <f t="shared" si="12"/>
        <v>0</v>
      </c>
    </row>
    <row r="71" spans="1:31" ht="11.25" customHeight="1" x14ac:dyDescent="0.2">
      <c r="A71" s="115" t="s">
        <v>189</v>
      </c>
      <c r="B71" s="116" t="s">
        <v>534</v>
      </c>
      <c r="C71" s="117"/>
      <c r="D71" s="118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4"/>
      <c r="T71" s="149">
        <f t="shared" si="2"/>
        <v>0</v>
      </c>
      <c r="U71" s="149">
        <f t="shared" si="3"/>
        <v>0</v>
      </c>
      <c r="V71" s="149">
        <f t="shared" si="4"/>
        <v>0</v>
      </c>
      <c r="W71" s="149">
        <f t="shared" si="5"/>
        <v>0</v>
      </c>
      <c r="X71" s="149">
        <f t="shared" si="21"/>
        <v>0</v>
      </c>
      <c r="Y71" s="149">
        <f t="shared" si="6"/>
        <v>0</v>
      </c>
      <c r="Z71" s="149">
        <f t="shared" si="7"/>
        <v>0</v>
      </c>
      <c r="AA71" s="149">
        <f t="shared" si="8"/>
        <v>0</v>
      </c>
      <c r="AB71" s="149">
        <f t="shared" si="9"/>
        <v>0</v>
      </c>
      <c r="AC71" s="149">
        <f t="shared" si="10"/>
        <v>0</v>
      </c>
      <c r="AD71" s="149">
        <f t="shared" si="11"/>
        <v>0</v>
      </c>
      <c r="AE71" s="149">
        <f t="shared" si="12"/>
        <v>0</v>
      </c>
    </row>
    <row r="72" spans="1:31" ht="11.25" customHeight="1" x14ac:dyDescent="0.2">
      <c r="A72" s="115" t="s">
        <v>266</v>
      </c>
      <c r="B72" s="116" t="s">
        <v>535</v>
      </c>
      <c r="C72" s="117"/>
      <c r="D72" s="118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4"/>
      <c r="T72" s="149">
        <f t="shared" si="2"/>
        <v>0</v>
      </c>
      <c r="U72" s="149">
        <f t="shared" si="3"/>
        <v>0</v>
      </c>
      <c r="V72" s="149">
        <f t="shared" si="4"/>
        <v>0</v>
      </c>
      <c r="W72" s="149">
        <f t="shared" si="5"/>
        <v>0</v>
      </c>
      <c r="X72" s="149">
        <f t="shared" si="21"/>
        <v>0</v>
      </c>
      <c r="Y72" s="149">
        <f t="shared" si="6"/>
        <v>0</v>
      </c>
      <c r="Z72" s="149">
        <f t="shared" si="7"/>
        <v>0</v>
      </c>
      <c r="AA72" s="149">
        <f t="shared" si="8"/>
        <v>0</v>
      </c>
      <c r="AB72" s="149">
        <f t="shared" si="9"/>
        <v>0</v>
      </c>
      <c r="AC72" s="149">
        <f t="shared" si="10"/>
        <v>0</v>
      </c>
      <c r="AD72" s="149">
        <f t="shared" si="11"/>
        <v>0</v>
      </c>
      <c r="AE72" s="149">
        <f t="shared" si="12"/>
        <v>0</v>
      </c>
    </row>
    <row r="73" spans="1:31" ht="11.25" customHeight="1" x14ac:dyDescent="0.2">
      <c r="A73" s="115" t="s">
        <v>268</v>
      </c>
      <c r="B73" s="116" t="s">
        <v>20</v>
      </c>
      <c r="C73" s="117"/>
      <c r="D73" s="118"/>
      <c r="E73" s="122">
        <f>SUM(E74:E76)</f>
        <v>0</v>
      </c>
      <c r="F73" s="122">
        <f>SUM(F74:F76)</f>
        <v>0</v>
      </c>
      <c r="G73" s="122">
        <f>SUM(G74:G76)</f>
        <v>0</v>
      </c>
      <c r="H73" s="122">
        <f t="shared" ref="H73:P73" si="33">SUM(H74:H76)</f>
        <v>0</v>
      </c>
      <c r="I73" s="122">
        <f t="shared" si="33"/>
        <v>0</v>
      </c>
      <c r="J73" s="122">
        <f t="shared" si="33"/>
        <v>0</v>
      </c>
      <c r="K73" s="122">
        <f t="shared" si="33"/>
        <v>0</v>
      </c>
      <c r="L73" s="122">
        <f t="shared" si="33"/>
        <v>0</v>
      </c>
      <c r="M73" s="122">
        <f t="shared" si="33"/>
        <v>0</v>
      </c>
      <c r="N73" s="122">
        <f t="shared" si="33"/>
        <v>0</v>
      </c>
      <c r="O73" s="122">
        <f t="shared" si="33"/>
        <v>0</v>
      </c>
      <c r="P73" s="122">
        <f t="shared" si="33"/>
        <v>0</v>
      </c>
      <c r="Q73" s="113">
        <f t="shared" ref="Q73:Q88" si="34">SUM(E73:P73)</f>
        <v>0</v>
      </c>
      <c r="R73" s="114" t="s">
        <v>208</v>
      </c>
      <c r="T73" s="149">
        <f t="shared" si="2"/>
        <v>0</v>
      </c>
      <c r="U73" s="149">
        <f t="shared" si="3"/>
        <v>0</v>
      </c>
      <c r="V73" s="149">
        <f t="shared" si="4"/>
        <v>0</v>
      </c>
      <c r="W73" s="149">
        <f t="shared" si="5"/>
        <v>0</v>
      </c>
      <c r="X73" s="149">
        <f t="shared" si="21"/>
        <v>0</v>
      </c>
      <c r="Y73" s="149">
        <f t="shared" si="6"/>
        <v>0</v>
      </c>
      <c r="Z73" s="149">
        <f t="shared" si="7"/>
        <v>0</v>
      </c>
      <c r="AA73" s="149">
        <f t="shared" si="8"/>
        <v>0</v>
      </c>
      <c r="AB73" s="149">
        <f t="shared" si="9"/>
        <v>0</v>
      </c>
      <c r="AC73" s="149">
        <f t="shared" si="10"/>
        <v>0</v>
      </c>
      <c r="AD73" s="149">
        <f t="shared" si="11"/>
        <v>0</v>
      </c>
      <c r="AE73" s="149">
        <f t="shared" si="12"/>
        <v>0</v>
      </c>
    </row>
    <row r="74" spans="1:31" ht="11.25" customHeight="1" x14ac:dyDescent="0.2">
      <c r="A74" s="115"/>
      <c r="B74" s="5"/>
      <c r="C74" s="307" t="s">
        <v>538</v>
      </c>
      <c r="D74" s="118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>
        <f>SUM(E74:P74)</f>
        <v>0</v>
      </c>
      <c r="R74" s="114"/>
      <c r="T74" s="149">
        <f t="shared" si="2"/>
        <v>0</v>
      </c>
      <c r="U74" s="149">
        <f t="shared" si="3"/>
        <v>0</v>
      </c>
      <c r="V74" s="149">
        <f t="shared" si="4"/>
        <v>0</v>
      </c>
      <c r="W74" s="149">
        <f t="shared" si="5"/>
        <v>0</v>
      </c>
      <c r="X74" s="149">
        <f t="shared" si="21"/>
        <v>0</v>
      </c>
      <c r="Y74" s="149">
        <f t="shared" si="6"/>
        <v>0</v>
      </c>
      <c r="Z74" s="149">
        <f t="shared" si="7"/>
        <v>0</v>
      </c>
      <c r="AA74" s="149">
        <f t="shared" si="8"/>
        <v>0</v>
      </c>
      <c r="AB74" s="149">
        <f t="shared" si="9"/>
        <v>0</v>
      </c>
      <c r="AC74" s="149">
        <f t="shared" si="10"/>
        <v>0</v>
      </c>
      <c r="AD74" s="149">
        <f t="shared" si="11"/>
        <v>0</v>
      </c>
      <c r="AE74" s="149">
        <f t="shared" si="12"/>
        <v>0</v>
      </c>
    </row>
    <row r="75" spans="1:31" ht="11.25" customHeight="1" x14ac:dyDescent="0.2">
      <c r="A75" s="115"/>
      <c r="B75" s="5"/>
      <c r="C75" s="307" t="s">
        <v>246</v>
      </c>
      <c r="D75" s="118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>
        <f t="shared" si="34"/>
        <v>0</v>
      </c>
      <c r="R75" s="114"/>
      <c r="T75" s="149">
        <f t="shared" si="2"/>
        <v>0</v>
      </c>
      <c r="U75" s="149">
        <f t="shared" si="3"/>
        <v>0</v>
      </c>
      <c r="V75" s="149">
        <f t="shared" si="4"/>
        <v>0</v>
      </c>
      <c r="W75" s="149">
        <f t="shared" si="5"/>
        <v>0</v>
      </c>
      <c r="X75" s="149">
        <f t="shared" ref="X75:X84" si="35">SUM(E75:I75)</f>
        <v>0</v>
      </c>
      <c r="Y75" s="149">
        <f t="shared" si="6"/>
        <v>0</v>
      </c>
      <c r="Z75" s="149">
        <f t="shared" si="7"/>
        <v>0</v>
      </c>
      <c r="AA75" s="149">
        <f t="shared" si="8"/>
        <v>0</v>
      </c>
      <c r="AB75" s="149">
        <f t="shared" si="9"/>
        <v>0</v>
      </c>
      <c r="AC75" s="149">
        <f t="shared" si="10"/>
        <v>0</v>
      </c>
      <c r="AD75" s="149">
        <f t="shared" si="11"/>
        <v>0</v>
      </c>
      <c r="AE75" s="149">
        <f t="shared" si="12"/>
        <v>0</v>
      </c>
    </row>
    <row r="76" spans="1:31" ht="11.25" customHeight="1" x14ac:dyDescent="0.2">
      <c r="A76" s="115"/>
      <c r="B76" s="5"/>
      <c r="C76" s="307" t="s">
        <v>511</v>
      </c>
      <c r="D76" s="118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>
        <f t="shared" si="34"/>
        <v>0</v>
      </c>
      <c r="R76" s="114"/>
      <c r="T76" s="149">
        <f t="shared" ref="T76:T79" si="36">E76</f>
        <v>0</v>
      </c>
      <c r="U76" s="149">
        <f t="shared" ref="U76:U79" si="37">SUM(E76:F76)</f>
        <v>0</v>
      </c>
      <c r="V76" s="149">
        <f t="shared" ref="V76:V104" si="38">SUM(E76:G76)</f>
        <v>0</v>
      </c>
      <c r="W76" s="149">
        <f t="shared" ref="W76" si="39">SUM(E76:H76)</f>
        <v>0</v>
      </c>
      <c r="X76" s="149">
        <f t="shared" si="35"/>
        <v>0</v>
      </c>
      <c r="Y76" s="149">
        <f t="shared" ref="Y76:Y104" si="40">SUM(E76:J76)</f>
        <v>0</v>
      </c>
      <c r="Z76" s="149">
        <f t="shared" ref="Z76:Z104" si="41">SUM(E76:K76)</f>
        <v>0</v>
      </c>
      <c r="AA76" s="149">
        <f t="shared" ref="AA76:AA104" si="42">SUM(E76:L76)</f>
        <v>0</v>
      </c>
      <c r="AB76" s="149">
        <f t="shared" ref="AB76:AB104" si="43">SUM(E76:M76)</f>
        <v>0</v>
      </c>
      <c r="AC76" s="149">
        <f t="shared" ref="AC76:AC104" si="44">SUM(E76:N76)</f>
        <v>0</v>
      </c>
      <c r="AD76" s="149">
        <f t="shared" ref="AD76:AD104" si="45">SUM(E76:O76)</f>
        <v>0</v>
      </c>
      <c r="AE76" s="149">
        <f t="shared" ref="AE76:AE104" si="46">SUM(E76:P76)</f>
        <v>0</v>
      </c>
    </row>
    <row r="77" spans="1:31" ht="11.25" customHeight="1" x14ac:dyDescent="0.2">
      <c r="A77" s="115" t="s">
        <v>269</v>
      </c>
      <c r="B77" s="116" t="s">
        <v>512</v>
      </c>
      <c r="C77" s="117"/>
      <c r="D77" s="118"/>
      <c r="E77" s="122">
        <f>SUM(E78:E82)</f>
        <v>0</v>
      </c>
      <c r="F77" s="122">
        <f t="shared" ref="F77:P77" si="47">SUM(F78:F82)</f>
        <v>0</v>
      </c>
      <c r="G77" s="122">
        <f t="shared" si="47"/>
        <v>0</v>
      </c>
      <c r="H77" s="122">
        <f t="shared" si="47"/>
        <v>0</v>
      </c>
      <c r="I77" s="122">
        <f t="shared" si="47"/>
        <v>0</v>
      </c>
      <c r="J77" s="122">
        <f t="shared" si="47"/>
        <v>0</v>
      </c>
      <c r="K77" s="122">
        <f t="shared" si="47"/>
        <v>0</v>
      </c>
      <c r="L77" s="122">
        <f t="shared" si="47"/>
        <v>0</v>
      </c>
      <c r="M77" s="122">
        <f t="shared" si="47"/>
        <v>0</v>
      </c>
      <c r="N77" s="122">
        <f t="shared" si="47"/>
        <v>0</v>
      </c>
      <c r="O77" s="122">
        <f t="shared" si="47"/>
        <v>0</v>
      </c>
      <c r="P77" s="122">
        <f t="shared" si="47"/>
        <v>0</v>
      </c>
      <c r="Q77" s="113">
        <f t="shared" si="34"/>
        <v>0</v>
      </c>
      <c r="R77" s="114"/>
      <c r="T77" s="149">
        <f t="shared" si="36"/>
        <v>0</v>
      </c>
      <c r="U77" s="149">
        <f t="shared" si="37"/>
        <v>0</v>
      </c>
      <c r="V77" s="149">
        <f t="shared" si="38"/>
        <v>0</v>
      </c>
      <c r="W77" s="149">
        <f>SUM(E77:H77)</f>
        <v>0</v>
      </c>
      <c r="X77" s="149">
        <f t="shared" si="35"/>
        <v>0</v>
      </c>
      <c r="Y77" s="149">
        <f t="shared" si="40"/>
        <v>0</v>
      </c>
      <c r="Z77" s="149">
        <f t="shared" si="41"/>
        <v>0</v>
      </c>
      <c r="AA77" s="149">
        <f t="shared" si="42"/>
        <v>0</v>
      </c>
      <c r="AB77" s="149">
        <f t="shared" si="43"/>
        <v>0</v>
      </c>
      <c r="AC77" s="149">
        <f t="shared" si="44"/>
        <v>0</v>
      </c>
      <c r="AD77" s="149">
        <f t="shared" si="45"/>
        <v>0</v>
      </c>
      <c r="AE77" s="149">
        <f t="shared" si="46"/>
        <v>0</v>
      </c>
    </row>
    <row r="78" spans="1:31" ht="11.25" customHeight="1" x14ac:dyDescent="0.2">
      <c r="A78" s="115"/>
      <c r="B78" s="116"/>
      <c r="C78" s="117" t="s">
        <v>513</v>
      </c>
      <c r="D78" s="118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>
        <f t="shared" si="34"/>
        <v>0</v>
      </c>
      <c r="R78" s="114"/>
      <c r="T78" s="149">
        <f t="shared" si="36"/>
        <v>0</v>
      </c>
      <c r="U78" s="149">
        <f t="shared" si="37"/>
        <v>0</v>
      </c>
      <c r="V78" s="149">
        <f t="shared" si="38"/>
        <v>0</v>
      </c>
      <c r="W78" s="149">
        <f t="shared" ref="W78:W93" si="48">SUM(E78:H78)</f>
        <v>0</v>
      </c>
      <c r="X78" s="149">
        <f t="shared" si="35"/>
        <v>0</v>
      </c>
      <c r="Y78" s="149">
        <f t="shared" si="40"/>
        <v>0</v>
      </c>
      <c r="Z78" s="149">
        <f t="shared" si="41"/>
        <v>0</v>
      </c>
      <c r="AA78" s="149">
        <f t="shared" si="42"/>
        <v>0</v>
      </c>
      <c r="AB78" s="149">
        <f t="shared" si="43"/>
        <v>0</v>
      </c>
      <c r="AC78" s="149">
        <f t="shared" si="44"/>
        <v>0</v>
      </c>
      <c r="AD78" s="149">
        <f t="shared" si="45"/>
        <v>0</v>
      </c>
      <c r="AE78" s="149">
        <f t="shared" si="46"/>
        <v>0</v>
      </c>
    </row>
    <row r="79" spans="1:31" ht="11.25" customHeight="1" x14ac:dyDescent="0.2">
      <c r="A79" s="115"/>
      <c r="B79" s="116"/>
      <c r="C79" s="117" t="s">
        <v>514</v>
      </c>
      <c r="D79" s="118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>
        <f>SUM(E79:P79)</f>
        <v>0</v>
      </c>
      <c r="R79" s="114"/>
      <c r="T79" s="149">
        <f t="shared" si="36"/>
        <v>0</v>
      </c>
      <c r="U79" s="149">
        <f t="shared" si="37"/>
        <v>0</v>
      </c>
      <c r="V79" s="149">
        <f t="shared" si="38"/>
        <v>0</v>
      </c>
      <c r="W79" s="149">
        <f t="shared" si="48"/>
        <v>0</v>
      </c>
      <c r="X79" s="149">
        <f t="shared" si="35"/>
        <v>0</v>
      </c>
      <c r="Y79" s="149">
        <f t="shared" si="40"/>
        <v>0</v>
      </c>
      <c r="Z79" s="149">
        <f t="shared" si="41"/>
        <v>0</v>
      </c>
      <c r="AA79" s="149">
        <f t="shared" si="42"/>
        <v>0</v>
      </c>
      <c r="AB79" s="149">
        <f t="shared" si="43"/>
        <v>0</v>
      </c>
      <c r="AC79" s="149">
        <f t="shared" si="44"/>
        <v>0</v>
      </c>
      <c r="AD79" s="149">
        <f t="shared" si="45"/>
        <v>0</v>
      </c>
      <c r="AE79" s="149">
        <f t="shared" si="46"/>
        <v>0</v>
      </c>
    </row>
    <row r="80" spans="1:31" ht="11.25" customHeight="1" x14ac:dyDescent="0.2">
      <c r="A80" s="115"/>
      <c r="B80" s="116"/>
      <c r="C80" s="117" t="s">
        <v>515</v>
      </c>
      <c r="D80" s="118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>
        <f t="shared" si="34"/>
        <v>0</v>
      </c>
      <c r="R80" s="114"/>
      <c r="T80" s="149">
        <f>E80</f>
        <v>0</v>
      </c>
      <c r="U80" s="149">
        <f>SUM(E80:F80)</f>
        <v>0</v>
      </c>
      <c r="V80" s="149">
        <f t="shared" si="38"/>
        <v>0</v>
      </c>
      <c r="W80" s="149">
        <f t="shared" si="48"/>
        <v>0</v>
      </c>
      <c r="X80" s="149">
        <f t="shared" si="35"/>
        <v>0</v>
      </c>
      <c r="Y80" s="149">
        <f t="shared" si="40"/>
        <v>0</v>
      </c>
      <c r="Z80" s="149">
        <f t="shared" si="41"/>
        <v>0</v>
      </c>
      <c r="AA80" s="149">
        <f t="shared" si="42"/>
        <v>0</v>
      </c>
      <c r="AB80" s="149">
        <f t="shared" si="43"/>
        <v>0</v>
      </c>
      <c r="AC80" s="149">
        <f t="shared" si="44"/>
        <v>0</v>
      </c>
      <c r="AD80" s="149">
        <f t="shared" si="45"/>
        <v>0</v>
      </c>
      <c r="AE80" s="149">
        <f t="shared" si="46"/>
        <v>0</v>
      </c>
    </row>
    <row r="81" spans="1:31" ht="11.25" customHeight="1" x14ac:dyDescent="0.2">
      <c r="A81" s="115"/>
      <c r="B81" s="116"/>
      <c r="C81" s="117" t="s">
        <v>516</v>
      </c>
      <c r="D81" s="118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>
        <f t="shared" si="34"/>
        <v>0</v>
      </c>
      <c r="R81" s="114"/>
      <c r="T81" s="149">
        <f t="shared" ref="T81:T91" si="49">E81</f>
        <v>0</v>
      </c>
      <c r="U81" s="149">
        <f t="shared" ref="U81:U98" si="50">SUM(E81:F81)</f>
        <v>0</v>
      </c>
      <c r="V81" s="149">
        <f t="shared" si="38"/>
        <v>0</v>
      </c>
      <c r="W81" s="149">
        <f t="shared" si="48"/>
        <v>0</v>
      </c>
      <c r="X81" s="149">
        <f t="shared" si="35"/>
        <v>0</v>
      </c>
      <c r="Y81" s="149">
        <f t="shared" si="40"/>
        <v>0</v>
      </c>
      <c r="Z81" s="149">
        <f t="shared" si="41"/>
        <v>0</v>
      </c>
      <c r="AA81" s="149">
        <f t="shared" si="42"/>
        <v>0</v>
      </c>
      <c r="AB81" s="149">
        <f t="shared" si="43"/>
        <v>0</v>
      </c>
      <c r="AC81" s="149">
        <f t="shared" si="44"/>
        <v>0</v>
      </c>
      <c r="AD81" s="149">
        <f t="shared" si="45"/>
        <v>0</v>
      </c>
      <c r="AE81" s="149">
        <f t="shared" si="46"/>
        <v>0</v>
      </c>
    </row>
    <row r="82" spans="1:31" ht="11.25" customHeight="1" x14ac:dyDescent="0.2">
      <c r="A82" s="115"/>
      <c r="B82" s="116"/>
      <c r="C82" s="117" t="s">
        <v>517</v>
      </c>
      <c r="D82" s="118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>
        <f t="shared" si="34"/>
        <v>0</v>
      </c>
      <c r="R82" s="114"/>
      <c r="T82" s="149">
        <f t="shared" si="49"/>
        <v>0</v>
      </c>
      <c r="U82" s="149">
        <f t="shared" si="50"/>
        <v>0</v>
      </c>
      <c r="V82" s="149">
        <f t="shared" si="38"/>
        <v>0</v>
      </c>
      <c r="W82" s="149">
        <f t="shared" si="48"/>
        <v>0</v>
      </c>
      <c r="X82" s="149">
        <f t="shared" si="35"/>
        <v>0</v>
      </c>
      <c r="Y82" s="149">
        <f t="shared" si="40"/>
        <v>0</v>
      </c>
      <c r="Z82" s="149">
        <f t="shared" si="41"/>
        <v>0</v>
      </c>
      <c r="AA82" s="149">
        <f t="shared" si="42"/>
        <v>0</v>
      </c>
      <c r="AB82" s="149">
        <f t="shared" si="43"/>
        <v>0</v>
      </c>
      <c r="AC82" s="149">
        <f t="shared" si="44"/>
        <v>0</v>
      </c>
      <c r="AD82" s="149">
        <f t="shared" si="45"/>
        <v>0</v>
      </c>
      <c r="AE82" s="149">
        <f t="shared" si="46"/>
        <v>0</v>
      </c>
    </row>
    <row r="83" spans="1:31" ht="11.25" customHeight="1" x14ac:dyDescent="0.2">
      <c r="A83" s="115" t="s">
        <v>414</v>
      </c>
      <c r="B83" s="116" t="s">
        <v>485</v>
      </c>
      <c r="C83" s="117"/>
      <c r="D83" s="118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>
        <f t="shared" si="34"/>
        <v>0</v>
      </c>
      <c r="R83" s="114"/>
      <c r="T83" s="149">
        <f t="shared" si="49"/>
        <v>0</v>
      </c>
      <c r="U83" s="149">
        <f t="shared" si="50"/>
        <v>0</v>
      </c>
      <c r="V83" s="149">
        <f t="shared" si="38"/>
        <v>0</v>
      </c>
      <c r="W83" s="149">
        <f t="shared" si="48"/>
        <v>0</v>
      </c>
      <c r="X83" s="149">
        <f t="shared" si="35"/>
        <v>0</v>
      </c>
      <c r="Y83" s="149">
        <f t="shared" si="40"/>
        <v>0</v>
      </c>
      <c r="Z83" s="149">
        <f t="shared" si="41"/>
        <v>0</v>
      </c>
      <c r="AA83" s="149">
        <f t="shared" si="42"/>
        <v>0</v>
      </c>
      <c r="AB83" s="149">
        <f t="shared" si="43"/>
        <v>0</v>
      </c>
      <c r="AC83" s="149">
        <f t="shared" si="44"/>
        <v>0</v>
      </c>
      <c r="AD83" s="149">
        <f t="shared" si="45"/>
        <v>0</v>
      </c>
      <c r="AE83" s="149">
        <f t="shared" si="46"/>
        <v>0</v>
      </c>
    </row>
    <row r="84" spans="1:31" ht="11.25" customHeight="1" x14ac:dyDescent="0.2">
      <c r="A84" s="115" t="s">
        <v>536</v>
      </c>
      <c r="B84" s="116" t="s">
        <v>486</v>
      </c>
      <c r="C84" s="117"/>
      <c r="D84" s="118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>
        <f t="shared" si="34"/>
        <v>0</v>
      </c>
      <c r="R84" s="114"/>
      <c r="T84" s="149">
        <f t="shared" si="49"/>
        <v>0</v>
      </c>
      <c r="U84" s="149">
        <f t="shared" si="50"/>
        <v>0</v>
      </c>
      <c r="V84" s="149">
        <f t="shared" si="38"/>
        <v>0</v>
      </c>
      <c r="W84" s="149">
        <f t="shared" si="48"/>
        <v>0</v>
      </c>
      <c r="X84" s="149">
        <f t="shared" si="35"/>
        <v>0</v>
      </c>
      <c r="Y84" s="149">
        <f t="shared" si="40"/>
        <v>0</v>
      </c>
      <c r="Z84" s="149">
        <f t="shared" si="41"/>
        <v>0</v>
      </c>
      <c r="AA84" s="149">
        <f t="shared" si="42"/>
        <v>0</v>
      </c>
      <c r="AB84" s="149">
        <f t="shared" si="43"/>
        <v>0</v>
      </c>
      <c r="AC84" s="149">
        <f t="shared" si="44"/>
        <v>0</v>
      </c>
      <c r="AD84" s="149">
        <f t="shared" si="45"/>
        <v>0</v>
      </c>
      <c r="AE84" s="149">
        <f t="shared" si="46"/>
        <v>0</v>
      </c>
    </row>
    <row r="85" spans="1:31" ht="11.25" customHeight="1" x14ac:dyDescent="0.2">
      <c r="A85" s="115" t="s">
        <v>537</v>
      </c>
      <c r="B85" s="116" t="s">
        <v>539</v>
      </c>
      <c r="C85" s="117"/>
      <c r="D85" s="118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>
        <f t="shared" si="34"/>
        <v>0</v>
      </c>
      <c r="R85" s="114"/>
      <c r="T85" s="149">
        <f t="shared" si="49"/>
        <v>0</v>
      </c>
      <c r="U85" s="149">
        <f t="shared" si="50"/>
        <v>0</v>
      </c>
      <c r="V85" s="149">
        <f t="shared" si="38"/>
        <v>0</v>
      </c>
      <c r="W85" s="149">
        <f t="shared" si="48"/>
        <v>0</v>
      </c>
      <c r="X85" s="149">
        <f t="shared" ref="X85:X104" si="51">SUM(E85:I85)</f>
        <v>0</v>
      </c>
      <c r="Y85" s="149">
        <f t="shared" si="40"/>
        <v>0</v>
      </c>
      <c r="Z85" s="149">
        <f t="shared" si="41"/>
        <v>0</v>
      </c>
      <c r="AA85" s="149">
        <f t="shared" si="42"/>
        <v>0</v>
      </c>
      <c r="AB85" s="149">
        <f t="shared" si="43"/>
        <v>0</v>
      </c>
      <c r="AC85" s="149">
        <f t="shared" si="44"/>
        <v>0</v>
      </c>
      <c r="AD85" s="149">
        <f t="shared" si="45"/>
        <v>0</v>
      </c>
      <c r="AE85" s="149">
        <f t="shared" si="46"/>
        <v>0</v>
      </c>
    </row>
    <row r="86" spans="1:31" ht="11.25" customHeight="1" x14ac:dyDescent="0.2">
      <c r="A86" s="115" t="s">
        <v>540</v>
      </c>
      <c r="B86" s="116" t="s">
        <v>542</v>
      </c>
      <c r="C86" s="117"/>
      <c r="D86" s="118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>
        <f t="shared" si="34"/>
        <v>0</v>
      </c>
      <c r="R86" s="114" t="s">
        <v>217</v>
      </c>
      <c r="T86" s="149">
        <f t="shared" si="49"/>
        <v>0</v>
      </c>
      <c r="U86" s="149">
        <f t="shared" si="50"/>
        <v>0</v>
      </c>
      <c r="V86" s="149">
        <f t="shared" si="38"/>
        <v>0</v>
      </c>
      <c r="W86" s="149">
        <f t="shared" si="48"/>
        <v>0</v>
      </c>
      <c r="X86" s="149">
        <f t="shared" si="51"/>
        <v>0</v>
      </c>
      <c r="Y86" s="149">
        <f t="shared" si="40"/>
        <v>0</v>
      </c>
      <c r="Z86" s="149">
        <f t="shared" si="41"/>
        <v>0</v>
      </c>
      <c r="AA86" s="149">
        <f t="shared" si="42"/>
        <v>0</v>
      </c>
      <c r="AB86" s="149">
        <f t="shared" si="43"/>
        <v>0</v>
      </c>
      <c r="AC86" s="149">
        <f t="shared" si="44"/>
        <v>0</v>
      </c>
      <c r="AD86" s="149">
        <f t="shared" si="45"/>
        <v>0</v>
      </c>
      <c r="AE86" s="149">
        <f t="shared" si="46"/>
        <v>0</v>
      </c>
    </row>
    <row r="87" spans="1:31" ht="11.25" customHeight="1" x14ac:dyDescent="0.2">
      <c r="A87" s="115" t="s">
        <v>541</v>
      </c>
      <c r="B87" s="116" t="s">
        <v>415</v>
      </c>
      <c r="C87" s="117"/>
      <c r="D87" s="118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>
        <f t="shared" si="34"/>
        <v>0</v>
      </c>
      <c r="R87" s="119" t="s">
        <v>211</v>
      </c>
      <c r="T87" s="149">
        <f t="shared" si="49"/>
        <v>0</v>
      </c>
      <c r="U87" s="149">
        <f t="shared" si="50"/>
        <v>0</v>
      </c>
      <c r="V87" s="149">
        <f t="shared" si="38"/>
        <v>0</v>
      </c>
      <c r="W87" s="149">
        <f t="shared" si="48"/>
        <v>0</v>
      </c>
      <c r="X87" s="149">
        <f t="shared" si="51"/>
        <v>0</v>
      </c>
      <c r="Y87" s="149">
        <f t="shared" si="40"/>
        <v>0</v>
      </c>
      <c r="Z87" s="149">
        <f t="shared" si="41"/>
        <v>0</v>
      </c>
      <c r="AA87" s="149">
        <f t="shared" si="42"/>
        <v>0</v>
      </c>
      <c r="AB87" s="149">
        <f t="shared" si="43"/>
        <v>0</v>
      </c>
      <c r="AC87" s="149">
        <f t="shared" si="44"/>
        <v>0</v>
      </c>
      <c r="AD87" s="149">
        <f t="shared" si="45"/>
        <v>0</v>
      </c>
      <c r="AE87" s="149">
        <f t="shared" si="46"/>
        <v>0</v>
      </c>
    </row>
    <row r="88" spans="1:31" ht="11.25" customHeight="1" x14ac:dyDescent="0.2">
      <c r="A88" s="115" t="s">
        <v>271</v>
      </c>
      <c r="B88" s="116" t="s">
        <v>493</v>
      </c>
      <c r="C88" s="117"/>
      <c r="D88" s="118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>
        <f t="shared" si="34"/>
        <v>0</v>
      </c>
      <c r="R88" s="114" t="s">
        <v>220</v>
      </c>
      <c r="T88" s="149">
        <f t="shared" si="49"/>
        <v>0</v>
      </c>
      <c r="U88" s="149">
        <f t="shared" si="50"/>
        <v>0</v>
      </c>
      <c r="V88" s="149">
        <f t="shared" si="38"/>
        <v>0</v>
      </c>
      <c r="W88" s="149">
        <f t="shared" si="48"/>
        <v>0</v>
      </c>
      <c r="X88" s="149">
        <f t="shared" si="51"/>
        <v>0</v>
      </c>
      <c r="Y88" s="149">
        <f t="shared" si="40"/>
        <v>0</v>
      </c>
      <c r="Z88" s="149">
        <f t="shared" si="41"/>
        <v>0</v>
      </c>
      <c r="AA88" s="149">
        <f t="shared" si="42"/>
        <v>0</v>
      </c>
      <c r="AB88" s="149">
        <f t="shared" si="43"/>
        <v>0</v>
      </c>
      <c r="AC88" s="149">
        <f t="shared" si="44"/>
        <v>0</v>
      </c>
      <c r="AD88" s="149">
        <f t="shared" si="45"/>
        <v>0</v>
      </c>
      <c r="AE88" s="149">
        <f t="shared" si="46"/>
        <v>0</v>
      </c>
    </row>
    <row r="89" spans="1:31" ht="11.25" customHeight="1" x14ac:dyDescent="0.2">
      <c r="A89" s="123"/>
      <c r="B89" s="485" t="s">
        <v>543</v>
      </c>
      <c r="C89" s="486"/>
      <c r="D89" s="487"/>
      <c r="E89" s="124">
        <f>SUM(E83:E88)+E73+E77</f>
        <v>0</v>
      </c>
      <c r="F89" s="124">
        <f t="shared" ref="F89:P89" si="52">SUM(F83:F88)+F73+F77</f>
        <v>0</v>
      </c>
      <c r="G89" s="124">
        <f t="shared" si="52"/>
        <v>0</v>
      </c>
      <c r="H89" s="124">
        <f t="shared" si="52"/>
        <v>0</v>
      </c>
      <c r="I89" s="124">
        <f t="shared" si="52"/>
        <v>0</v>
      </c>
      <c r="J89" s="124">
        <f t="shared" si="52"/>
        <v>0</v>
      </c>
      <c r="K89" s="124">
        <f t="shared" si="52"/>
        <v>0</v>
      </c>
      <c r="L89" s="124">
        <f t="shared" si="52"/>
        <v>0</v>
      </c>
      <c r="M89" s="124">
        <f t="shared" si="52"/>
        <v>0</v>
      </c>
      <c r="N89" s="124">
        <f t="shared" si="52"/>
        <v>0</v>
      </c>
      <c r="O89" s="124">
        <f t="shared" si="52"/>
        <v>0</v>
      </c>
      <c r="P89" s="124">
        <f t="shared" si="52"/>
        <v>0</v>
      </c>
      <c r="Q89" s="124">
        <f>SUM(E89:P89)</f>
        <v>0</v>
      </c>
      <c r="R89" s="125"/>
      <c r="T89" s="431">
        <f t="shared" si="49"/>
        <v>0</v>
      </c>
      <c r="U89" s="431">
        <f t="shared" si="50"/>
        <v>0</v>
      </c>
      <c r="V89" s="431">
        <f t="shared" si="38"/>
        <v>0</v>
      </c>
      <c r="W89" s="431">
        <f t="shared" si="48"/>
        <v>0</v>
      </c>
      <c r="X89" s="431">
        <f t="shared" si="51"/>
        <v>0</v>
      </c>
      <c r="Y89" s="431">
        <f t="shared" si="40"/>
        <v>0</v>
      </c>
      <c r="Z89" s="431">
        <f t="shared" si="41"/>
        <v>0</v>
      </c>
      <c r="AA89" s="431">
        <f t="shared" si="42"/>
        <v>0</v>
      </c>
      <c r="AB89" s="431">
        <f t="shared" si="43"/>
        <v>0</v>
      </c>
      <c r="AC89" s="431">
        <f t="shared" si="44"/>
        <v>0</v>
      </c>
      <c r="AD89" s="431">
        <f t="shared" si="45"/>
        <v>0</v>
      </c>
      <c r="AE89" s="431">
        <f t="shared" si="46"/>
        <v>0</v>
      </c>
    </row>
    <row r="90" spans="1:31" ht="11.25" customHeight="1" x14ac:dyDescent="0.2">
      <c r="A90" s="115" t="s">
        <v>273</v>
      </c>
      <c r="B90" s="116" t="s">
        <v>544</v>
      </c>
      <c r="C90" s="117"/>
      <c r="D90" s="118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4"/>
      <c r="T90" s="149">
        <f t="shared" si="49"/>
        <v>0</v>
      </c>
      <c r="U90" s="149">
        <f t="shared" si="50"/>
        <v>0</v>
      </c>
      <c r="V90" s="149">
        <f t="shared" si="38"/>
        <v>0</v>
      </c>
      <c r="W90" s="149">
        <f t="shared" si="48"/>
        <v>0</v>
      </c>
      <c r="X90" s="149">
        <f t="shared" si="51"/>
        <v>0</v>
      </c>
      <c r="Y90" s="149">
        <f t="shared" si="40"/>
        <v>0</v>
      </c>
      <c r="Z90" s="149">
        <f t="shared" si="41"/>
        <v>0</v>
      </c>
      <c r="AA90" s="149">
        <f t="shared" si="42"/>
        <v>0</v>
      </c>
      <c r="AB90" s="149">
        <f t="shared" si="43"/>
        <v>0</v>
      </c>
      <c r="AC90" s="149">
        <f t="shared" si="44"/>
        <v>0</v>
      </c>
      <c r="AD90" s="149">
        <f t="shared" si="45"/>
        <v>0</v>
      </c>
      <c r="AE90" s="149">
        <f t="shared" si="46"/>
        <v>0</v>
      </c>
    </row>
    <row r="91" spans="1:31" ht="11.25" customHeight="1" x14ac:dyDescent="0.2">
      <c r="A91" s="115" t="s">
        <v>275</v>
      </c>
      <c r="B91" s="116" t="s">
        <v>276</v>
      </c>
      <c r="C91" s="117"/>
      <c r="D91" s="118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>
        <f>SUM(E91:P91)</f>
        <v>0</v>
      </c>
      <c r="R91" s="114"/>
      <c r="T91" s="149">
        <f t="shared" si="49"/>
        <v>0</v>
      </c>
      <c r="U91" s="149">
        <f t="shared" si="50"/>
        <v>0</v>
      </c>
      <c r="V91" s="149">
        <f t="shared" si="38"/>
        <v>0</v>
      </c>
      <c r="W91" s="149">
        <f t="shared" si="48"/>
        <v>0</v>
      </c>
      <c r="X91" s="149">
        <f t="shared" si="51"/>
        <v>0</v>
      </c>
      <c r="Y91" s="149">
        <f t="shared" si="40"/>
        <v>0</v>
      </c>
      <c r="Z91" s="149">
        <f t="shared" si="41"/>
        <v>0</v>
      </c>
      <c r="AA91" s="149">
        <f t="shared" si="42"/>
        <v>0</v>
      </c>
      <c r="AB91" s="149">
        <f t="shared" si="43"/>
        <v>0</v>
      </c>
      <c r="AC91" s="149">
        <f t="shared" si="44"/>
        <v>0</v>
      </c>
      <c r="AD91" s="149">
        <f t="shared" si="45"/>
        <v>0</v>
      </c>
      <c r="AE91" s="149">
        <f t="shared" si="46"/>
        <v>0</v>
      </c>
    </row>
    <row r="92" spans="1:31" ht="11.25" customHeight="1" x14ac:dyDescent="0.2">
      <c r="A92" s="115" t="s">
        <v>277</v>
      </c>
      <c r="B92" s="116" t="s">
        <v>278</v>
      </c>
      <c r="C92" s="117"/>
      <c r="D92" s="118"/>
      <c r="E92" s="426"/>
      <c r="F92" s="426"/>
      <c r="G92" s="426"/>
      <c r="H92" s="426"/>
      <c r="I92" s="426"/>
      <c r="J92" s="263"/>
      <c r="K92" s="263"/>
      <c r="L92" s="263"/>
      <c r="M92" s="263"/>
      <c r="N92" s="426"/>
      <c r="O92" s="263"/>
      <c r="P92" s="113"/>
      <c r="Q92" s="113">
        <f t="shared" ref="Q92:Q96" si="53">SUM(E92:P92)</f>
        <v>0</v>
      </c>
      <c r="R92" s="114"/>
      <c r="T92" s="149">
        <f>E92</f>
        <v>0</v>
      </c>
      <c r="U92" s="149">
        <f t="shared" si="50"/>
        <v>0</v>
      </c>
      <c r="V92" s="149">
        <f t="shared" si="38"/>
        <v>0</v>
      </c>
      <c r="W92" s="149">
        <f t="shared" si="48"/>
        <v>0</v>
      </c>
      <c r="X92" s="149">
        <f t="shared" si="51"/>
        <v>0</v>
      </c>
      <c r="Y92" s="149">
        <f t="shared" si="40"/>
        <v>0</v>
      </c>
      <c r="Z92" s="149">
        <f t="shared" si="41"/>
        <v>0</v>
      </c>
      <c r="AA92" s="149">
        <f t="shared" si="42"/>
        <v>0</v>
      </c>
      <c r="AB92" s="149">
        <f t="shared" si="43"/>
        <v>0</v>
      </c>
      <c r="AC92" s="149">
        <f t="shared" si="44"/>
        <v>0</v>
      </c>
      <c r="AD92" s="149">
        <f t="shared" si="45"/>
        <v>0</v>
      </c>
      <c r="AE92" s="149">
        <f t="shared" si="46"/>
        <v>0</v>
      </c>
    </row>
    <row r="93" spans="1:31" ht="11.25" customHeight="1" x14ac:dyDescent="0.2">
      <c r="A93" s="115" t="s">
        <v>279</v>
      </c>
      <c r="B93" s="116" t="s">
        <v>280</v>
      </c>
      <c r="C93" s="117"/>
      <c r="D93" s="118"/>
      <c r="E93" s="426"/>
      <c r="F93" s="426"/>
      <c r="G93" s="426"/>
      <c r="H93" s="426"/>
      <c r="I93" s="426"/>
      <c r="J93" s="113"/>
      <c r="K93" s="113"/>
      <c r="L93" s="113"/>
      <c r="M93" s="113"/>
      <c r="N93" s="113"/>
      <c r="O93" s="113"/>
      <c r="P93" s="113"/>
      <c r="Q93" s="113">
        <f t="shared" si="53"/>
        <v>0</v>
      </c>
      <c r="R93" s="114"/>
      <c r="T93" s="149">
        <f t="shared" ref="T93:T104" si="54">E93</f>
        <v>0</v>
      </c>
      <c r="U93" s="149">
        <f t="shared" si="50"/>
        <v>0</v>
      </c>
      <c r="V93" s="149">
        <f t="shared" si="38"/>
        <v>0</v>
      </c>
      <c r="W93" s="149">
        <f t="shared" si="48"/>
        <v>0</v>
      </c>
      <c r="X93" s="149">
        <f t="shared" si="51"/>
        <v>0</v>
      </c>
      <c r="Y93" s="149">
        <f t="shared" si="40"/>
        <v>0</v>
      </c>
      <c r="Z93" s="149">
        <f t="shared" si="41"/>
        <v>0</v>
      </c>
      <c r="AA93" s="149">
        <f t="shared" si="42"/>
        <v>0</v>
      </c>
      <c r="AB93" s="149">
        <f t="shared" si="43"/>
        <v>0</v>
      </c>
      <c r="AC93" s="149">
        <f t="shared" si="44"/>
        <v>0</v>
      </c>
      <c r="AD93" s="149">
        <f t="shared" si="45"/>
        <v>0</v>
      </c>
      <c r="AE93" s="149">
        <f t="shared" si="46"/>
        <v>0</v>
      </c>
    </row>
    <row r="94" spans="1:31" ht="11.25" customHeight="1" x14ac:dyDescent="0.2">
      <c r="A94" s="115" t="s">
        <v>281</v>
      </c>
      <c r="B94" s="116" t="s">
        <v>259</v>
      </c>
      <c r="C94" s="138"/>
      <c r="D94" s="118"/>
      <c r="E94" s="426"/>
      <c r="F94" s="426"/>
      <c r="G94" s="426"/>
      <c r="H94" s="426"/>
      <c r="I94" s="426"/>
      <c r="J94" s="113"/>
      <c r="K94" s="113"/>
      <c r="L94" s="113"/>
      <c r="M94" s="113"/>
      <c r="N94" s="113"/>
      <c r="O94" s="113"/>
      <c r="P94" s="113"/>
      <c r="Q94" s="113">
        <f t="shared" si="53"/>
        <v>0</v>
      </c>
      <c r="R94" s="114"/>
      <c r="T94" s="149">
        <f t="shared" si="54"/>
        <v>0</v>
      </c>
      <c r="U94" s="149">
        <f t="shared" si="50"/>
        <v>0</v>
      </c>
      <c r="V94" s="149">
        <f t="shared" si="38"/>
        <v>0</v>
      </c>
      <c r="W94" s="149">
        <f>SUM(E94:H94)</f>
        <v>0</v>
      </c>
      <c r="X94" s="149">
        <f t="shared" si="51"/>
        <v>0</v>
      </c>
      <c r="Y94" s="149">
        <f t="shared" si="40"/>
        <v>0</v>
      </c>
      <c r="Z94" s="149">
        <f t="shared" si="41"/>
        <v>0</v>
      </c>
      <c r="AA94" s="149">
        <f t="shared" si="42"/>
        <v>0</v>
      </c>
      <c r="AB94" s="149">
        <f t="shared" si="43"/>
        <v>0</v>
      </c>
      <c r="AC94" s="149">
        <f t="shared" si="44"/>
        <v>0</v>
      </c>
      <c r="AD94" s="149">
        <f t="shared" si="45"/>
        <v>0</v>
      </c>
      <c r="AE94" s="149">
        <f t="shared" si="46"/>
        <v>0</v>
      </c>
    </row>
    <row r="95" spans="1:31" ht="11.25" customHeight="1" x14ac:dyDescent="0.2">
      <c r="A95" s="115" t="s">
        <v>282</v>
      </c>
      <c r="B95" s="116" t="s">
        <v>283</v>
      </c>
      <c r="C95" s="117"/>
      <c r="D95" s="118"/>
      <c r="E95" s="426"/>
      <c r="F95" s="426"/>
      <c r="G95" s="426"/>
      <c r="H95" s="426"/>
      <c r="I95" s="426"/>
      <c r="J95" s="113"/>
      <c r="K95" s="113"/>
      <c r="L95" s="113"/>
      <c r="M95" s="113"/>
      <c r="N95" s="113"/>
      <c r="O95" s="113"/>
      <c r="P95" s="113"/>
      <c r="Q95" s="113">
        <f t="shared" si="53"/>
        <v>0</v>
      </c>
      <c r="R95" s="114"/>
      <c r="T95" s="149">
        <f t="shared" si="54"/>
        <v>0</v>
      </c>
      <c r="U95" s="149">
        <f t="shared" si="50"/>
        <v>0</v>
      </c>
      <c r="V95" s="149">
        <f t="shared" si="38"/>
        <v>0</v>
      </c>
      <c r="W95" s="149">
        <f t="shared" ref="W95:W104" si="55">SUM(E95:H95)</f>
        <v>0</v>
      </c>
      <c r="X95" s="149">
        <f t="shared" si="51"/>
        <v>0</v>
      </c>
      <c r="Y95" s="149">
        <f t="shared" si="40"/>
        <v>0</v>
      </c>
      <c r="Z95" s="149">
        <f t="shared" si="41"/>
        <v>0</v>
      </c>
      <c r="AA95" s="149">
        <f t="shared" si="42"/>
        <v>0</v>
      </c>
      <c r="AB95" s="149">
        <f t="shared" si="43"/>
        <v>0</v>
      </c>
      <c r="AC95" s="149">
        <f t="shared" si="44"/>
        <v>0</v>
      </c>
      <c r="AD95" s="149">
        <f t="shared" si="45"/>
        <v>0</v>
      </c>
      <c r="AE95" s="149">
        <f t="shared" si="46"/>
        <v>0</v>
      </c>
    </row>
    <row r="96" spans="1:31" ht="11.25" customHeight="1" x14ac:dyDescent="0.2">
      <c r="A96" s="115" t="s">
        <v>284</v>
      </c>
      <c r="B96" s="116" t="s">
        <v>285</v>
      </c>
      <c r="C96" s="117"/>
      <c r="D96" s="118"/>
      <c r="E96" s="426"/>
      <c r="F96" s="426"/>
      <c r="G96" s="426"/>
      <c r="H96" s="426"/>
      <c r="I96" s="426"/>
      <c r="J96" s="113"/>
      <c r="K96" s="113"/>
      <c r="L96" s="113"/>
      <c r="M96" s="113"/>
      <c r="N96" s="113"/>
      <c r="O96" s="113"/>
      <c r="P96" s="113"/>
      <c r="Q96" s="113">
        <f t="shared" si="53"/>
        <v>0</v>
      </c>
      <c r="R96" s="114"/>
      <c r="T96" s="149">
        <f t="shared" si="54"/>
        <v>0</v>
      </c>
      <c r="U96" s="149">
        <f t="shared" si="50"/>
        <v>0</v>
      </c>
      <c r="V96" s="149">
        <f t="shared" si="38"/>
        <v>0</v>
      </c>
      <c r="W96" s="149">
        <f t="shared" si="55"/>
        <v>0</v>
      </c>
      <c r="X96" s="149">
        <f t="shared" si="51"/>
        <v>0</v>
      </c>
      <c r="Y96" s="149">
        <f t="shared" si="40"/>
        <v>0</v>
      </c>
      <c r="Z96" s="149">
        <f t="shared" si="41"/>
        <v>0</v>
      </c>
      <c r="AA96" s="149">
        <f t="shared" si="42"/>
        <v>0</v>
      </c>
      <c r="AB96" s="149">
        <f t="shared" si="43"/>
        <v>0</v>
      </c>
      <c r="AC96" s="149">
        <f t="shared" si="44"/>
        <v>0</v>
      </c>
      <c r="AD96" s="149">
        <f t="shared" si="45"/>
        <v>0</v>
      </c>
      <c r="AE96" s="149">
        <f t="shared" si="46"/>
        <v>0</v>
      </c>
    </row>
    <row r="97" spans="1:31" ht="11.25" customHeight="1" x14ac:dyDescent="0.2">
      <c r="A97" s="123"/>
      <c r="B97" s="485" t="s">
        <v>529</v>
      </c>
      <c r="C97" s="486"/>
      <c r="D97" s="487"/>
      <c r="E97" s="124">
        <f>SUM(E91:E96)</f>
        <v>0</v>
      </c>
      <c r="F97" s="124">
        <f t="shared" ref="F97:P97" si="56">SUM(F91:F96)</f>
        <v>0</v>
      </c>
      <c r="G97" s="124">
        <f>SUM(G91:G96)</f>
        <v>0</v>
      </c>
      <c r="H97" s="124">
        <f t="shared" si="56"/>
        <v>0</v>
      </c>
      <c r="I97" s="124">
        <f t="shared" si="56"/>
        <v>0</v>
      </c>
      <c r="J97" s="124">
        <f t="shared" si="56"/>
        <v>0</v>
      </c>
      <c r="K97" s="124">
        <f t="shared" si="56"/>
        <v>0</v>
      </c>
      <c r="L97" s="124">
        <f t="shared" si="56"/>
        <v>0</v>
      </c>
      <c r="M97" s="124">
        <f t="shared" si="56"/>
        <v>0</v>
      </c>
      <c r="N97" s="124">
        <f t="shared" si="56"/>
        <v>0</v>
      </c>
      <c r="O97" s="124">
        <f t="shared" si="56"/>
        <v>0</v>
      </c>
      <c r="P97" s="124">
        <f t="shared" si="56"/>
        <v>0</v>
      </c>
      <c r="Q97" s="124">
        <f>SUM(E97:P97)</f>
        <v>0</v>
      </c>
      <c r="R97" s="125" t="s">
        <v>226</v>
      </c>
      <c r="T97" s="431">
        <f t="shared" si="54"/>
        <v>0</v>
      </c>
      <c r="U97" s="431">
        <f t="shared" si="50"/>
        <v>0</v>
      </c>
      <c r="V97" s="431">
        <f t="shared" si="38"/>
        <v>0</v>
      </c>
      <c r="W97" s="431">
        <f t="shared" si="55"/>
        <v>0</v>
      </c>
      <c r="X97" s="431">
        <f t="shared" si="51"/>
        <v>0</v>
      </c>
      <c r="Y97" s="431">
        <f t="shared" si="40"/>
        <v>0</v>
      </c>
      <c r="Z97" s="431">
        <f t="shared" si="41"/>
        <v>0</v>
      </c>
      <c r="AA97" s="431">
        <f t="shared" si="42"/>
        <v>0</v>
      </c>
      <c r="AB97" s="431">
        <f t="shared" si="43"/>
        <v>0</v>
      </c>
      <c r="AC97" s="431">
        <f t="shared" si="44"/>
        <v>0</v>
      </c>
      <c r="AD97" s="431">
        <f t="shared" si="45"/>
        <v>0</v>
      </c>
      <c r="AE97" s="431">
        <f t="shared" si="46"/>
        <v>0</v>
      </c>
    </row>
    <row r="98" spans="1:31" ht="11.25" customHeight="1" x14ac:dyDescent="0.2">
      <c r="A98" s="123"/>
      <c r="B98" s="130" t="s">
        <v>240</v>
      </c>
      <c r="C98" s="131"/>
      <c r="D98" s="132"/>
      <c r="E98" s="124">
        <f>E97+E89</f>
        <v>0</v>
      </c>
      <c r="F98" s="124">
        <f>F97+F89</f>
        <v>0</v>
      </c>
      <c r="G98" s="124">
        <f>G97+G89</f>
        <v>0</v>
      </c>
      <c r="H98" s="124">
        <f t="shared" ref="H98:P98" si="57">H97+H89</f>
        <v>0</v>
      </c>
      <c r="I98" s="124">
        <f t="shared" si="57"/>
        <v>0</v>
      </c>
      <c r="J98" s="124">
        <f t="shared" si="57"/>
        <v>0</v>
      </c>
      <c r="K98" s="124">
        <f t="shared" si="57"/>
        <v>0</v>
      </c>
      <c r="L98" s="124">
        <f t="shared" si="57"/>
        <v>0</v>
      </c>
      <c r="M98" s="124">
        <f t="shared" si="57"/>
        <v>0</v>
      </c>
      <c r="N98" s="124">
        <f t="shared" si="57"/>
        <v>0</v>
      </c>
      <c r="O98" s="124">
        <f>O97+O89</f>
        <v>0</v>
      </c>
      <c r="P98" s="124">
        <f t="shared" si="57"/>
        <v>0</v>
      </c>
      <c r="Q98" s="124">
        <f>SUM(E98:P98)</f>
        <v>0</v>
      </c>
      <c r="R98" s="114"/>
      <c r="T98" s="149">
        <f t="shared" si="54"/>
        <v>0</v>
      </c>
      <c r="U98" s="149">
        <f t="shared" si="50"/>
        <v>0</v>
      </c>
      <c r="V98" s="149">
        <f t="shared" si="38"/>
        <v>0</v>
      </c>
      <c r="W98" s="149">
        <f t="shared" si="55"/>
        <v>0</v>
      </c>
      <c r="X98" s="149">
        <f t="shared" si="51"/>
        <v>0</v>
      </c>
      <c r="Y98" s="149">
        <f t="shared" si="40"/>
        <v>0</v>
      </c>
      <c r="Z98" s="149">
        <f t="shared" si="41"/>
        <v>0</v>
      </c>
      <c r="AA98" s="149">
        <f t="shared" si="42"/>
        <v>0</v>
      </c>
      <c r="AB98" s="149">
        <f t="shared" si="43"/>
        <v>0</v>
      </c>
      <c r="AC98" s="149">
        <f t="shared" si="44"/>
        <v>0</v>
      </c>
      <c r="AD98" s="149">
        <f t="shared" si="45"/>
        <v>0</v>
      </c>
      <c r="AE98" s="149">
        <f t="shared" si="46"/>
        <v>0</v>
      </c>
    </row>
    <row r="99" spans="1:31" ht="11.25" customHeight="1" x14ac:dyDescent="0.2">
      <c r="A99" s="123" t="s">
        <v>545</v>
      </c>
      <c r="B99" s="130" t="s">
        <v>546</v>
      </c>
      <c r="C99" s="131"/>
      <c r="D99" s="132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>
        <f>SUM(E99:P99)</f>
        <v>0</v>
      </c>
      <c r="R99" s="125" t="s">
        <v>242</v>
      </c>
      <c r="T99" s="149">
        <f t="shared" si="54"/>
        <v>0</v>
      </c>
      <c r="U99" s="149">
        <f>SUM(E99:F99)</f>
        <v>0</v>
      </c>
      <c r="V99" s="149">
        <f t="shared" si="38"/>
        <v>0</v>
      </c>
      <c r="W99" s="149">
        <f t="shared" si="55"/>
        <v>0</v>
      </c>
      <c r="X99" s="149">
        <f t="shared" si="51"/>
        <v>0</v>
      </c>
      <c r="Y99" s="149">
        <f t="shared" si="40"/>
        <v>0</v>
      </c>
      <c r="Z99" s="149">
        <f t="shared" si="41"/>
        <v>0</v>
      </c>
      <c r="AA99" s="149">
        <f t="shared" si="42"/>
        <v>0</v>
      </c>
      <c r="AB99" s="149">
        <f t="shared" si="43"/>
        <v>0</v>
      </c>
      <c r="AC99" s="149">
        <f t="shared" si="44"/>
        <v>0</v>
      </c>
      <c r="AD99" s="149">
        <f t="shared" si="45"/>
        <v>0</v>
      </c>
      <c r="AE99" s="149">
        <f t="shared" si="46"/>
        <v>0</v>
      </c>
    </row>
    <row r="100" spans="1:31" ht="11.25" customHeight="1" x14ac:dyDescent="0.2">
      <c r="A100" s="123"/>
      <c r="B100" s="488" t="s">
        <v>287</v>
      </c>
      <c r="C100" s="489"/>
      <c r="D100" s="490"/>
      <c r="E100" s="124">
        <f>SUM(E98:E99)</f>
        <v>0</v>
      </c>
      <c r="F100" s="124">
        <f>SUM(F98:F99)</f>
        <v>0</v>
      </c>
      <c r="G100" s="124">
        <f>SUM(G98:G99)</f>
        <v>0</v>
      </c>
      <c r="H100" s="124">
        <f t="shared" ref="H100:Q100" si="58">SUM(H98:H99)</f>
        <v>0</v>
      </c>
      <c r="I100" s="124">
        <f t="shared" si="58"/>
        <v>0</v>
      </c>
      <c r="J100" s="124">
        <f t="shared" si="58"/>
        <v>0</v>
      </c>
      <c r="K100" s="124">
        <f t="shared" si="58"/>
        <v>0</v>
      </c>
      <c r="L100" s="124">
        <f>SUM(L98:L99)</f>
        <v>0</v>
      </c>
      <c r="M100" s="124">
        <f t="shared" si="58"/>
        <v>0</v>
      </c>
      <c r="N100" s="124">
        <f>SUM(N98:N99)</f>
        <v>0</v>
      </c>
      <c r="O100" s="124">
        <f t="shared" si="58"/>
        <v>0</v>
      </c>
      <c r="P100" s="124">
        <f t="shared" si="58"/>
        <v>0</v>
      </c>
      <c r="Q100" s="124">
        <f t="shared" si="58"/>
        <v>0</v>
      </c>
      <c r="R100" s="114"/>
      <c r="T100" s="149">
        <f t="shared" si="54"/>
        <v>0</v>
      </c>
      <c r="U100" s="149">
        <f t="shared" ref="U100:U103" si="59">SUM(E100:F100)</f>
        <v>0</v>
      </c>
      <c r="V100" s="149">
        <f t="shared" si="38"/>
        <v>0</v>
      </c>
      <c r="W100" s="149">
        <f t="shared" si="55"/>
        <v>0</v>
      </c>
      <c r="X100" s="149">
        <f t="shared" si="51"/>
        <v>0</v>
      </c>
      <c r="Y100" s="149">
        <f t="shared" si="40"/>
        <v>0</v>
      </c>
      <c r="Z100" s="149">
        <f t="shared" si="41"/>
        <v>0</v>
      </c>
      <c r="AA100" s="149">
        <f t="shared" si="42"/>
        <v>0</v>
      </c>
      <c r="AB100" s="149">
        <f t="shared" si="43"/>
        <v>0</v>
      </c>
      <c r="AC100" s="149">
        <f t="shared" si="44"/>
        <v>0</v>
      </c>
      <c r="AD100" s="149">
        <f t="shared" si="45"/>
        <v>0</v>
      </c>
      <c r="AE100" s="149">
        <f t="shared" si="46"/>
        <v>0</v>
      </c>
    </row>
    <row r="101" spans="1:31" ht="11.25" customHeight="1" x14ac:dyDescent="0.2">
      <c r="A101" s="372" t="s">
        <v>195</v>
      </c>
      <c r="B101" s="373" t="s">
        <v>630</v>
      </c>
      <c r="C101" s="369"/>
      <c r="D101" s="370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>
        <f>SUM(E101:P101)</f>
        <v>0</v>
      </c>
      <c r="R101" s="114"/>
      <c r="T101" s="149">
        <f t="shared" si="54"/>
        <v>0</v>
      </c>
      <c r="U101" s="149">
        <f t="shared" si="59"/>
        <v>0</v>
      </c>
      <c r="V101" s="149">
        <f t="shared" si="38"/>
        <v>0</v>
      </c>
      <c r="W101" s="149">
        <f t="shared" si="55"/>
        <v>0</v>
      </c>
      <c r="X101" s="149">
        <f>SUM(E101:I101)</f>
        <v>0</v>
      </c>
      <c r="Y101" s="149">
        <f t="shared" si="40"/>
        <v>0</v>
      </c>
      <c r="Z101" s="149">
        <f t="shared" si="41"/>
        <v>0</v>
      </c>
      <c r="AA101" s="149">
        <f t="shared" si="42"/>
        <v>0</v>
      </c>
      <c r="AB101" s="149">
        <f t="shared" si="43"/>
        <v>0</v>
      </c>
      <c r="AC101" s="149">
        <f t="shared" si="44"/>
        <v>0</v>
      </c>
      <c r="AD101" s="149">
        <f t="shared" si="45"/>
        <v>0</v>
      </c>
      <c r="AE101" s="149">
        <f t="shared" si="46"/>
        <v>0</v>
      </c>
    </row>
    <row r="102" spans="1:31" ht="11.25" customHeight="1" x14ac:dyDescent="0.2">
      <c r="A102" s="140"/>
      <c r="B102" s="143" t="s">
        <v>288</v>
      </c>
      <c r="C102" s="117"/>
      <c r="D102" s="118"/>
      <c r="E102" s="371">
        <f>E98+E67+E32+E101</f>
        <v>0</v>
      </c>
      <c r="F102" s="371">
        <f t="shared" ref="F102:P102" si="60">F98+F67+F32+F101</f>
        <v>0</v>
      </c>
      <c r="G102" s="371">
        <f>G98+G67+G32+G101</f>
        <v>0</v>
      </c>
      <c r="H102" s="371">
        <f t="shared" si="60"/>
        <v>0</v>
      </c>
      <c r="I102" s="371">
        <f>I98+I67+I32+I101</f>
        <v>0</v>
      </c>
      <c r="J102" s="371">
        <f t="shared" si="60"/>
        <v>0</v>
      </c>
      <c r="K102" s="371">
        <f t="shared" si="60"/>
        <v>0</v>
      </c>
      <c r="L102" s="371">
        <f t="shared" si="60"/>
        <v>0</v>
      </c>
      <c r="M102" s="371">
        <f t="shared" si="60"/>
        <v>0</v>
      </c>
      <c r="N102" s="371">
        <f t="shared" si="60"/>
        <v>0</v>
      </c>
      <c r="O102" s="371">
        <f t="shared" si="60"/>
        <v>0</v>
      </c>
      <c r="P102" s="371">
        <f t="shared" si="60"/>
        <v>0</v>
      </c>
      <c r="Q102" s="371">
        <f>SUM(E102:P102)</f>
        <v>0</v>
      </c>
      <c r="R102" s="125"/>
      <c r="T102" s="149">
        <f t="shared" si="54"/>
        <v>0</v>
      </c>
      <c r="U102" s="149">
        <f t="shared" si="59"/>
        <v>0</v>
      </c>
      <c r="V102" s="149">
        <f t="shared" si="38"/>
        <v>0</v>
      </c>
      <c r="W102" s="149">
        <f t="shared" si="55"/>
        <v>0</v>
      </c>
      <c r="X102" s="149">
        <f t="shared" si="51"/>
        <v>0</v>
      </c>
      <c r="Y102" s="149">
        <f t="shared" si="40"/>
        <v>0</v>
      </c>
      <c r="Z102" s="149">
        <f t="shared" si="41"/>
        <v>0</v>
      </c>
      <c r="AA102" s="149">
        <f t="shared" si="42"/>
        <v>0</v>
      </c>
      <c r="AB102" s="149">
        <f t="shared" si="43"/>
        <v>0</v>
      </c>
      <c r="AC102" s="149">
        <f t="shared" si="44"/>
        <v>0</v>
      </c>
      <c r="AD102" s="149">
        <f t="shared" si="45"/>
        <v>0</v>
      </c>
      <c r="AE102" s="149">
        <f t="shared" si="46"/>
        <v>0</v>
      </c>
    </row>
    <row r="103" spans="1:31" ht="11.25" customHeight="1" x14ac:dyDescent="0.2">
      <c r="A103" s="123"/>
      <c r="B103" s="130" t="s">
        <v>547</v>
      </c>
      <c r="C103" s="131"/>
      <c r="D103" s="132"/>
      <c r="E103" s="113">
        <f>E99+E68+E33</f>
        <v>0</v>
      </c>
      <c r="F103" s="113">
        <f>F99+F68+F33</f>
        <v>0</v>
      </c>
      <c r="G103" s="113">
        <f>G99+G68+G33</f>
        <v>0</v>
      </c>
      <c r="H103" s="113">
        <f t="shared" ref="H103:P103" si="61">H99+H68+H33</f>
        <v>0</v>
      </c>
      <c r="I103" s="113">
        <f t="shared" si="61"/>
        <v>0</v>
      </c>
      <c r="J103" s="113">
        <f t="shared" si="61"/>
        <v>0</v>
      </c>
      <c r="K103" s="113">
        <f t="shared" si="61"/>
        <v>0</v>
      </c>
      <c r="L103" s="113">
        <f t="shared" si="61"/>
        <v>0</v>
      </c>
      <c r="M103" s="113">
        <f t="shared" si="61"/>
        <v>0</v>
      </c>
      <c r="N103" s="113">
        <f t="shared" si="61"/>
        <v>0</v>
      </c>
      <c r="O103" s="113">
        <f t="shared" si="61"/>
        <v>0</v>
      </c>
      <c r="P103" s="113">
        <f t="shared" si="61"/>
        <v>0</v>
      </c>
      <c r="Q103" s="113">
        <f>SUM(E103:P103)</f>
        <v>0</v>
      </c>
      <c r="R103" s="125" t="s">
        <v>242</v>
      </c>
      <c r="T103" s="149">
        <f t="shared" si="54"/>
        <v>0</v>
      </c>
      <c r="U103" s="149">
        <f t="shared" si="59"/>
        <v>0</v>
      </c>
      <c r="V103" s="149">
        <f t="shared" si="38"/>
        <v>0</v>
      </c>
      <c r="W103" s="149">
        <f t="shared" si="55"/>
        <v>0</v>
      </c>
      <c r="X103" s="149">
        <f t="shared" si="51"/>
        <v>0</v>
      </c>
      <c r="Y103" s="149">
        <f t="shared" si="40"/>
        <v>0</v>
      </c>
      <c r="Z103" s="149">
        <f t="shared" si="41"/>
        <v>0</v>
      </c>
      <c r="AA103" s="149">
        <f t="shared" si="42"/>
        <v>0</v>
      </c>
      <c r="AB103" s="149">
        <f t="shared" si="43"/>
        <v>0</v>
      </c>
      <c r="AC103" s="149">
        <f t="shared" si="44"/>
        <v>0</v>
      </c>
      <c r="AD103" s="149">
        <f t="shared" si="45"/>
        <v>0</v>
      </c>
      <c r="AE103" s="149">
        <f t="shared" si="46"/>
        <v>0</v>
      </c>
    </row>
    <row r="104" spans="1:31" ht="22.5" customHeight="1" thickBot="1" x14ac:dyDescent="0.25">
      <c r="A104" s="144"/>
      <c r="B104" s="491" t="s">
        <v>548</v>
      </c>
      <c r="C104" s="492"/>
      <c r="D104" s="493"/>
      <c r="E104" s="145">
        <f t="shared" ref="E104:J104" si="62">SUM(E102:E103)</f>
        <v>0</v>
      </c>
      <c r="F104" s="145">
        <f>SUM(F102:F103)</f>
        <v>0</v>
      </c>
      <c r="G104" s="145">
        <f>SUM(G102:G103)</f>
        <v>0</v>
      </c>
      <c r="H104" s="145">
        <f t="shared" si="62"/>
        <v>0</v>
      </c>
      <c r="I104" s="145">
        <f>SUM(I102:I103)</f>
        <v>0</v>
      </c>
      <c r="J104" s="145">
        <f t="shared" si="62"/>
        <v>0</v>
      </c>
      <c r="K104" s="145">
        <f t="shared" ref="K104:O104" si="63">SUM(K102:K103)</f>
        <v>0</v>
      </c>
      <c r="L104" s="145">
        <f t="shared" si="63"/>
        <v>0</v>
      </c>
      <c r="M104" s="145">
        <f t="shared" si="63"/>
        <v>0</v>
      </c>
      <c r="N104" s="145">
        <f t="shared" si="63"/>
        <v>0</v>
      </c>
      <c r="O104" s="145">
        <f t="shared" si="63"/>
        <v>0</v>
      </c>
      <c r="P104" s="145">
        <f>SUM(P102:P103)</f>
        <v>0</v>
      </c>
      <c r="Q104" s="145">
        <f>SUM(Q102:Q103)</f>
        <v>0</v>
      </c>
      <c r="R104" s="146"/>
      <c r="T104" s="149">
        <f t="shared" si="54"/>
        <v>0</v>
      </c>
      <c r="U104" s="149">
        <f>SUM(E104:F104)</f>
        <v>0</v>
      </c>
      <c r="V104" s="149">
        <f t="shared" si="38"/>
        <v>0</v>
      </c>
      <c r="W104" s="149">
        <f t="shared" si="55"/>
        <v>0</v>
      </c>
      <c r="X104" s="149">
        <f t="shared" si="51"/>
        <v>0</v>
      </c>
      <c r="Y104" s="149">
        <f t="shared" si="40"/>
        <v>0</v>
      </c>
      <c r="Z104" s="149">
        <f t="shared" si="41"/>
        <v>0</v>
      </c>
      <c r="AA104" s="149">
        <f t="shared" si="42"/>
        <v>0</v>
      </c>
      <c r="AB104" s="149">
        <f t="shared" si="43"/>
        <v>0</v>
      </c>
      <c r="AC104" s="149">
        <f t="shared" si="44"/>
        <v>0</v>
      </c>
      <c r="AD104" s="149">
        <f t="shared" si="45"/>
        <v>0</v>
      </c>
      <c r="AE104" s="149">
        <f t="shared" si="46"/>
        <v>0</v>
      </c>
    </row>
    <row r="105" spans="1:31" ht="11.25" customHeight="1" thickTop="1" x14ac:dyDescent="0.2"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T105" s="149"/>
      <c r="AC105" s="149"/>
    </row>
    <row r="106" spans="1:31" ht="11.25" customHeight="1" x14ac:dyDescent="0.2">
      <c r="C106" s="148"/>
      <c r="D106" s="148"/>
      <c r="E106" s="148"/>
      <c r="F106" s="148"/>
      <c r="G106" s="148">
        <f>E37+E44+E50+E51+E52+E73+E77+E83+E84+E85+E29-E28+E63+F37+F44+F50+F51+F52+F73+F77+F83+F84+F85+F29-F28+F63+G37+G44+G50+G51+G52+G73+G77+'RINCIAN B. LANGSUNG USAHA'!G83+'RINCIAN B. LANGSUNG USAHA'!G84+'RINCIAN B. LANGSUNG USAHA'!G85+'RINCIAN B. TDK LANGSUNG'!G29-'RINCIAN B. TDK LANGSUNG'!G28+'RINCIAN B. TDK LANGSUNG'!G63</f>
        <v>0</v>
      </c>
      <c r="H106" s="148">
        <f>E37+E44+E50+E51+E52+E73+E77+E83+E84+E85+E29-E28+E63+F37+F44+F50+F51+F52+F73+F77+F83+F84+F85+F29-F28+F63+G37+G44+G50+G51+G52+G73+G77+G83+G84+G85+G29-G28+G63</f>
        <v>0</v>
      </c>
      <c r="I106" s="148">
        <f>'RINCIAN B. LANGSUNG USAHA'!E37+'RINCIAN B. LANGSUNG USAHA'!E44+'RINCIAN B. LANGSUNG USAHA'!E50+'RINCIAN B. LANGSUNG USAHA'!E51+'RINCIAN B. LANGSUNG USAHA'!E52+'RINCIAN B. LANGSUNG USAHA'!E73+'RINCIAN B. LANGSUNG USAHA'!E77+'RINCIAN B. LANGSUNG USAHA'!E83+'RINCIAN B. LANGSUNG USAHA'!E84+'RINCIAN B. LANGSUNG USAHA'!E85+'RINCIAN B. TDK LANGSUNG'!E29-'RINCIAN B. TDK LANGSUNG'!E28+'RINCIAN B. TDK LANGSUNG'!E63+'RINCIAN B. LANGSUNG USAHA'!F37+'RINCIAN B. LANGSUNG USAHA'!F44+'RINCIAN B. LANGSUNG USAHA'!F50+'RINCIAN B. LANGSUNG USAHA'!F51+'RINCIAN B. LANGSUNG USAHA'!F52+'RINCIAN B. LANGSUNG USAHA'!F73+'RINCIAN B. LANGSUNG USAHA'!F77+'RINCIAN B. LANGSUNG USAHA'!F83+'RINCIAN B. LANGSUNG USAHA'!F84+'RINCIAN B. LANGSUNG USAHA'!F85+'RINCIAN B. TDK LANGSUNG'!F29-'RINCIAN B. TDK LANGSUNG'!F28+'RINCIAN B. TDK LANGSUNG'!F63+'RINCIAN B. LANGSUNG USAHA'!G37+'RINCIAN B. LANGSUNG USAHA'!G44+'RINCIAN B. LANGSUNG USAHA'!G50+'RINCIAN B. LANGSUNG USAHA'!G51+'RINCIAN B. LANGSUNG USAHA'!G52+'RINCIAN B. LANGSUNG USAHA'!G73+'RINCIAN B. LANGSUNG USAHA'!G77+'RINCIAN B. LANGSUNG USAHA'!G83+'RINCIAN B. LANGSUNG USAHA'!G84+'RINCIAN B. LANGSUNG USAHA'!G85+'RINCIAN B. TDK LANGSUNG'!G29-'RINCIAN B. TDK LANGSUNG'!G28+'RINCIAN B. TDK LANGSUNG'!G63</f>
        <v>0</v>
      </c>
      <c r="J106" s="148"/>
      <c r="K106" s="148"/>
      <c r="L106" s="148"/>
      <c r="M106" s="148"/>
      <c r="N106" s="148"/>
      <c r="Q106" s="149">
        <f>Q37+Q44+Q50+Q51+Q52+Q73+Q77+Q83+Q84+Q85+Q29-Q28+Q63</f>
        <v>0</v>
      </c>
    </row>
    <row r="107" spans="1:31" ht="11.25" customHeight="1" x14ac:dyDescent="0.2">
      <c r="C107" s="148"/>
      <c r="D107" s="148"/>
      <c r="E107" s="148"/>
      <c r="F107" s="148"/>
      <c r="G107" s="148" t="s">
        <v>772</v>
      </c>
      <c r="H107" s="148"/>
      <c r="I107" s="148"/>
      <c r="J107" s="148"/>
      <c r="K107" s="148"/>
      <c r="L107" s="148"/>
      <c r="M107" s="148"/>
      <c r="N107" s="148"/>
      <c r="T107" s="428">
        <v>1</v>
      </c>
      <c r="U107" s="428">
        <v>2</v>
      </c>
      <c r="V107" s="428">
        <v>3</v>
      </c>
      <c r="W107" s="428">
        <v>4</v>
      </c>
      <c r="X107" s="428">
        <v>5</v>
      </c>
      <c r="Y107" s="428">
        <v>6</v>
      </c>
      <c r="Z107" s="428">
        <v>7</v>
      </c>
      <c r="AA107" s="428">
        <v>8</v>
      </c>
      <c r="AB107" s="428">
        <v>9</v>
      </c>
      <c r="AC107" s="428">
        <v>10</v>
      </c>
      <c r="AD107" s="428">
        <v>11</v>
      </c>
      <c r="AE107" s="428">
        <v>12</v>
      </c>
    </row>
    <row r="108" spans="1:31" ht="11.25" customHeight="1" x14ac:dyDescent="0.2">
      <c r="C108" s="148"/>
      <c r="D108" s="148">
        <f>H18+H19+H27+H28+H29+H31+H37+H44+H51+H59+H65+H73+H77+H87+4030000</f>
        <v>4030000</v>
      </c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S108" s="70" t="s">
        <v>461</v>
      </c>
      <c r="T108" s="149">
        <f>T37+T44+T50+T51+T52+T73+T77+T84+T85+'RINCIAN B. TDK LANGSUNG'!T29-'RINCIAN B. TDK LANGSUNG'!T28+'RINCIAN B. TDK LANGSUNG'!T63</f>
        <v>0</v>
      </c>
      <c r="U108" s="149">
        <f>U37+U44+U50+U51+U52+U73+U77+U84+U85+'RINCIAN B. TDK LANGSUNG'!U29-'RINCIAN B. TDK LANGSUNG'!U28+'RINCIAN B. TDK LANGSUNG'!U63</f>
        <v>0</v>
      </c>
      <c r="V108" s="149">
        <f>V37+V44+V50+V51+V52+V73+V77+V84+V85+'RINCIAN B. TDK LANGSUNG'!V29-'RINCIAN B. TDK LANGSUNG'!V28+'RINCIAN B. TDK LANGSUNG'!V63</f>
        <v>0</v>
      </c>
      <c r="W108" s="149">
        <f>W37+W44+W50+W51+W52+W73+W77+W84+W85+'RINCIAN B. TDK LANGSUNG'!W29-'RINCIAN B. TDK LANGSUNG'!W28+'RINCIAN B. TDK LANGSUNG'!W63</f>
        <v>0</v>
      </c>
      <c r="X108" s="149">
        <f>X37+X44+X50+X51+X52+X73+X77+X84+X85+'RINCIAN B. TDK LANGSUNG'!X29-'RINCIAN B. TDK LANGSUNG'!X28+'RINCIAN B. TDK LANGSUNG'!X63</f>
        <v>0</v>
      </c>
      <c r="Y108" s="149">
        <f>Y37+Y44+Y50+Y51+Y52+Y73+Y77+Y84+Y85+'RINCIAN B. TDK LANGSUNG'!Y29-'RINCIAN B. TDK LANGSUNG'!Y28+'RINCIAN B. TDK LANGSUNG'!Y63</f>
        <v>0</v>
      </c>
      <c r="Z108" s="149">
        <f>Z37+Z44+Z50+Z51+Z52+Z73+Z77+Z84+Z85+'RINCIAN B. TDK LANGSUNG'!Z29-'RINCIAN B. TDK LANGSUNG'!Z28+'RINCIAN B. TDK LANGSUNG'!Z63</f>
        <v>0</v>
      </c>
      <c r="AA108" s="149">
        <f>AA37+AA44+AA50+AA51+AA52+AA73+AA77+AA84+AA85+'RINCIAN B. TDK LANGSUNG'!AA29-'RINCIAN B. TDK LANGSUNG'!AA28+'RINCIAN B. TDK LANGSUNG'!AA63</f>
        <v>0</v>
      </c>
      <c r="AB108" s="149">
        <f>AB37+AB44+AB50+AB51+AB52+AB73+AB77+AB84+AB85+'RINCIAN B. TDK LANGSUNG'!AB29-'RINCIAN B. TDK LANGSUNG'!AB28+'RINCIAN B. TDK LANGSUNG'!AB63</f>
        <v>0</v>
      </c>
      <c r="AC108" s="149">
        <f>AC37+AC44+AC50+AC51+AC52+AC73+AC77+AC84+AC85+'RINCIAN B. TDK LANGSUNG'!AC29-'RINCIAN B. TDK LANGSUNG'!AC28+'RINCIAN B. TDK LANGSUNG'!AC63</f>
        <v>0</v>
      </c>
      <c r="AD108" s="149">
        <f>AD37+AD44+AD50+AD51+AD52+AD73+AD77+AD84+AD85+'RINCIAN B. TDK LANGSUNG'!AD29-'RINCIAN B. TDK LANGSUNG'!AD28+'RINCIAN B. TDK LANGSUNG'!AD63</f>
        <v>0</v>
      </c>
      <c r="AE108" s="149">
        <f>AE37+AE44+AE50+AE51+AE52+AE73+AE77+AE84+AE85+'RINCIAN B. TDK LANGSUNG'!AE29-'RINCIAN B. TDK LANGSUNG'!AE28+'RINCIAN B. TDK LANGSUNG'!AE63</f>
        <v>0</v>
      </c>
    </row>
    <row r="109" spans="1:31" ht="11.25" customHeight="1" x14ac:dyDescent="0.2">
      <c r="C109" s="148"/>
      <c r="D109" s="148">
        <f>D108+'RINCIAN B. TDK LANGSUNG'!D83</f>
        <v>4030000</v>
      </c>
      <c r="E109" s="148"/>
      <c r="F109" s="148"/>
      <c r="G109" s="148"/>
      <c r="H109" s="148">
        <f>'RINCIAN B. TDK LANGSUNG'!E62+'RINCIAN B. TDK LANGSUNG'!F62+'RINCIAN B. TDK LANGSUNG'!G62</f>
        <v>0</v>
      </c>
      <c r="I109" s="148"/>
      <c r="J109" s="148"/>
      <c r="K109" s="148"/>
      <c r="L109" s="148"/>
      <c r="M109" s="148"/>
      <c r="N109" s="148"/>
      <c r="S109" s="70" t="s">
        <v>778</v>
      </c>
      <c r="T109" s="149">
        <f>T19</f>
        <v>0</v>
      </c>
      <c r="U109" s="149">
        <f t="shared" ref="U109:AE109" si="64">U19</f>
        <v>0</v>
      </c>
      <c r="V109" s="149">
        <f t="shared" si="64"/>
        <v>0</v>
      </c>
      <c r="W109" s="149">
        <f t="shared" si="64"/>
        <v>0</v>
      </c>
      <c r="X109" s="149">
        <f t="shared" si="64"/>
        <v>0</v>
      </c>
      <c r="Y109" s="149">
        <f t="shared" si="64"/>
        <v>0</v>
      </c>
      <c r="Z109" s="149">
        <f t="shared" si="64"/>
        <v>0</v>
      </c>
      <c r="AA109" s="149">
        <f t="shared" si="64"/>
        <v>0</v>
      </c>
      <c r="AB109" s="149">
        <f t="shared" si="64"/>
        <v>0</v>
      </c>
      <c r="AC109" s="149">
        <f t="shared" si="64"/>
        <v>0</v>
      </c>
      <c r="AD109" s="149">
        <f t="shared" si="64"/>
        <v>0</v>
      </c>
      <c r="AE109" s="149">
        <f t="shared" si="64"/>
        <v>0</v>
      </c>
    </row>
    <row r="110" spans="1:31" ht="11.25" customHeight="1" x14ac:dyDescent="0.2">
      <c r="C110" s="148"/>
      <c r="D110" s="148">
        <f>[2]DVUD!$H$347+[2]DVUD!$H$301</f>
        <v>44439000</v>
      </c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S110" s="70" t="s">
        <v>787</v>
      </c>
      <c r="T110" s="149">
        <f>T53</f>
        <v>0</v>
      </c>
      <c r="U110" s="149">
        <f t="shared" ref="U110:AE110" si="65">U53</f>
        <v>0</v>
      </c>
      <c r="V110" s="149">
        <f t="shared" si="65"/>
        <v>0</v>
      </c>
      <c r="W110" s="149">
        <f t="shared" si="65"/>
        <v>0</v>
      </c>
      <c r="X110" s="149">
        <f t="shared" si="65"/>
        <v>0</v>
      </c>
      <c r="Y110" s="149">
        <f t="shared" si="65"/>
        <v>0</v>
      </c>
      <c r="Z110" s="149">
        <f t="shared" si="65"/>
        <v>0</v>
      </c>
      <c r="AA110" s="149">
        <f t="shared" si="65"/>
        <v>0</v>
      </c>
      <c r="AB110" s="149">
        <f t="shared" si="65"/>
        <v>0</v>
      </c>
      <c r="AC110" s="149">
        <f t="shared" si="65"/>
        <v>0</v>
      </c>
      <c r="AD110" s="149">
        <f t="shared" si="65"/>
        <v>0</v>
      </c>
      <c r="AE110" s="149">
        <f t="shared" si="65"/>
        <v>0</v>
      </c>
    </row>
    <row r="111" spans="1:31" ht="11.25" customHeight="1" x14ac:dyDescent="0.2">
      <c r="C111" s="148"/>
      <c r="D111" s="148">
        <f>[2]DVUD!$H$390</f>
        <v>2518000</v>
      </c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Q111" s="149"/>
      <c r="S111" s="70" t="s">
        <v>779</v>
      </c>
      <c r="T111" s="149">
        <f>'RINCIAN B. TDK LANGSUNG'!T49</f>
        <v>0</v>
      </c>
      <c r="U111" s="149">
        <f>'RINCIAN B. TDK LANGSUNG'!U49</f>
        <v>0</v>
      </c>
      <c r="V111" s="149">
        <f>'RINCIAN B. TDK LANGSUNG'!V49</f>
        <v>0</v>
      </c>
      <c r="W111" s="149">
        <f>'RINCIAN B. TDK LANGSUNG'!W49</f>
        <v>0</v>
      </c>
      <c r="X111" s="149">
        <f>'RINCIAN B. TDK LANGSUNG'!X49</f>
        <v>0</v>
      </c>
      <c r="Y111" s="149">
        <f>'RINCIAN B. TDK LANGSUNG'!Y49</f>
        <v>0</v>
      </c>
      <c r="Z111" s="149">
        <f>'RINCIAN B. TDK LANGSUNG'!Z49</f>
        <v>0</v>
      </c>
      <c r="AA111" s="149">
        <f>'RINCIAN B. TDK LANGSUNG'!AA49</f>
        <v>0</v>
      </c>
      <c r="AB111" s="149">
        <f>'RINCIAN B. TDK LANGSUNG'!AB49</f>
        <v>0</v>
      </c>
      <c r="AC111" s="149">
        <f>'RINCIAN B. TDK LANGSUNG'!AC49</f>
        <v>0</v>
      </c>
      <c r="AD111" s="149">
        <f>'RINCIAN B. TDK LANGSUNG'!AD49</f>
        <v>0</v>
      </c>
      <c r="AE111" s="149">
        <f>'RINCIAN B. TDK LANGSUNG'!AE49</f>
        <v>0</v>
      </c>
    </row>
    <row r="112" spans="1:31" ht="11.25" customHeight="1" x14ac:dyDescent="0.2">
      <c r="C112" s="148"/>
      <c r="D112" s="148">
        <f>D109+D110</f>
        <v>48469000</v>
      </c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Q112" s="149"/>
      <c r="S112" s="70" t="s">
        <v>780</v>
      </c>
      <c r="T112" s="149">
        <f>T30+T66+T97+'RINCIAN B. TDK LANGSUNG'!T59</f>
        <v>0</v>
      </c>
      <c r="U112" s="149">
        <f>U30+U66+U97+'RINCIAN B. TDK LANGSUNG'!U59</f>
        <v>0</v>
      </c>
      <c r="V112" s="149">
        <f>V30+V66+V97+'RINCIAN B. TDK LANGSUNG'!V59</f>
        <v>0</v>
      </c>
      <c r="W112" s="149">
        <f>W30+W66+W97+'RINCIAN B. TDK LANGSUNG'!W59</f>
        <v>0</v>
      </c>
      <c r="X112" s="149">
        <f>X30+X66+X97+'RINCIAN B. TDK LANGSUNG'!X59</f>
        <v>0</v>
      </c>
      <c r="Y112" s="149">
        <f>Y30+Y66+Y97+'RINCIAN B. TDK LANGSUNG'!Y59</f>
        <v>0</v>
      </c>
      <c r="Z112" s="149">
        <f>Z30+Z66+Z97+'RINCIAN B. TDK LANGSUNG'!Z59</f>
        <v>0</v>
      </c>
      <c r="AA112" s="149">
        <f>AA30+AA66+AA97+'RINCIAN B. TDK LANGSUNG'!AA59</f>
        <v>0</v>
      </c>
      <c r="AB112" s="149">
        <f>AB30+AB66+AB97+'RINCIAN B. TDK LANGSUNG'!AB59</f>
        <v>0</v>
      </c>
      <c r="AC112" s="149">
        <f>AC30+AC66+AC97+'RINCIAN B. TDK LANGSUNG'!AC59</f>
        <v>0</v>
      </c>
      <c r="AD112" s="149">
        <f>AD30+AD66+AD97+'RINCIAN B. TDK LANGSUNG'!AD59</f>
        <v>0</v>
      </c>
      <c r="AE112" s="149">
        <f>AE30+AE66+AE97+'RINCIAN B. TDK LANGSUNG'!AE59</f>
        <v>0</v>
      </c>
    </row>
    <row r="113" spans="3:31" ht="11.25" customHeight="1" x14ac:dyDescent="0.2">
      <c r="C113" s="148"/>
      <c r="D113" s="148">
        <f>D112-D111</f>
        <v>45951000</v>
      </c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443">
        <f>26420950+1030550+3497700</f>
        <v>30949200</v>
      </c>
      <c r="Q113" s="149"/>
      <c r="S113" s="70" t="s">
        <v>781</v>
      </c>
      <c r="T113" s="149">
        <f>'RINCIAN B. TDK LANGSUNG'!T76</f>
        <v>0</v>
      </c>
      <c r="U113" s="149">
        <f>'RINCIAN B. TDK LANGSUNG'!U76</f>
        <v>0</v>
      </c>
      <c r="V113" s="149">
        <f>'RINCIAN B. TDK LANGSUNG'!V76</f>
        <v>0</v>
      </c>
      <c r="W113" s="149">
        <f>'RINCIAN B. TDK LANGSUNG'!W76</f>
        <v>0</v>
      </c>
      <c r="X113" s="149">
        <f>'RINCIAN B. TDK LANGSUNG'!X76</f>
        <v>0</v>
      </c>
      <c r="Y113" s="149">
        <f>'RINCIAN B. TDK LANGSUNG'!Y76</f>
        <v>0</v>
      </c>
      <c r="Z113" s="149">
        <f>'RINCIAN B. TDK LANGSUNG'!Z76</f>
        <v>0</v>
      </c>
      <c r="AA113" s="149">
        <f>'RINCIAN B. TDK LANGSUNG'!AA76</f>
        <v>0</v>
      </c>
      <c r="AB113" s="149">
        <f>'RINCIAN B. TDK LANGSUNG'!AB76</f>
        <v>0</v>
      </c>
      <c r="AC113" s="149">
        <f>'RINCIAN B. TDK LANGSUNG'!AC76</f>
        <v>0</v>
      </c>
      <c r="AD113" s="149">
        <f>'RINCIAN B. TDK LANGSUNG'!AD76</f>
        <v>0</v>
      </c>
      <c r="AE113" s="149">
        <f>'RINCIAN B. TDK LANGSUNG'!AE76</f>
        <v>0</v>
      </c>
    </row>
    <row r="114" spans="3:31" ht="11.25" customHeight="1" x14ac:dyDescent="0.2"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S114" s="70" t="s">
        <v>782</v>
      </c>
      <c r="T114" s="149">
        <f>T33+T68+T99+'RINCIAN B. TDK LANGSUNG'!T78</f>
        <v>0</v>
      </c>
      <c r="U114" s="149">
        <f>U33+U68+U99+'RINCIAN B. TDK LANGSUNG'!U78</f>
        <v>0</v>
      </c>
      <c r="V114" s="149">
        <f>V33+V68+V99+'RINCIAN B. TDK LANGSUNG'!V78</f>
        <v>0</v>
      </c>
      <c r="W114" s="149">
        <f>W33+W68+W99+'RINCIAN B. TDK LANGSUNG'!W78</f>
        <v>0</v>
      </c>
      <c r="X114" s="149">
        <f>X33+X68+X99+'RINCIAN B. TDK LANGSUNG'!X78</f>
        <v>0</v>
      </c>
      <c r="Y114" s="149">
        <f>Y33+Y68+Y99+'RINCIAN B. TDK LANGSUNG'!Y78</f>
        <v>0</v>
      </c>
      <c r="Z114" s="149">
        <f>Z33+Z68+Z99+'RINCIAN B. TDK LANGSUNG'!Z78</f>
        <v>0</v>
      </c>
      <c r="AA114" s="149">
        <f>AA33+AA68+AA99+'RINCIAN B. TDK LANGSUNG'!AA78</f>
        <v>0</v>
      </c>
      <c r="AB114" s="149">
        <f>AB33+AB68+AB99+'RINCIAN B. TDK LANGSUNG'!AB78</f>
        <v>0</v>
      </c>
      <c r="AC114" s="149">
        <f>AC33+AC68+AC99+'RINCIAN B. TDK LANGSUNG'!AC78</f>
        <v>0</v>
      </c>
      <c r="AD114" s="149">
        <f>AD33+AD68+AD99+'RINCIAN B. TDK LANGSUNG'!AD78</f>
        <v>0</v>
      </c>
      <c r="AE114" s="149">
        <f>AE33+AE68+AE99+'RINCIAN B. TDK LANGSUNG'!AE78</f>
        <v>0</v>
      </c>
    </row>
    <row r="115" spans="3:31" ht="11.25" customHeight="1" x14ac:dyDescent="0.2"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S115" s="70" t="s">
        <v>788</v>
      </c>
      <c r="T115" s="149">
        <f>'RINCIAN B. TDK LANGSUNG'!T79</f>
        <v>0</v>
      </c>
      <c r="U115" s="149">
        <f>'RINCIAN B. TDK LANGSUNG'!U79</f>
        <v>0</v>
      </c>
      <c r="V115" s="149">
        <f>'RINCIAN B. TDK LANGSUNG'!V79</f>
        <v>0</v>
      </c>
      <c r="W115" s="149">
        <f>'RINCIAN B. TDK LANGSUNG'!W79</f>
        <v>0</v>
      </c>
      <c r="X115" s="149">
        <f>'RINCIAN B. TDK LANGSUNG'!X79</f>
        <v>0</v>
      </c>
      <c r="Y115" s="149">
        <f>'RINCIAN B. TDK LANGSUNG'!Y79</f>
        <v>0</v>
      </c>
      <c r="Z115" s="149">
        <f>'RINCIAN B. TDK LANGSUNG'!Z79</f>
        <v>0</v>
      </c>
      <c r="AA115" s="149">
        <f>'RINCIAN B. TDK LANGSUNG'!AA79</f>
        <v>0</v>
      </c>
      <c r="AB115" s="149">
        <f>'RINCIAN B. TDK LANGSUNG'!AB79</f>
        <v>0</v>
      </c>
      <c r="AC115" s="149">
        <f>'RINCIAN B. TDK LANGSUNG'!AC79</f>
        <v>0</v>
      </c>
      <c r="AD115" s="149">
        <f>'RINCIAN B. TDK LANGSUNG'!AD79</f>
        <v>0</v>
      </c>
      <c r="AE115" s="149">
        <f>'RINCIAN B. TDK LANGSUNG'!AE79</f>
        <v>0</v>
      </c>
    </row>
    <row r="116" spans="3:31" ht="11.25" customHeight="1" x14ac:dyDescent="0.2">
      <c r="C116" s="148"/>
      <c r="D116" s="445">
        <f>7064800+H101+H99+H95+H68+H33+H53</f>
        <v>7064800</v>
      </c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S116" s="70" t="s">
        <v>789</v>
      </c>
      <c r="T116" s="149">
        <f>'RINCIAN B. TDK LANGSUNG'!T62</f>
        <v>0</v>
      </c>
      <c r="U116" s="149">
        <f>'RINCIAN B. TDK LANGSUNG'!U62</f>
        <v>0</v>
      </c>
      <c r="V116" s="149">
        <f>'RINCIAN B. TDK LANGSUNG'!V62</f>
        <v>0</v>
      </c>
      <c r="W116" s="149">
        <f>'RINCIAN B. TDK LANGSUNG'!W62</f>
        <v>0</v>
      </c>
      <c r="X116" s="149">
        <f>'RINCIAN B. TDK LANGSUNG'!X62</f>
        <v>0</v>
      </c>
      <c r="Y116" s="149">
        <f>'RINCIAN B. TDK LANGSUNG'!Y62</f>
        <v>0</v>
      </c>
      <c r="Z116" s="149">
        <f>'RINCIAN B. TDK LANGSUNG'!Z62</f>
        <v>0</v>
      </c>
      <c r="AA116" s="149">
        <f>'RINCIAN B. TDK LANGSUNG'!AA62</f>
        <v>0</v>
      </c>
      <c r="AB116" s="149">
        <f>'RINCIAN B. TDK LANGSUNG'!AB62</f>
        <v>0</v>
      </c>
      <c r="AC116" s="149">
        <f>'RINCIAN B. TDK LANGSUNG'!AC62</f>
        <v>0</v>
      </c>
      <c r="AD116" s="149">
        <f>'RINCIAN B. TDK LANGSUNG'!AD62</f>
        <v>0</v>
      </c>
      <c r="AE116" s="149">
        <f>'RINCIAN B. TDK LANGSUNG'!AE62</f>
        <v>0</v>
      </c>
    </row>
    <row r="117" spans="3:31" ht="11.25" customHeight="1" x14ac:dyDescent="0.2">
      <c r="C117" s="148"/>
      <c r="D117" s="148">
        <f>I33+I68+I92+I99+I101+I53+I95</f>
        <v>0</v>
      </c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S117" s="70" t="s">
        <v>790</v>
      </c>
      <c r="T117" s="149">
        <f>T20+T58+T86</f>
        <v>0</v>
      </c>
      <c r="U117" s="149">
        <f t="shared" ref="U117:AE117" si="66">U20+U58+U86</f>
        <v>0</v>
      </c>
      <c r="V117" s="149">
        <f t="shared" si="66"/>
        <v>0</v>
      </c>
      <c r="W117" s="149">
        <f t="shared" si="66"/>
        <v>0</v>
      </c>
      <c r="X117" s="149">
        <f t="shared" si="66"/>
        <v>0</v>
      </c>
      <c r="Y117" s="149">
        <f t="shared" si="66"/>
        <v>0</v>
      </c>
      <c r="Z117" s="149">
        <f t="shared" si="66"/>
        <v>0</v>
      </c>
      <c r="AA117" s="149">
        <f t="shared" si="66"/>
        <v>0</v>
      </c>
      <c r="AB117" s="149">
        <f t="shared" si="66"/>
        <v>0</v>
      </c>
      <c r="AC117" s="149">
        <f t="shared" si="66"/>
        <v>0</v>
      </c>
      <c r="AD117" s="149">
        <f t="shared" si="66"/>
        <v>0</v>
      </c>
      <c r="AE117" s="149">
        <f t="shared" si="66"/>
        <v>0</v>
      </c>
    </row>
    <row r="118" spans="3:31" ht="11.25" customHeight="1" x14ac:dyDescent="0.2">
      <c r="C118" s="148"/>
      <c r="D118" s="148">
        <f>H87+H77+H73+H65+H59+H44+H37+H31+H29+H28+H27+H19+H18+522000+2700000+808000</f>
        <v>4030000</v>
      </c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S118" s="70" t="s">
        <v>791</v>
      </c>
      <c r="T118" s="149">
        <f>T18+T87</f>
        <v>0</v>
      </c>
      <c r="U118" s="149">
        <f t="shared" ref="U118:AE118" si="67">U18+U87</f>
        <v>0</v>
      </c>
      <c r="V118" s="149">
        <f t="shared" si="67"/>
        <v>0</v>
      </c>
      <c r="W118" s="149">
        <f t="shared" si="67"/>
        <v>0</v>
      </c>
      <c r="X118" s="149">
        <f t="shared" si="67"/>
        <v>0</v>
      </c>
      <c r="Y118" s="149">
        <f t="shared" si="67"/>
        <v>0</v>
      </c>
      <c r="Z118" s="149">
        <f t="shared" si="67"/>
        <v>0</v>
      </c>
      <c r="AA118" s="149">
        <f t="shared" si="67"/>
        <v>0</v>
      </c>
      <c r="AB118" s="149">
        <f t="shared" si="67"/>
        <v>0</v>
      </c>
      <c r="AC118" s="149">
        <f t="shared" si="67"/>
        <v>0</v>
      </c>
      <c r="AD118" s="149">
        <f t="shared" si="67"/>
        <v>0</v>
      </c>
      <c r="AE118" s="149">
        <f t="shared" si="67"/>
        <v>0</v>
      </c>
    </row>
    <row r="119" spans="3:31" ht="11.25" customHeight="1" x14ac:dyDescent="0.2"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R119" s="149"/>
      <c r="S119" s="70" t="s">
        <v>783</v>
      </c>
      <c r="T119" s="149">
        <f>'RINCIAN B. TDK LANGSUNG'!T44</f>
        <v>0</v>
      </c>
      <c r="U119" s="149">
        <f>'RINCIAN B. TDK LANGSUNG'!U44</f>
        <v>0</v>
      </c>
      <c r="V119" s="149">
        <f>'RINCIAN B. TDK LANGSUNG'!V44</f>
        <v>0</v>
      </c>
      <c r="W119" s="149">
        <f>'RINCIAN B. TDK LANGSUNG'!W44</f>
        <v>0</v>
      </c>
      <c r="X119" s="149">
        <f>'RINCIAN B. TDK LANGSUNG'!X44</f>
        <v>0</v>
      </c>
      <c r="Y119" s="149">
        <f>'RINCIAN B. TDK LANGSUNG'!Y44</f>
        <v>0</v>
      </c>
      <c r="Z119" s="149">
        <f>'RINCIAN B. TDK LANGSUNG'!Z44</f>
        <v>0</v>
      </c>
      <c r="AA119" s="149">
        <f>'RINCIAN B. TDK LANGSUNG'!AA44</f>
        <v>0</v>
      </c>
      <c r="AB119" s="149">
        <f>'RINCIAN B. TDK LANGSUNG'!AB44</f>
        <v>0</v>
      </c>
      <c r="AC119" s="149">
        <f>'RINCIAN B. TDK LANGSUNG'!AC44</f>
        <v>0</v>
      </c>
      <c r="AD119" s="149">
        <f>'RINCIAN B. TDK LANGSUNG'!AD44</f>
        <v>0</v>
      </c>
      <c r="AE119" s="149">
        <f>'RINCIAN B. TDK LANGSUNG'!AE44</f>
        <v>0</v>
      </c>
    </row>
    <row r="120" spans="3:31" ht="11.25" customHeight="1" x14ac:dyDescent="0.2"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S120" s="70" t="s">
        <v>793</v>
      </c>
      <c r="T120" s="149">
        <f>'RINCIAN B. TDK LANGSUNG'!T52</f>
        <v>0</v>
      </c>
      <c r="U120" s="149">
        <f>'RINCIAN B. TDK LANGSUNG'!U52</f>
        <v>0</v>
      </c>
      <c r="V120" s="149">
        <f>'RINCIAN B. TDK LANGSUNG'!V52</f>
        <v>0</v>
      </c>
      <c r="W120" s="149">
        <f>'RINCIAN B. TDK LANGSUNG'!W52</f>
        <v>0</v>
      </c>
      <c r="X120" s="149">
        <f>'RINCIAN B. TDK LANGSUNG'!X52</f>
        <v>0</v>
      </c>
      <c r="Y120" s="149">
        <f>'RINCIAN B. TDK LANGSUNG'!Y52</f>
        <v>0</v>
      </c>
      <c r="Z120" s="149">
        <f>'RINCIAN B. TDK LANGSUNG'!Z52</f>
        <v>0</v>
      </c>
      <c r="AA120" s="149">
        <f>'RINCIAN B. TDK LANGSUNG'!AA52</f>
        <v>0</v>
      </c>
      <c r="AB120" s="149">
        <f>'RINCIAN B. TDK LANGSUNG'!AB52</f>
        <v>0</v>
      </c>
      <c r="AC120" s="149">
        <f>'RINCIAN B. TDK LANGSUNG'!AC52</f>
        <v>0</v>
      </c>
      <c r="AD120" s="149">
        <f>'RINCIAN B. TDK LANGSUNG'!AD52</f>
        <v>0</v>
      </c>
      <c r="AE120" s="149">
        <f>'RINCIAN B. TDK LANGSUNG'!AE52</f>
        <v>0</v>
      </c>
    </row>
    <row r="121" spans="3:31" ht="11.25" customHeight="1" x14ac:dyDescent="0.2">
      <c r="C121" s="148"/>
      <c r="D121" s="148">
        <f>H18+H19+H27+H28+H29+H31+H37+H44+H51+H59+H65+H73+H77+H87</f>
        <v>0</v>
      </c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S121" s="70" t="s">
        <v>784</v>
      </c>
      <c r="T121" s="149">
        <f>T31</f>
        <v>0</v>
      </c>
      <c r="U121" s="149">
        <f t="shared" ref="U121:AE121" si="68">U31</f>
        <v>0</v>
      </c>
      <c r="V121" s="149">
        <f t="shared" si="68"/>
        <v>0</v>
      </c>
      <c r="W121" s="149">
        <f t="shared" si="68"/>
        <v>0</v>
      </c>
      <c r="X121" s="149">
        <f t="shared" si="68"/>
        <v>0</v>
      </c>
      <c r="Y121" s="149">
        <f t="shared" si="68"/>
        <v>0</v>
      </c>
      <c r="Z121" s="149">
        <f t="shared" si="68"/>
        <v>0</v>
      </c>
      <c r="AA121" s="149">
        <f t="shared" si="68"/>
        <v>0</v>
      </c>
      <c r="AB121" s="149">
        <f t="shared" si="68"/>
        <v>0</v>
      </c>
      <c r="AC121" s="149">
        <f t="shared" si="68"/>
        <v>0</v>
      </c>
      <c r="AD121" s="149">
        <f t="shared" si="68"/>
        <v>0</v>
      </c>
      <c r="AE121" s="149">
        <f t="shared" si="68"/>
        <v>0</v>
      </c>
    </row>
    <row r="122" spans="3:31" ht="11.25" customHeight="1" x14ac:dyDescent="0.2"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S122" s="70" t="s">
        <v>785</v>
      </c>
      <c r="T122" s="149">
        <f>'RINCIAN B. TDK LANGSUNG'!T28</f>
        <v>0</v>
      </c>
      <c r="U122" s="149">
        <f>'RINCIAN B. TDK LANGSUNG'!U28</f>
        <v>0</v>
      </c>
      <c r="V122" s="149">
        <f>'RINCIAN B. TDK LANGSUNG'!V28</f>
        <v>0</v>
      </c>
      <c r="W122" s="149">
        <f>'RINCIAN B. TDK LANGSUNG'!W28</f>
        <v>0</v>
      </c>
      <c r="X122" s="149">
        <f>'RINCIAN B. TDK LANGSUNG'!X28</f>
        <v>0</v>
      </c>
      <c r="Y122" s="149">
        <f>'RINCIAN B. TDK LANGSUNG'!Y28</f>
        <v>0</v>
      </c>
      <c r="Z122" s="149">
        <f>'RINCIAN B. TDK LANGSUNG'!Z28</f>
        <v>0</v>
      </c>
      <c r="AA122" s="149">
        <f>'RINCIAN B. TDK LANGSUNG'!AA28</f>
        <v>0</v>
      </c>
      <c r="AB122" s="149">
        <f>'RINCIAN B. TDK LANGSUNG'!AB28</f>
        <v>0</v>
      </c>
      <c r="AC122" s="149">
        <f>'RINCIAN B. TDK LANGSUNG'!AC28</f>
        <v>0</v>
      </c>
      <c r="AD122" s="149">
        <f>'RINCIAN B. TDK LANGSUNG'!AD28</f>
        <v>0</v>
      </c>
      <c r="AE122" s="149">
        <f>'RINCIAN B. TDK LANGSUNG'!AE28</f>
        <v>0</v>
      </c>
    </row>
    <row r="123" spans="3:31" ht="11.25" customHeight="1" x14ac:dyDescent="0.2"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S123" s="70" t="s">
        <v>786</v>
      </c>
      <c r="T123" s="149">
        <f>T21+T59+T88+'RINCIAN B. TDK LANGSUNG'!T75-'RINCIAN B. TDK LANGSUNG'!T63-'RINCIAN B. TDK LANGSUNG'!T62</f>
        <v>0</v>
      </c>
      <c r="U123" s="149">
        <f>U21+U59+U88+'RINCIAN B. TDK LANGSUNG'!U75-'RINCIAN B. TDK LANGSUNG'!U63-'RINCIAN B. TDK LANGSUNG'!U62</f>
        <v>0</v>
      </c>
      <c r="V123" s="149">
        <f>V21+V59+V88+'RINCIAN B. TDK LANGSUNG'!V75-'RINCIAN B. TDK LANGSUNG'!V63-'RINCIAN B. TDK LANGSUNG'!V62</f>
        <v>0</v>
      </c>
      <c r="W123" s="149">
        <f>W21+W59+W88+'RINCIAN B. TDK LANGSUNG'!W75-'RINCIAN B. TDK LANGSUNG'!W63-'RINCIAN B. TDK LANGSUNG'!W62</f>
        <v>0</v>
      </c>
      <c r="X123" s="149">
        <f>X21+X59+X88+'RINCIAN B. TDK LANGSUNG'!X75-'RINCIAN B. TDK LANGSUNG'!X63-'RINCIAN B. TDK LANGSUNG'!X62</f>
        <v>0</v>
      </c>
      <c r="Y123" s="149">
        <f>Y21+Y59+Y88+'RINCIAN B. TDK LANGSUNG'!Y75-'RINCIAN B. TDK LANGSUNG'!Y63-'RINCIAN B. TDK LANGSUNG'!Y62</f>
        <v>0</v>
      </c>
      <c r="Z123" s="149">
        <f>Z21+Z59+Z88+'RINCIAN B. TDK LANGSUNG'!Z75-'RINCIAN B. TDK LANGSUNG'!Z63-'RINCIAN B. TDK LANGSUNG'!Z62</f>
        <v>0</v>
      </c>
      <c r="AA123" s="149">
        <f>AA21+AA59+AA88+'RINCIAN B. TDK LANGSUNG'!AA75-'RINCIAN B. TDK LANGSUNG'!AA63-'RINCIAN B. TDK LANGSUNG'!AA62</f>
        <v>0</v>
      </c>
      <c r="AB123" s="149">
        <f>AB21+AB59+AB88+'RINCIAN B. TDK LANGSUNG'!AB75-'RINCIAN B. TDK LANGSUNG'!AB63-'RINCIAN B. TDK LANGSUNG'!AB62</f>
        <v>0</v>
      </c>
      <c r="AC123" s="149">
        <f>AC21+AC59+AC88+'RINCIAN B. TDK LANGSUNG'!AC75-'RINCIAN B. TDK LANGSUNG'!AC63-'RINCIAN B. TDK LANGSUNG'!AC62</f>
        <v>0</v>
      </c>
      <c r="AD123" s="149">
        <f>AD21+AD59+AD88+'RINCIAN B. TDK LANGSUNG'!AD75-'RINCIAN B. TDK LANGSUNG'!AD63-'RINCIAN B. TDK LANGSUNG'!AD62</f>
        <v>0</v>
      </c>
      <c r="AE123" s="149">
        <f>AE21+AE59+AE88+'RINCIAN B. TDK LANGSUNG'!AE75-'RINCIAN B. TDK LANGSUNG'!AE63-'RINCIAN B. TDK LANGSUNG'!AE62</f>
        <v>0</v>
      </c>
    </row>
    <row r="124" spans="3:31" ht="11.25" customHeight="1" x14ac:dyDescent="0.2"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S124" s="70" t="s">
        <v>792</v>
      </c>
      <c r="T124" s="149">
        <f>T101</f>
        <v>0</v>
      </c>
      <c r="U124" s="149">
        <f t="shared" ref="U124:AE124" si="69">U101</f>
        <v>0</v>
      </c>
      <c r="V124" s="149">
        <f t="shared" si="69"/>
        <v>0</v>
      </c>
      <c r="W124" s="149">
        <f t="shared" si="69"/>
        <v>0</v>
      </c>
      <c r="X124" s="149">
        <f t="shared" si="69"/>
        <v>0</v>
      </c>
      <c r="Y124" s="149">
        <f t="shared" si="69"/>
        <v>0</v>
      </c>
      <c r="Z124" s="149">
        <f t="shared" si="69"/>
        <v>0</v>
      </c>
      <c r="AA124" s="149">
        <f t="shared" si="69"/>
        <v>0</v>
      </c>
      <c r="AB124" s="149">
        <f t="shared" si="69"/>
        <v>0</v>
      </c>
      <c r="AC124" s="149">
        <f t="shared" si="69"/>
        <v>0</v>
      </c>
      <c r="AD124" s="149">
        <f t="shared" si="69"/>
        <v>0</v>
      </c>
      <c r="AE124" s="149">
        <f t="shared" si="69"/>
        <v>0</v>
      </c>
    </row>
    <row r="125" spans="3:31" ht="11.25" customHeight="1" x14ac:dyDescent="0.2">
      <c r="C125" s="148"/>
      <c r="D125" s="148">
        <f>4030000+H87+H84+H77+H73+H65+H59+H51+H44+H37+H31+H29+H28+H27+H19+H18</f>
        <v>4030000</v>
      </c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S125" s="1" t="s">
        <v>794</v>
      </c>
      <c r="T125" s="149">
        <f>SUM(T108:T124)</f>
        <v>0</v>
      </c>
      <c r="U125" s="149">
        <f t="shared" ref="U125:AE125" si="70">SUM(U108:U124)</f>
        <v>0</v>
      </c>
      <c r="V125" s="149">
        <f t="shared" si="70"/>
        <v>0</v>
      </c>
      <c r="W125" s="149">
        <f t="shared" si="70"/>
        <v>0</v>
      </c>
      <c r="X125" s="149">
        <f t="shared" si="70"/>
        <v>0</v>
      </c>
      <c r="Y125" s="149">
        <f t="shared" si="70"/>
        <v>0</v>
      </c>
      <c r="Z125" s="149">
        <f t="shared" si="70"/>
        <v>0</v>
      </c>
      <c r="AA125" s="149">
        <f t="shared" si="70"/>
        <v>0</v>
      </c>
      <c r="AB125" s="149">
        <f t="shared" si="70"/>
        <v>0</v>
      </c>
      <c r="AC125" s="149">
        <f t="shared" si="70"/>
        <v>0</v>
      </c>
      <c r="AD125" s="149">
        <f t="shared" si="70"/>
        <v>0</v>
      </c>
      <c r="AE125" s="149">
        <f t="shared" si="70"/>
        <v>0</v>
      </c>
    </row>
    <row r="126" spans="3:31" ht="11.25" customHeight="1" x14ac:dyDescent="0.2"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</row>
    <row r="127" spans="3:31" ht="11.25" customHeight="1" x14ac:dyDescent="0.2"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</row>
    <row r="128" spans="3:31" ht="11.25" customHeight="1" x14ac:dyDescent="0.2"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</row>
    <row r="129" spans="3:14" ht="11.25" customHeight="1" x14ac:dyDescent="0.2"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</row>
    <row r="130" spans="3:14" ht="11.25" customHeight="1" x14ac:dyDescent="0.2"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</row>
    <row r="131" spans="3:14" ht="11.25" customHeight="1" x14ac:dyDescent="0.2">
      <c r="C131" s="148"/>
      <c r="D131" s="148">
        <f>I87+I86+I84+I77+I73+I64+I51+I44+I37+I29+I27+I19+I18</f>
        <v>0</v>
      </c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</row>
    <row r="132" spans="3:14" ht="11.25" customHeight="1" x14ac:dyDescent="0.2"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</row>
    <row r="133" spans="3:14" ht="11.25" customHeight="1" x14ac:dyDescent="0.2"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</row>
    <row r="134" spans="3:14" ht="11.25" customHeight="1" x14ac:dyDescent="0.2">
      <c r="C134" s="148"/>
      <c r="D134" s="148">
        <f>I87+I86+I84+I77+I73+I64+I51+I44+I37+I31+I29+I27+I19+I18</f>
        <v>0</v>
      </c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</row>
    <row r="135" spans="3:14" ht="11.25" customHeight="1" x14ac:dyDescent="0.2"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</row>
    <row r="136" spans="3:14" ht="11.25" customHeight="1" x14ac:dyDescent="0.2"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</row>
    <row r="137" spans="3:14" ht="11.25" customHeight="1" x14ac:dyDescent="0.2">
      <c r="C137" s="148"/>
      <c r="D137" s="148">
        <f>I104+'RINCIAN B. TDK LANGSUNG'!I80</f>
        <v>0</v>
      </c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</row>
    <row r="138" spans="3:14" ht="11.25" customHeight="1" x14ac:dyDescent="0.2">
      <c r="C138" s="148"/>
      <c r="D138" s="148">
        <f>[2]DVUD!$H$424+[2]DVUD!$H$451</f>
        <v>635000</v>
      </c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</row>
    <row r="139" spans="3:14" ht="11.25" customHeight="1" x14ac:dyDescent="0.2">
      <c r="C139" s="148"/>
      <c r="D139" s="148">
        <f>D137+D138</f>
        <v>635000</v>
      </c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</row>
    <row r="140" spans="3:14" ht="11.25" customHeight="1" x14ac:dyDescent="0.2">
      <c r="C140" s="148"/>
      <c r="D140" s="148">
        <f>[2]JBK!$G$592</f>
        <v>619258031</v>
      </c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</row>
    <row r="141" spans="3:14" ht="11.25" customHeight="1" x14ac:dyDescent="0.2">
      <c r="C141" s="148"/>
      <c r="D141" s="148">
        <f>D139-D140</f>
        <v>-618623031</v>
      </c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</row>
    <row r="142" spans="3:14" ht="11.25" customHeight="1" x14ac:dyDescent="0.2"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</row>
    <row r="143" spans="3:14" ht="11.25" customHeight="1" x14ac:dyDescent="0.2">
      <c r="C143" s="148"/>
      <c r="D143" s="440">
        <f>I87+I86+I84+I77+I73+I64+I51+I44+I37+I31+I29+I27+I19+I18+I65</f>
        <v>0</v>
      </c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</row>
    <row r="144" spans="3:14" ht="11.25" customHeight="1" x14ac:dyDescent="0.2"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</row>
    <row r="145" spans="3:14" ht="11.25" customHeight="1" x14ac:dyDescent="0.2">
      <c r="C145" s="148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</row>
    <row r="146" spans="3:14" ht="11.25" customHeight="1" x14ac:dyDescent="0.2">
      <c r="C146" s="148"/>
      <c r="D146" s="440">
        <f>I104-D143</f>
        <v>0</v>
      </c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</row>
    <row r="147" spans="3:14" ht="11.25" customHeight="1" x14ac:dyDescent="0.2">
      <c r="C147" s="148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</row>
    <row r="148" spans="3:14" ht="11.25" customHeight="1" x14ac:dyDescent="0.2"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</row>
    <row r="149" spans="3:14" ht="11.25" customHeight="1" x14ac:dyDescent="0.2">
      <c r="C149" s="148"/>
      <c r="D149" s="148">
        <f>H87+H84+H77+H73+H65+H59+H51+H44+H37+H31+H29+H28+H27+H19+H18+4030000</f>
        <v>4030000</v>
      </c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</row>
    <row r="150" spans="3:14" ht="11.25" customHeight="1" x14ac:dyDescent="0.2">
      <c r="C150" s="148"/>
      <c r="D150" s="148">
        <f>D149+'RINCIAN B. TDK LANGSUNG'!D101</f>
        <v>4030000</v>
      </c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</row>
    <row r="151" spans="3:14" ht="11.25" customHeight="1" x14ac:dyDescent="0.2">
      <c r="C151" s="148"/>
      <c r="D151" s="148">
        <f>[2]DVUD!$H$301+[2]DVUD!$H$347</f>
        <v>44439000</v>
      </c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</row>
    <row r="152" spans="3:14" ht="11.25" customHeight="1" x14ac:dyDescent="0.2">
      <c r="C152" s="148"/>
      <c r="D152" s="148">
        <f>D150+D151</f>
        <v>48469000</v>
      </c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</row>
    <row r="153" spans="3:14" ht="11.25" customHeight="1" x14ac:dyDescent="0.2">
      <c r="C153" s="148"/>
      <c r="D153" s="148">
        <f>[2]DVUD!$H$392</f>
        <v>668475281</v>
      </c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</row>
    <row r="154" spans="3:14" ht="11.25" customHeight="1" x14ac:dyDescent="0.2">
      <c r="C154" s="148"/>
      <c r="D154" s="148">
        <f>D152-D153</f>
        <v>-620006281</v>
      </c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</row>
    <row r="155" spans="3:14" ht="11.25" customHeight="1" x14ac:dyDescent="0.2"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</row>
    <row r="156" spans="3:14" ht="11.25" customHeight="1" x14ac:dyDescent="0.2"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</row>
    <row r="157" spans="3:14" ht="11.25" customHeight="1" x14ac:dyDescent="0.2">
      <c r="C157" s="148"/>
      <c r="D157" s="148" t="e" cm="1">
        <f t="array" ref="D157">U</f>
        <v>#NAME?</v>
      </c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</row>
    <row r="158" spans="3:14" ht="11.25" customHeight="1" x14ac:dyDescent="0.2"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</row>
    <row r="159" spans="3:14" ht="11.25" customHeight="1" x14ac:dyDescent="0.2"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</row>
    <row r="160" spans="3:14" ht="11.25" customHeight="1" x14ac:dyDescent="0.2">
      <c r="C160" s="148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</row>
    <row r="161" spans="3:14" ht="11.25" customHeight="1" x14ac:dyDescent="0.2">
      <c r="C161" s="148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</row>
    <row r="162" spans="3:14" ht="11.25" customHeight="1" x14ac:dyDescent="0.2"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</row>
    <row r="163" spans="3:14" ht="11.25" customHeight="1" x14ac:dyDescent="0.2"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</row>
    <row r="164" spans="3:14" ht="11.25" customHeight="1" x14ac:dyDescent="0.2">
      <c r="C164" s="148"/>
      <c r="D164" s="148">
        <f>H33+H68+H95+H101</f>
        <v>0</v>
      </c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</row>
    <row r="165" spans="3:14" ht="11.25" customHeight="1" x14ac:dyDescent="0.2">
      <c r="C165" s="148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</row>
    <row r="166" spans="3:14" ht="11.25" customHeight="1" x14ac:dyDescent="0.2"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</row>
    <row r="167" spans="3:14" ht="11.25" customHeight="1" x14ac:dyDescent="0.2"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</row>
    <row r="168" spans="3:14" ht="11.25" customHeight="1" x14ac:dyDescent="0.2"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</row>
    <row r="169" spans="3:14" ht="11.25" customHeight="1" x14ac:dyDescent="0.2"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</row>
    <row r="170" spans="3:14" ht="11.25" customHeight="1" x14ac:dyDescent="0.2"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</row>
    <row r="171" spans="3:14" ht="11.25" customHeight="1" x14ac:dyDescent="0.2"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</row>
    <row r="172" spans="3:14" ht="11.25" customHeight="1" x14ac:dyDescent="0.2"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</row>
    <row r="173" spans="3:14" ht="11.25" customHeight="1" x14ac:dyDescent="0.2">
      <c r="C173" s="148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</row>
    <row r="174" spans="3:14" ht="11.25" customHeight="1" x14ac:dyDescent="0.2">
      <c r="C174" s="148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</row>
    <row r="175" spans="3:14" ht="11.25" customHeight="1" x14ac:dyDescent="0.2"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</row>
    <row r="176" spans="3:14" ht="11.25" customHeight="1" x14ac:dyDescent="0.2"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</row>
    <row r="177" spans="3:14" ht="11.25" customHeight="1" x14ac:dyDescent="0.2">
      <c r="C177" s="148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</row>
    <row r="178" spans="3:14" ht="11.25" customHeight="1" x14ac:dyDescent="0.2"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</row>
    <row r="179" spans="3:14" ht="11.25" customHeight="1" x14ac:dyDescent="0.2">
      <c r="C179" s="148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</row>
    <row r="180" spans="3:14" ht="11.25" customHeight="1" x14ac:dyDescent="0.2"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</row>
    <row r="181" spans="3:14" ht="11.25" customHeight="1" x14ac:dyDescent="0.2"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</row>
    <row r="182" spans="3:14" ht="11.25" customHeight="1" x14ac:dyDescent="0.2"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</row>
    <row r="183" spans="3:14" ht="11.25" customHeight="1" x14ac:dyDescent="0.2"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</row>
    <row r="184" spans="3:14" ht="11.25" customHeight="1" x14ac:dyDescent="0.2"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</row>
    <row r="185" spans="3:14" ht="11.25" customHeight="1" x14ac:dyDescent="0.2"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</row>
    <row r="186" spans="3:14" ht="11.25" customHeight="1" x14ac:dyDescent="0.2">
      <c r="C186" s="148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</row>
    <row r="187" spans="3:14" ht="11.25" customHeight="1" x14ac:dyDescent="0.2"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</row>
    <row r="188" spans="3:14" ht="11.25" customHeight="1" x14ac:dyDescent="0.2"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</row>
    <row r="189" spans="3:14" ht="11.25" customHeight="1" x14ac:dyDescent="0.2"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</row>
    <row r="190" spans="3:14" ht="11.25" customHeight="1" x14ac:dyDescent="0.2"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</row>
    <row r="191" spans="3:14" ht="11.25" customHeight="1" x14ac:dyDescent="0.2"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</row>
    <row r="192" spans="3:14" ht="11.25" customHeight="1" x14ac:dyDescent="0.2">
      <c r="C192" s="148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</row>
    <row r="193" spans="3:14" ht="11.25" customHeight="1" x14ac:dyDescent="0.2">
      <c r="C193" s="148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</row>
    <row r="194" spans="3:14" ht="11.25" customHeight="1" x14ac:dyDescent="0.2">
      <c r="C194" s="148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</row>
    <row r="195" spans="3:14" ht="11.25" customHeight="1" x14ac:dyDescent="0.2">
      <c r="C195" s="148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</row>
    <row r="196" spans="3:14" ht="11.25" customHeight="1" x14ac:dyDescent="0.2"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</row>
    <row r="197" spans="3:14" ht="11.25" customHeight="1" x14ac:dyDescent="0.2"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</row>
    <row r="198" spans="3:14" ht="11.25" customHeight="1" x14ac:dyDescent="0.2"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</row>
    <row r="199" spans="3:14" ht="11.25" customHeight="1" x14ac:dyDescent="0.2"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</row>
    <row r="200" spans="3:14" ht="11.25" customHeight="1" x14ac:dyDescent="0.2"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</row>
    <row r="201" spans="3:14" ht="11.25" customHeight="1" x14ac:dyDescent="0.2"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</row>
    <row r="202" spans="3:14" ht="11.25" customHeight="1" x14ac:dyDescent="0.2"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</row>
    <row r="203" spans="3:14" ht="11.25" customHeight="1" x14ac:dyDescent="0.2"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</row>
    <row r="204" spans="3:14" ht="11.25" customHeight="1" x14ac:dyDescent="0.2"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</row>
    <row r="205" spans="3:14" ht="11.25" customHeight="1" x14ac:dyDescent="0.2"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</row>
    <row r="206" spans="3:14" ht="11.25" customHeight="1" x14ac:dyDescent="0.2"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</row>
    <row r="207" spans="3:14" ht="11.25" customHeight="1" x14ac:dyDescent="0.2"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</row>
    <row r="208" spans="3:14" ht="11.25" customHeight="1" x14ac:dyDescent="0.2"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</row>
    <row r="209" spans="3:14" ht="11.25" customHeight="1" x14ac:dyDescent="0.2"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</row>
    <row r="210" spans="3:14" ht="11.25" customHeight="1" x14ac:dyDescent="0.2"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</row>
    <row r="211" spans="3:14" ht="11.25" customHeight="1" x14ac:dyDescent="0.2"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</row>
    <row r="212" spans="3:14" ht="11.25" customHeight="1" x14ac:dyDescent="0.2"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</row>
    <row r="213" spans="3:14" ht="11.25" customHeight="1" x14ac:dyDescent="0.2"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</row>
    <row r="214" spans="3:14" ht="11.25" customHeight="1" x14ac:dyDescent="0.2"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</row>
    <row r="215" spans="3:14" ht="11.25" customHeight="1" x14ac:dyDescent="0.2"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</row>
    <row r="216" spans="3:14" ht="11.25" customHeight="1" x14ac:dyDescent="0.2"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</row>
    <row r="217" spans="3:14" ht="11.25" customHeight="1" x14ac:dyDescent="0.2"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</row>
    <row r="218" spans="3:14" ht="11.25" customHeight="1" x14ac:dyDescent="0.2"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</row>
    <row r="219" spans="3:14" ht="11.25" customHeight="1" x14ac:dyDescent="0.2"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</row>
    <row r="220" spans="3:14" ht="11.25" customHeight="1" x14ac:dyDescent="0.2"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</row>
    <row r="221" spans="3:14" ht="11.25" customHeight="1" x14ac:dyDescent="0.2"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</row>
    <row r="222" spans="3:14" ht="11.25" customHeight="1" x14ac:dyDescent="0.2"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</row>
    <row r="223" spans="3:14" ht="11.25" customHeight="1" x14ac:dyDescent="0.2"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</row>
    <row r="224" spans="3:14" ht="11.25" customHeight="1" x14ac:dyDescent="0.2"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</row>
    <row r="225" spans="3:14" ht="11.25" customHeight="1" x14ac:dyDescent="0.2"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</row>
    <row r="226" spans="3:14" ht="11.25" customHeight="1" x14ac:dyDescent="0.2"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</row>
    <row r="227" spans="3:14" ht="11.25" customHeight="1" x14ac:dyDescent="0.2"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</row>
    <row r="228" spans="3:14" ht="11.25" customHeight="1" x14ac:dyDescent="0.2"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</row>
    <row r="229" spans="3:14" ht="11.25" customHeight="1" x14ac:dyDescent="0.2"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</row>
    <row r="230" spans="3:14" ht="11.25" customHeight="1" x14ac:dyDescent="0.2"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</row>
    <row r="231" spans="3:14" ht="11.25" customHeight="1" x14ac:dyDescent="0.2"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</row>
    <row r="232" spans="3:14" ht="11.25" customHeight="1" x14ac:dyDescent="0.2"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</row>
    <row r="233" spans="3:14" ht="11.25" customHeight="1" x14ac:dyDescent="0.2"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</row>
    <row r="234" spans="3:14" ht="11.25" customHeight="1" x14ac:dyDescent="0.2"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</row>
    <row r="235" spans="3:14" ht="11.25" customHeight="1" x14ac:dyDescent="0.2"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</row>
    <row r="236" spans="3:14" ht="11.25" customHeight="1" x14ac:dyDescent="0.2"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</row>
    <row r="237" spans="3:14" ht="11.25" customHeight="1" x14ac:dyDescent="0.2"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</row>
    <row r="238" spans="3:14" ht="11.25" customHeight="1" x14ac:dyDescent="0.2"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</row>
    <row r="239" spans="3:14" ht="11.25" customHeight="1" x14ac:dyDescent="0.2"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</row>
    <row r="240" spans="3:14" ht="11.25" customHeight="1" x14ac:dyDescent="0.2"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</row>
    <row r="241" spans="3:14" ht="11.25" customHeight="1" x14ac:dyDescent="0.2"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</row>
    <row r="242" spans="3:14" ht="11.25" customHeight="1" x14ac:dyDescent="0.2"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</row>
    <row r="243" spans="3:14" ht="11.25" customHeight="1" x14ac:dyDescent="0.2"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</row>
    <row r="244" spans="3:14" ht="11.25" customHeight="1" x14ac:dyDescent="0.2"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</row>
    <row r="245" spans="3:14" ht="11.25" customHeight="1" x14ac:dyDescent="0.2"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</row>
    <row r="246" spans="3:14" ht="11.25" customHeight="1" x14ac:dyDescent="0.2"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</row>
    <row r="247" spans="3:14" ht="11.25" customHeight="1" x14ac:dyDescent="0.2"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</row>
    <row r="248" spans="3:14" ht="11.25" customHeight="1" x14ac:dyDescent="0.2"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</row>
    <row r="249" spans="3:14" ht="11.25" customHeight="1" x14ac:dyDescent="0.2"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</row>
    <row r="250" spans="3:14" ht="11.25" customHeight="1" x14ac:dyDescent="0.2"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</row>
    <row r="251" spans="3:14" ht="11.25" customHeight="1" x14ac:dyDescent="0.2"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</row>
    <row r="252" spans="3:14" ht="11.25" customHeight="1" x14ac:dyDescent="0.2"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</row>
    <row r="253" spans="3:14" ht="11.25" customHeight="1" x14ac:dyDescent="0.2"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</row>
    <row r="254" spans="3:14" ht="11.25" customHeight="1" x14ac:dyDescent="0.2"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</row>
    <row r="255" spans="3:14" ht="11.25" customHeight="1" x14ac:dyDescent="0.2"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</row>
    <row r="256" spans="3:14" ht="11.25" customHeight="1" x14ac:dyDescent="0.2"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</row>
    <row r="257" spans="3:14" ht="11.25" customHeight="1" x14ac:dyDescent="0.2"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</row>
    <row r="258" spans="3:14" ht="11.25" customHeight="1" x14ac:dyDescent="0.2"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</row>
    <row r="259" spans="3:14" ht="11.25" customHeight="1" x14ac:dyDescent="0.2"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</row>
    <row r="260" spans="3:14" ht="11.25" customHeight="1" x14ac:dyDescent="0.2"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</row>
    <row r="261" spans="3:14" ht="11.25" customHeight="1" x14ac:dyDescent="0.2"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</row>
    <row r="262" spans="3:14" ht="11.25" customHeight="1" x14ac:dyDescent="0.2"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</row>
    <row r="263" spans="3:14" ht="11.25" customHeight="1" x14ac:dyDescent="0.2"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</row>
    <row r="264" spans="3:14" ht="11.25" customHeight="1" x14ac:dyDescent="0.2"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</row>
    <row r="265" spans="3:14" ht="11.25" customHeight="1" x14ac:dyDescent="0.2"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</row>
    <row r="266" spans="3:14" ht="11.25" customHeight="1" x14ac:dyDescent="0.2"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</row>
    <row r="267" spans="3:14" ht="11.25" customHeight="1" x14ac:dyDescent="0.2"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</row>
    <row r="268" spans="3:14" ht="11.25" customHeight="1" x14ac:dyDescent="0.2"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</row>
    <row r="269" spans="3:14" ht="11.25" customHeight="1" x14ac:dyDescent="0.2"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</row>
    <row r="270" spans="3:14" ht="11.25" customHeight="1" x14ac:dyDescent="0.2"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</row>
    <row r="271" spans="3:14" ht="11.25" customHeight="1" x14ac:dyDescent="0.2"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</row>
    <row r="272" spans="3:14" ht="11.25" customHeight="1" x14ac:dyDescent="0.2"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</row>
    <row r="273" spans="3:14" ht="11.25" customHeight="1" x14ac:dyDescent="0.2"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</row>
    <row r="274" spans="3:14" ht="11.25" customHeight="1" x14ac:dyDescent="0.2"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</row>
    <row r="275" spans="3:14" ht="11.25" customHeight="1" x14ac:dyDescent="0.2"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</row>
    <row r="276" spans="3:14" ht="11.25" customHeight="1" x14ac:dyDescent="0.2"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</row>
  </sheetData>
  <mergeCells count="17">
    <mergeCell ref="A4:R4"/>
    <mergeCell ref="A5:R5"/>
    <mergeCell ref="B66:D66"/>
    <mergeCell ref="B69:D69"/>
    <mergeCell ref="B89:D89"/>
    <mergeCell ref="B8:D9"/>
    <mergeCell ref="E8:P8"/>
    <mergeCell ref="R8:R9"/>
    <mergeCell ref="B10:D10"/>
    <mergeCell ref="B97:D97"/>
    <mergeCell ref="B100:D100"/>
    <mergeCell ref="B104:D104"/>
    <mergeCell ref="B22:D22"/>
    <mergeCell ref="B30:D30"/>
    <mergeCell ref="B32:D32"/>
    <mergeCell ref="B34:D34"/>
    <mergeCell ref="B60:D60"/>
  </mergeCells>
  <phoneticPr fontId="26" type="noConversion"/>
  <pageMargins left="0.31496062992125984" right="0.31496062992125984" top="0.74803149606299213" bottom="0.74803149606299213" header="0.31496062992125984" footer="0.31496062992125984"/>
  <pageSetup paperSize="9" scale="79" orientation="landscape" horizontalDpi="4294967293" verticalDpi="4294967293" r:id="rId1"/>
  <rowBreaks count="2" manualBreakCount="2">
    <brk id="106" max="16383" man="1"/>
    <brk id="126" max="16383" man="1"/>
  </rowBreaks>
  <colBreaks count="1" manualBreakCount="1">
    <brk id="1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28"/>
  <sheetViews>
    <sheetView showWhiteSpace="0" view="pageLayout" topLeftCell="A55" zoomScale="110" zoomScaleNormal="115" zoomScalePageLayoutView="110" workbookViewId="0">
      <selection activeCell="L6" sqref="L6"/>
    </sheetView>
  </sheetViews>
  <sheetFormatPr defaultColWidth="9.7109375" defaultRowHeight="11.25" customHeight="1" x14ac:dyDescent="0.15"/>
  <cols>
    <col min="1" max="1" width="7.5703125" style="58" customWidth="1"/>
    <col min="2" max="2" width="2.7109375" style="71" customWidth="1"/>
    <col min="3" max="3" width="2.7109375" style="58" customWidth="1"/>
    <col min="4" max="4" width="24.5703125" style="58" customWidth="1"/>
    <col min="5" max="5" width="12.42578125" style="58" customWidth="1"/>
    <col min="6" max="6" width="11.7109375" style="58" customWidth="1"/>
    <col min="7" max="7" width="11" style="58" customWidth="1"/>
    <col min="8" max="8" width="11.42578125" style="58" customWidth="1"/>
    <col min="9" max="9" width="11.28515625" style="58" customWidth="1"/>
    <col min="10" max="10" width="11.42578125" style="58" customWidth="1"/>
    <col min="11" max="11" width="11" style="58" customWidth="1"/>
    <col min="12" max="12" width="11.85546875" style="58" customWidth="1"/>
    <col min="13" max="13" width="11" style="58" customWidth="1"/>
    <col min="14" max="14" width="11.7109375" style="58" customWidth="1"/>
    <col min="15" max="15" width="12.5703125" style="58" customWidth="1"/>
    <col min="16" max="16" width="11.85546875" style="58" customWidth="1"/>
    <col min="17" max="17" width="12.5703125" style="58" customWidth="1"/>
    <col min="18" max="18" width="27.42578125" style="58" customWidth="1"/>
    <col min="19" max="19" width="9.7109375" style="306"/>
    <col min="20" max="16384" width="9.7109375" style="58"/>
  </cols>
  <sheetData>
    <row r="1" spans="1:31" ht="11.25" customHeight="1" x14ac:dyDescent="0.15">
      <c r="A1" s="308" t="s">
        <v>11</v>
      </c>
      <c r="B1" s="309"/>
      <c r="C1" s="308"/>
      <c r="D1" s="308"/>
      <c r="E1" s="308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1"/>
      <c r="Q1" s="310"/>
      <c r="R1" s="308"/>
    </row>
    <row r="2" spans="1:31" ht="11.25" customHeight="1" x14ac:dyDescent="0.15">
      <c r="A2" s="308" t="s">
        <v>29</v>
      </c>
      <c r="B2" s="309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10"/>
      <c r="Q2" s="312" t="s">
        <v>291</v>
      </c>
      <c r="R2" s="308"/>
    </row>
    <row r="3" spans="1:31" ht="11.25" customHeight="1" x14ac:dyDescent="0.15">
      <c r="A3" s="308"/>
      <c r="B3" s="309"/>
      <c r="C3" s="308"/>
      <c r="D3" s="308"/>
      <c r="E3" s="308"/>
      <c r="F3" s="313"/>
      <c r="G3" s="313"/>
      <c r="H3" s="313"/>
      <c r="I3" s="313"/>
      <c r="J3" s="313"/>
      <c r="K3" s="313"/>
      <c r="L3" s="313"/>
      <c r="M3" s="313"/>
      <c r="N3" s="313"/>
      <c r="O3" s="313"/>
      <c r="P3" s="314"/>
      <c r="Q3" s="315"/>
      <c r="R3" s="310"/>
    </row>
    <row r="4" spans="1:31" ht="11.25" customHeight="1" x14ac:dyDescent="0.15">
      <c r="A4" s="504" t="s">
        <v>400</v>
      </c>
      <c r="B4" s="504"/>
      <c r="C4" s="504"/>
      <c r="D4" s="504"/>
      <c r="E4" s="504"/>
      <c r="F4" s="504"/>
      <c r="G4" s="504"/>
      <c r="H4" s="504"/>
      <c r="I4" s="504"/>
      <c r="J4" s="504"/>
      <c r="K4" s="504"/>
      <c r="L4" s="504"/>
      <c r="M4" s="504"/>
      <c r="N4" s="504"/>
      <c r="O4" s="504"/>
      <c r="P4" s="504"/>
      <c r="Q4" s="504"/>
      <c r="R4" s="504"/>
    </row>
    <row r="5" spans="1:31" ht="11.25" customHeight="1" x14ac:dyDescent="0.15">
      <c r="A5" s="504" t="s">
        <v>771</v>
      </c>
      <c r="B5" s="504"/>
      <c r="C5" s="504"/>
      <c r="D5" s="504"/>
      <c r="E5" s="504"/>
      <c r="F5" s="504"/>
      <c r="G5" s="504"/>
      <c r="H5" s="504"/>
      <c r="I5" s="504"/>
      <c r="J5" s="504"/>
      <c r="K5" s="504"/>
      <c r="L5" s="504"/>
      <c r="M5" s="504"/>
      <c r="N5" s="504"/>
      <c r="O5" s="504"/>
      <c r="P5" s="504"/>
      <c r="Q5" s="504"/>
      <c r="R5" s="504"/>
    </row>
    <row r="6" spans="1:31" ht="11.25" customHeight="1" x14ac:dyDescent="0.15">
      <c r="A6" s="316"/>
      <c r="B6" s="309"/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7"/>
      <c r="N6" s="316"/>
      <c r="O6" s="316"/>
      <c r="P6" s="316"/>
      <c r="Q6" s="316"/>
      <c r="R6" s="308"/>
    </row>
    <row r="7" spans="1:31" ht="11.25" customHeight="1" thickBot="1" x14ac:dyDescent="0.2">
      <c r="A7" s="58" t="s">
        <v>5</v>
      </c>
      <c r="B7" s="309"/>
      <c r="C7" s="308"/>
      <c r="D7" s="308"/>
      <c r="E7" s="308"/>
      <c r="F7" s="308"/>
      <c r="G7" s="308"/>
      <c r="H7" s="308"/>
      <c r="I7" s="308"/>
      <c r="J7" s="308"/>
      <c r="K7" s="308"/>
      <c r="L7" s="308"/>
      <c r="M7" s="308"/>
      <c r="N7" s="308"/>
      <c r="O7" s="310"/>
      <c r="P7" s="310"/>
      <c r="Q7" s="310"/>
      <c r="R7" s="308"/>
    </row>
    <row r="8" spans="1:31" ht="11.25" customHeight="1" thickTop="1" x14ac:dyDescent="0.15">
      <c r="A8" s="318" t="s">
        <v>199</v>
      </c>
      <c r="B8" s="511" t="s">
        <v>10</v>
      </c>
      <c r="C8" s="511"/>
      <c r="D8" s="511"/>
      <c r="E8" s="513" t="s">
        <v>200</v>
      </c>
      <c r="F8" s="513"/>
      <c r="G8" s="513"/>
      <c r="H8" s="513"/>
      <c r="I8" s="513"/>
      <c r="J8" s="513"/>
      <c r="K8" s="513"/>
      <c r="L8" s="513"/>
      <c r="M8" s="513"/>
      <c r="N8" s="513"/>
      <c r="O8" s="513"/>
      <c r="P8" s="513"/>
      <c r="Q8" s="319" t="s">
        <v>4</v>
      </c>
      <c r="R8" s="320" t="s">
        <v>292</v>
      </c>
    </row>
    <row r="9" spans="1:31" ht="11.25" customHeight="1" x14ac:dyDescent="0.15">
      <c r="A9" s="321" t="s">
        <v>202</v>
      </c>
      <c r="B9" s="512"/>
      <c r="C9" s="512"/>
      <c r="D9" s="512"/>
      <c r="E9" s="322">
        <v>1</v>
      </c>
      <c r="F9" s="322">
        <v>2</v>
      </c>
      <c r="G9" s="322">
        <v>3</v>
      </c>
      <c r="H9" s="322">
        <v>4</v>
      </c>
      <c r="I9" s="322">
        <v>5</v>
      </c>
      <c r="J9" s="322">
        <v>6</v>
      </c>
      <c r="K9" s="322">
        <v>7</v>
      </c>
      <c r="L9" s="322">
        <v>8</v>
      </c>
      <c r="M9" s="322">
        <v>9</v>
      </c>
      <c r="N9" s="322">
        <v>10</v>
      </c>
      <c r="O9" s="322">
        <v>11</v>
      </c>
      <c r="P9" s="322">
        <v>12</v>
      </c>
      <c r="Q9" s="323">
        <v>2025</v>
      </c>
      <c r="R9" s="324" t="s">
        <v>293</v>
      </c>
    </row>
    <row r="10" spans="1:31" ht="11.25" customHeight="1" x14ac:dyDescent="0.15">
      <c r="A10" s="325">
        <v>1</v>
      </c>
      <c r="B10" s="514">
        <v>2</v>
      </c>
      <c r="C10" s="514"/>
      <c r="D10" s="514"/>
      <c r="E10" s="326">
        <v>3</v>
      </c>
      <c r="F10" s="326">
        <v>4</v>
      </c>
      <c r="G10" s="326">
        <v>5</v>
      </c>
      <c r="H10" s="326">
        <v>6</v>
      </c>
      <c r="I10" s="326">
        <v>7</v>
      </c>
      <c r="J10" s="326">
        <v>8</v>
      </c>
      <c r="K10" s="326">
        <v>9</v>
      </c>
      <c r="L10" s="326">
        <v>10</v>
      </c>
      <c r="M10" s="326">
        <v>11</v>
      </c>
      <c r="N10" s="326">
        <v>12</v>
      </c>
      <c r="O10" s="326">
        <v>13</v>
      </c>
      <c r="P10" s="326">
        <v>14</v>
      </c>
      <c r="Q10" s="326">
        <v>15</v>
      </c>
      <c r="R10" s="327">
        <v>16</v>
      </c>
      <c r="T10" s="446"/>
      <c r="U10" s="446"/>
      <c r="V10" s="446"/>
      <c r="W10" s="446"/>
      <c r="X10" s="446"/>
      <c r="Y10" s="446"/>
      <c r="Z10" s="446"/>
      <c r="AA10" s="446"/>
      <c r="AB10" s="446"/>
      <c r="AC10" s="446"/>
      <c r="AD10" s="446"/>
      <c r="AE10" s="446"/>
    </row>
    <row r="11" spans="1:31" ht="11.25" customHeight="1" x14ac:dyDescent="0.15">
      <c r="A11" s="328" t="s">
        <v>477</v>
      </c>
      <c r="B11" s="329" t="s">
        <v>549</v>
      </c>
      <c r="C11" s="330"/>
      <c r="D11" s="331"/>
      <c r="E11" s="332"/>
      <c r="F11" s="332"/>
      <c r="G11" s="332"/>
      <c r="H11" s="332"/>
      <c r="I11" s="332"/>
      <c r="J11" s="332"/>
      <c r="K11" s="332"/>
      <c r="L11" s="332"/>
      <c r="M11" s="332"/>
      <c r="N11" s="332"/>
      <c r="O11" s="332"/>
      <c r="P11" s="332"/>
      <c r="Q11" s="332"/>
      <c r="R11" s="333"/>
      <c r="T11" s="446">
        <v>1</v>
      </c>
      <c r="U11" s="446">
        <v>2</v>
      </c>
      <c r="V11" s="446">
        <v>3</v>
      </c>
      <c r="W11" s="446">
        <v>4</v>
      </c>
      <c r="X11" s="446">
        <v>5</v>
      </c>
      <c r="Y11" s="446">
        <v>6</v>
      </c>
      <c r="Z11" s="446">
        <v>7</v>
      </c>
      <c r="AA11" s="446">
        <v>8</v>
      </c>
      <c r="AB11" s="446">
        <v>9</v>
      </c>
      <c r="AC11" s="446">
        <v>10</v>
      </c>
      <c r="AD11" s="446">
        <v>11</v>
      </c>
      <c r="AE11" s="446">
        <v>12</v>
      </c>
    </row>
    <row r="12" spans="1:31" ht="11.25" customHeight="1" x14ac:dyDescent="0.15">
      <c r="A12" s="334" t="s">
        <v>550</v>
      </c>
      <c r="B12" s="335" t="s">
        <v>551</v>
      </c>
      <c r="C12" s="336"/>
      <c r="D12" s="337"/>
      <c r="E12" s="579">
        <f>SUM(E13:E16)</f>
        <v>0</v>
      </c>
      <c r="F12" s="579">
        <f t="shared" ref="F12:P12" si="0">SUM(F13:F16)</f>
        <v>0</v>
      </c>
      <c r="G12" s="579">
        <f>SUM(G13:G16)</f>
        <v>0</v>
      </c>
      <c r="H12" s="579">
        <f t="shared" si="0"/>
        <v>0</v>
      </c>
      <c r="I12" s="579">
        <f>SUM(I13:I16)</f>
        <v>0</v>
      </c>
      <c r="J12" s="368">
        <f t="shared" si="0"/>
        <v>0</v>
      </c>
      <c r="K12" s="368">
        <f t="shared" si="0"/>
        <v>0</v>
      </c>
      <c r="L12" s="368">
        <f t="shared" si="0"/>
        <v>0</v>
      </c>
      <c r="M12" s="368">
        <f t="shared" si="0"/>
        <v>0</v>
      </c>
      <c r="N12" s="368">
        <f t="shared" si="0"/>
        <v>0</v>
      </c>
      <c r="O12" s="368">
        <f t="shared" si="0"/>
        <v>0</v>
      </c>
      <c r="P12" s="368">
        <f t="shared" si="0"/>
        <v>0</v>
      </c>
      <c r="Q12" s="338">
        <f t="shared" ref="Q12:Q24" si="1">SUM(E12:P12)</f>
        <v>0</v>
      </c>
      <c r="R12" s="333"/>
      <c r="T12" s="93">
        <f>E12</f>
        <v>0</v>
      </c>
      <c r="U12" s="93">
        <f>SUM(E12:F12)</f>
        <v>0</v>
      </c>
      <c r="V12" s="93">
        <f>SUM(E12:G12)</f>
        <v>0</v>
      </c>
      <c r="W12" s="93">
        <f>SUM(E12:H12)</f>
        <v>0</v>
      </c>
      <c r="X12" s="93">
        <f>SUM(E12:I12)</f>
        <v>0</v>
      </c>
      <c r="Y12" s="93">
        <f>SUM(E12:J12)</f>
        <v>0</v>
      </c>
      <c r="Z12" s="93">
        <f>SUM(E12:K12)</f>
        <v>0</v>
      </c>
      <c r="AA12" s="93">
        <f>SUM(E12:L12)</f>
        <v>0</v>
      </c>
      <c r="AB12" s="93">
        <f>SUM(E12:M12)</f>
        <v>0</v>
      </c>
      <c r="AC12" s="93">
        <f>SUM(E12:N12)</f>
        <v>0</v>
      </c>
      <c r="AD12" s="93">
        <f>SUM(E12:O12)</f>
        <v>0</v>
      </c>
      <c r="AE12" s="93">
        <f>SUM(E12:P12)</f>
        <v>0</v>
      </c>
    </row>
    <row r="13" spans="1:31" ht="11.25" customHeight="1" x14ac:dyDescent="0.15">
      <c r="A13" s="334"/>
      <c r="B13" s="335"/>
      <c r="C13" s="336" t="s">
        <v>427</v>
      </c>
      <c r="D13" s="337"/>
      <c r="E13" s="352"/>
      <c r="F13" s="352"/>
      <c r="G13" s="352"/>
      <c r="H13" s="352"/>
      <c r="I13" s="352"/>
      <c r="J13" s="338"/>
      <c r="K13" s="338"/>
      <c r="L13" s="338"/>
      <c r="M13" s="338"/>
      <c r="N13" s="338"/>
      <c r="O13" s="338"/>
      <c r="P13" s="338"/>
      <c r="Q13" s="338">
        <f t="shared" si="1"/>
        <v>0</v>
      </c>
      <c r="R13" s="333"/>
      <c r="T13" s="93">
        <f t="shared" ref="T13:T76" si="2">E13</f>
        <v>0</v>
      </c>
      <c r="U13" s="93">
        <f t="shared" ref="U13:U76" si="3">SUM(E13:F13)</f>
        <v>0</v>
      </c>
      <c r="V13" s="93">
        <f t="shared" ref="V13:V76" si="4">SUM(E13:G13)</f>
        <v>0</v>
      </c>
      <c r="W13" s="93">
        <f t="shared" ref="W13:W76" si="5">SUM(E13:H13)</f>
        <v>0</v>
      </c>
      <c r="X13" s="93">
        <f t="shared" ref="X13:X76" si="6">SUM(E13:I13)</f>
        <v>0</v>
      </c>
      <c r="Y13" s="93">
        <f t="shared" ref="Y13:Y76" si="7">SUM(E13:J13)</f>
        <v>0</v>
      </c>
      <c r="Z13" s="93">
        <f t="shared" ref="Z13:Z76" si="8">SUM(E13:K13)</f>
        <v>0</v>
      </c>
      <c r="AA13" s="93">
        <f t="shared" ref="AA13:AA76" si="9">SUM(E13:L13)</f>
        <v>0</v>
      </c>
      <c r="AB13" s="93">
        <f t="shared" ref="AB13:AB76" si="10">SUM(E13:M13)</f>
        <v>0</v>
      </c>
      <c r="AC13" s="93">
        <f t="shared" ref="AC13:AC76" si="11">SUM(E13:N13)</f>
        <v>0</v>
      </c>
      <c r="AD13" s="93">
        <f t="shared" ref="AD13:AD76" si="12">SUM(E13:O13)</f>
        <v>0</v>
      </c>
      <c r="AE13" s="93">
        <f t="shared" ref="AE13:AE76" si="13">SUM(E13:P13)</f>
        <v>0</v>
      </c>
    </row>
    <row r="14" spans="1:31" ht="11.25" customHeight="1" x14ac:dyDescent="0.15">
      <c r="A14" s="334"/>
      <c r="B14" s="335"/>
      <c r="C14" s="336" t="s">
        <v>552</v>
      </c>
      <c r="D14" s="337"/>
      <c r="E14" s="352"/>
      <c r="F14" s="352"/>
      <c r="G14" s="352"/>
      <c r="H14" s="352"/>
      <c r="I14" s="352"/>
      <c r="J14" s="338"/>
      <c r="K14" s="338"/>
      <c r="L14" s="338"/>
      <c r="M14" s="338"/>
      <c r="N14" s="338"/>
      <c r="O14" s="338"/>
      <c r="P14" s="338"/>
      <c r="Q14" s="338">
        <f t="shared" si="1"/>
        <v>0</v>
      </c>
      <c r="R14" s="333"/>
      <c r="T14" s="93">
        <f t="shared" si="2"/>
        <v>0</v>
      </c>
      <c r="U14" s="93">
        <f t="shared" si="3"/>
        <v>0</v>
      </c>
      <c r="V14" s="93">
        <f t="shared" si="4"/>
        <v>0</v>
      </c>
      <c r="W14" s="93">
        <f t="shared" si="5"/>
        <v>0</v>
      </c>
      <c r="X14" s="93">
        <f t="shared" si="6"/>
        <v>0</v>
      </c>
      <c r="Y14" s="93">
        <f t="shared" si="7"/>
        <v>0</v>
      </c>
      <c r="Z14" s="93">
        <f t="shared" si="8"/>
        <v>0</v>
      </c>
      <c r="AA14" s="93">
        <f t="shared" si="9"/>
        <v>0</v>
      </c>
      <c r="AB14" s="93">
        <f t="shared" si="10"/>
        <v>0</v>
      </c>
      <c r="AC14" s="93">
        <f t="shared" si="11"/>
        <v>0</v>
      </c>
      <c r="AD14" s="93">
        <f t="shared" si="12"/>
        <v>0</v>
      </c>
      <c r="AE14" s="93">
        <f t="shared" si="13"/>
        <v>0</v>
      </c>
    </row>
    <row r="15" spans="1:31" ht="11.25" customHeight="1" x14ac:dyDescent="0.15">
      <c r="A15" s="334"/>
      <c r="B15" s="335"/>
      <c r="C15" s="336" t="s">
        <v>553</v>
      </c>
      <c r="D15" s="337"/>
      <c r="E15" s="352"/>
      <c r="F15" s="352"/>
      <c r="G15" s="352"/>
      <c r="H15" s="352"/>
      <c r="I15" s="352"/>
      <c r="J15" s="338"/>
      <c r="K15" s="338"/>
      <c r="L15" s="338"/>
      <c r="M15" s="338"/>
      <c r="N15" s="338"/>
      <c r="O15" s="338"/>
      <c r="P15" s="338"/>
      <c r="Q15" s="338">
        <f t="shared" si="1"/>
        <v>0</v>
      </c>
      <c r="R15" s="333"/>
      <c r="T15" s="93">
        <f t="shared" si="2"/>
        <v>0</v>
      </c>
      <c r="U15" s="93">
        <f t="shared" si="3"/>
        <v>0</v>
      </c>
      <c r="V15" s="93">
        <f t="shared" si="4"/>
        <v>0</v>
      </c>
      <c r="W15" s="93">
        <f t="shared" si="5"/>
        <v>0</v>
      </c>
      <c r="X15" s="93">
        <f t="shared" si="6"/>
        <v>0</v>
      </c>
      <c r="Y15" s="93">
        <f t="shared" si="7"/>
        <v>0</v>
      </c>
      <c r="Z15" s="93">
        <f t="shared" si="8"/>
        <v>0</v>
      </c>
      <c r="AA15" s="93">
        <f t="shared" si="9"/>
        <v>0</v>
      </c>
      <c r="AB15" s="93">
        <f t="shared" si="10"/>
        <v>0</v>
      </c>
      <c r="AC15" s="93">
        <f t="shared" si="11"/>
        <v>0</v>
      </c>
      <c r="AD15" s="93">
        <f t="shared" si="12"/>
        <v>0</v>
      </c>
      <c r="AE15" s="93">
        <f t="shared" si="13"/>
        <v>0</v>
      </c>
    </row>
    <row r="16" spans="1:31" ht="11.25" customHeight="1" x14ac:dyDescent="0.15">
      <c r="A16" s="334"/>
      <c r="B16" s="335"/>
      <c r="C16" s="336" t="s">
        <v>554</v>
      </c>
      <c r="D16" s="337"/>
      <c r="E16" s="352"/>
      <c r="F16" s="352"/>
      <c r="G16" s="352"/>
      <c r="H16" s="352"/>
      <c r="I16" s="352"/>
      <c r="J16" s="338"/>
      <c r="K16" s="338"/>
      <c r="L16" s="338"/>
      <c r="M16" s="338"/>
      <c r="N16" s="338"/>
      <c r="O16" s="338"/>
      <c r="P16" s="338"/>
      <c r="Q16" s="338">
        <f t="shared" si="1"/>
        <v>0</v>
      </c>
      <c r="R16" s="333"/>
      <c r="T16" s="93">
        <f t="shared" si="2"/>
        <v>0</v>
      </c>
      <c r="U16" s="93">
        <f t="shared" si="3"/>
        <v>0</v>
      </c>
      <c r="V16" s="93">
        <f t="shared" si="4"/>
        <v>0</v>
      </c>
      <c r="W16" s="93">
        <f t="shared" si="5"/>
        <v>0</v>
      </c>
      <c r="X16" s="93">
        <f t="shared" si="6"/>
        <v>0</v>
      </c>
      <c r="Y16" s="93">
        <f t="shared" si="7"/>
        <v>0</v>
      </c>
      <c r="Z16" s="93">
        <f t="shared" si="8"/>
        <v>0</v>
      </c>
      <c r="AA16" s="93">
        <f t="shared" si="9"/>
        <v>0</v>
      </c>
      <c r="AB16" s="93">
        <f t="shared" si="10"/>
        <v>0</v>
      </c>
      <c r="AC16" s="93">
        <f t="shared" si="11"/>
        <v>0</v>
      </c>
      <c r="AD16" s="93">
        <f t="shared" si="12"/>
        <v>0</v>
      </c>
      <c r="AE16" s="93">
        <f t="shared" si="13"/>
        <v>0</v>
      </c>
    </row>
    <row r="17" spans="1:31" ht="11.25" customHeight="1" x14ac:dyDescent="0.15">
      <c r="A17" s="334" t="s">
        <v>556</v>
      </c>
      <c r="B17" s="335" t="s">
        <v>555</v>
      </c>
      <c r="C17" s="336"/>
      <c r="D17" s="337"/>
      <c r="E17" s="579">
        <f>SUM(E18:E22)</f>
        <v>0</v>
      </c>
      <c r="F17" s="579">
        <f t="shared" ref="F17:P17" si="14">SUM(F18:F22)</f>
        <v>0</v>
      </c>
      <c r="G17" s="579">
        <f>SUM(G18:G22)</f>
        <v>0</v>
      </c>
      <c r="H17" s="579">
        <f t="shared" si="14"/>
        <v>0</v>
      </c>
      <c r="I17" s="579">
        <f t="shared" si="14"/>
        <v>0</v>
      </c>
      <c r="J17" s="368">
        <f t="shared" si="14"/>
        <v>0</v>
      </c>
      <c r="K17" s="368">
        <f t="shared" si="14"/>
        <v>0</v>
      </c>
      <c r="L17" s="368">
        <f t="shared" si="14"/>
        <v>0</v>
      </c>
      <c r="M17" s="368">
        <f t="shared" si="14"/>
        <v>0</v>
      </c>
      <c r="N17" s="368">
        <f t="shared" si="14"/>
        <v>0</v>
      </c>
      <c r="O17" s="368">
        <f t="shared" si="14"/>
        <v>0</v>
      </c>
      <c r="P17" s="368">
        <f t="shared" si="14"/>
        <v>0</v>
      </c>
      <c r="Q17" s="338">
        <f t="shared" si="1"/>
        <v>0</v>
      </c>
      <c r="R17" s="333"/>
      <c r="T17" s="93">
        <f t="shared" si="2"/>
        <v>0</v>
      </c>
      <c r="U17" s="93">
        <f t="shared" si="3"/>
        <v>0</v>
      </c>
      <c r="V17" s="93">
        <f t="shared" si="4"/>
        <v>0</v>
      </c>
      <c r="W17" s="93">
        <f t="shared" si="5"/>
        <v>0</v>
      </c>
      <c r="X17" s="93">
        <f t="shared" si="6"/>
        <v>0</v>
      </c>
      <c r="Y17" s="93">
        <f t="shared" si="7"/>
        <v>0</v>
      </c>
      <c r="Z17" s="93">
        <f t="shared" si="8"/>
        <v>0</v>
      </c>
      <c r="AA17" s="93">
        <f t="shared" si="9"/>
        <v>0</v>
      </c>
      <c r="AB17" s="93">
        <f t="shared" si="10"/>
        <v>0</v>
      </c>
      <c r="AC17" s="93">
        <f t="shared" si="11"/>
        <v>0</v>
      </c>
      <c r="AD17" s="93">
        <f t="shared" si="12"/>
        <v>0</v>
      </c>
      <c r="AE17" s="93">
        <f t="shared" si="13"/>
        <v>0</v>
      </c>
    </row>
    <row r="18" spans="1:31" ht="11.25" customHeight="1" x14ac:dyDescent="0.15">
      <c r="A18" s="334"/>
      <c r="B18" s="335"/>
      <c r="C18" s="336" t="s">
        <v>513</v>
      </c>
      <c r="D18" s="337"/>
      <c r="E18" s="338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38"/>
      <c r="Q18" s="338">
        <f t="shared" si="1"/>
        <v>0</v>
      </c>
      <c r="R18" s="333"/>
      <c r="T18" s="93">
        <f t="shared" si="2"/>
        <v>0</v>
      </c>
      <c r="U18" s="93">
        <f t="shared" si="3"/>
        <v>0</v>
      </c>
      <c r="V18" s="93">
        <f t="shared" si="4"/>
        <v>0</v>
      </c>
      <c r="W18" s="93">
        <f t="shared" si="5"/>
        <v>0</v>
      </c>
      <c r="X18" s="93">
        <f t="shared" si="6"/>
        <v>0</v>
      </c>
      <c r="Y18" s="93">
        <f t="shared" si="7"/>
        <v>0</v>
      </c>
      <c r="Z18" s="93">
        <f t="shared" si="8"/>
        <v>0</v>
      </c>
      <c r="AA18" s="93">
        <f t="shared" si="9"/>
        <v>0</v>
      </c>
      <c r="AB18" s="93">
        <f t="shared" si="10"/>
        <v>0</v>
      </c>
      <c r="AC18" s="93">
        <f t="shared" si="11"/>
        <v>0</v>
      </c>
      <c r="AD18" s="93">
        <f t="shared" si="12"/>
        <v>0</v>
      </c>
      <c r="AE18" s="93">
        <f t="shared" si="13"/>
        <v>0</v>
      </c>
    </row>
    <row r="19" spans="1:31" ht="11.25" customHeight="1" x14ac:dyDescent="0.15">
      <c r="A19" s="334"/>
      <c r="B19" s="335"/>
      <c r="C19" s="336" t="s">
        <v>514</v>
      </c>
      <c r="D19" s="337"/>
      <c r="E19" s="338"/>
      <c r="F19" s="338"/>
      <c r="G19" s="338"/>
      <c r="H19" s="338"/>
      <c r="I19" s="338"/>
      <c r="J19" s="338"/>
      <c r="K19" s="338"/>
      <c r="L19" s="338"/>
      <c r="M19" s="338"/>
      <c r="N19" s="338"/>
      <c r="O19" s="338"/>
      <c r="P19" s="338"/>
      <c r="Q19" s="338">
        <f t="shared" si="1"/>
        <v>0</v>
      </c>
      <c r="R19" s="333"/>
      <c r="T19" s="93">
        <f t="shared" si="2"/>
        <v>0</v>
      </c>
      <c r="U19" s="93">
        <f t="shared" si="3"/>
        <v>0</v>
      </c>
      <c r="V19" s="93">
        <f t="shared" si="4"/>
        <v>0</v>
      </c>
      <c r="W19" s="93">
        <f t="shared" si="5"/>
        <v>0</v>
      </c>
      <c r="X19" s="93">
        <f t="shared" si="6"/>
        <v>0</v>
      </c>
      <c r="Y19" s="93">
        <f t="shared" si="7"/>
        <v>0</v>
      </c>
      <c r="Z19" s="93">
        <f t="shared" si="8"/>
        <v>0</v>
      </c>
      <c r="AA19" s="93">
        <f t="shared" si="9"/>
        <v>0</v>
      </c>
      <c r="AB19" s="93">
        <f t="shared" si="10"/>
        <v>0</v>
      </c>
      <c r="AC19" s="93">
        <f t="shared" si="11"/>
        <v>0</v>
      </c>
      <c r="AD19" s="93">
        <f t="shared" si="12"/>
        <v>0</v>
      </c>
      <c r="AE19" s="93">
        <f t="shared" si="13"/>
        <v>0</v>
      </c>
    </row>
    <row r="20" spans="1:31" ht="11.25" customHeight="1" x14ac:dyDescent="0.15">
      <c r="A20" s="334"/>
      <c r="B20" s="335"/>
      <c r="C20" s="336" t="s">
        <v>515</v>
      </c>
      <c r="D20" s="337"/>
      <c r="E20" s="338"/>
      <c r="F20" s="338"/>
      <c r="G20" s="338"/>
      <c r="H20" s="338"/>
      <c r="I20" s="338"/>
      <c r="J20" s="338"/>
      <c r="K20" s="338"/>
      <c r="L20" s="338"/>
      <c r="M20" s="338"/>
      <c r="N20" s="338"/>
      <c r="O20" s="338"/>
      <c r="P20" s="338"/>
      <c r="Q20" s="338">
        <f t="shared" si="1"/>
        <v>0</v>
      </c>
      <c r="R20" s="333"/>
      <c r="T20" s="93">
        <f t="shared" si="2"/>
        <v>0</v>
      </c>
      <c r="U20" s="93">
        <f t="shared" si="3"/>
        <v>0</v>
      </c>
      <c r="V20" s="93">
        <f t="shared" si="4"/>
        <v>0</v>
      </c>
      <c r="W20" s="93">
        <f t="shared" si="5"/>
        <v>0</v>
      </c>
      <c r="X20" s="93">
        <f t="shared" si="6"/>
        <v>0</v>
      </c>
      <c r="Y20" s="93">
        <f t="shared" si="7"/>
        <v>0</v>
      </c>
      <c r="Z20" s="93">
        <f t="shared" si="8"/>
        <v>0</v>
      </c>
      <c r="AA20" s="93">
        <f t="shared" si="9"/>
        <v>0</v>
      </c>
      <c r="AB20" s="93">
        <f t="shared" si="10"/>
        <v>0</v>
      </c>
      <c r="AC20" s="93">
        <f t="shared" si="11"/>
        <v>0</v>
      </c>
      <c r="AD20" s="93">
        <f t="shared" si="12"/>
        <v>0</v>
      </c>
      <c r="AE20" s="93">
        <f t="shared" si="13"/>
        <v>0</v>
      </c>
    </row>
    <row r="21" spans="1:31" ht="11.25" customHeight="1" x14ac:dyDescent="0.15">
      <c r="A21" s="334"/>
      <c r="B21" s="335"/>
      <c r="C21" s="336" t="s">
        <v>516</v>
      </c>
      <c r="D21" s="337"/>
      <c r="E21" s="338"/>
      <c r="F21" s="338"/>
      <c r="G21" s="338"/>
      <c r="H21" s="338"/>
      <c r="I21" s="338"/>
      <c r="J21" s="338"/>
      <c r="K21" s="338"/>
      <c r="L21" s="338"/>
      <c r="M21" s="338"/>
      <c r="N21" s="338"/>
      <c r="O21" s="338"/>
      <c r="P21" s="338"/>
      <c r="Q21" s="338">
        <f t="shared" si="1"/>
        <v>0</v>
      </c>
      <c r="R21" s="333"/>
      <c r="T21" s="93">
        <f t="shared" si="2"/>
        <v>0</v>
      </c>
      <c r="U21" s="93">
        <f t="shared" si="3"/>
        <v>0</v>
      </c>
      <c r="V21" s="93">
        <f t="shared" si="4"/>
        <v>0</v>
      </c>
      <c r="W21" s="93">
        <f t="shared" si="5"/>
        <v>0</v>
      </c>
      <c r="X21" s="93">
        <f t="shared" si="6"/>
        <v>0</v>
      </c>
      <c r="Y21" s="93">
        <f t="shared" si="7"/>
        <v>0</v>
      </c>
      <c r="Z21" s="93">
        <f t="shared" si="8"/>
        <v>0</v>
      </c>
      <c r="AA21" s="93">
        <f t="shared" si="9"/>
        <v>0</v>
      </c>
      <c r="AB21" s="93">
        <f t="shared" si="10"/>
        <v>0</v>
      </c>
      <c r="AC21" s="93">
        <f t="shared" si="11"/>
        <v>0</v>
      </c>
      <c r="AD21" s="93">
        <f t="shared" si="12"/>
        <v>0</v>
      </c>
      <c r="AE21" s="93">
        <f t="shared" si="13"/>
        <v>0</v>
      </c>
    </row>
    <row r="22" spans="1:31" ht="11.25" customHeight="1" x14ac:dyDescent="0.15">
      <c r="A22" s="334"/>
      <c r="B22" s="335"/>
      <c r="C22" s="336" t="s">
        <v>517</v>
      </c>
      <c r="D22" s="337"/>
      <c r="E22" s="338"/>
      <c r="F22" s="338"/>
      <c r="G22" s="338"/>
      <c r="H22" s="338"/>
      <c r="I22" s="338"/>
      <c r="J22" s="338"/>
      <c r="K22" s="338"/>
      <c r="L22" s="338"/>
      <c r="M22" s="338"/>
      <c r="N22" s="338"/>
      <c r="O22" s="338"/>
      <c r="P22" s="338"/>
      <c r="Q22" s="338">
        <f t="shared" si="1"/>
        <v>0</v>
      </c>
      <c r="R22" s="333"/>
      <c r="T22" s="93">
        <f t="shared" si="2"/>
        <v>0</v>
      </c>
      <c r="U22" s="93">
        <f t="shared" si="3"/>
        <v>0</v>
      </c>
      <c r="V22" s="93">
        <f t="shared" si="4"/>
        <v>0</v>
      </c>
      <c r="W22" s="93">
        <f t="shared" si="5"/>
        <v>0</v>
      </c>
      <c r="X22" s="93">
        <f t="shared" si="6"/>
        <v>0</v>
      </c>
      <c r="Y22" s="93">
        <f t="shared" si="7"/>
        <v>0</v>
      </c>
      <c r="Z22" s="93">
        <f t="shared" si="8"/>
        <v>0</v>
      </c>
      <c r="AA22" s="93">
        <f t="shared" si="9"/>
        <v>0</v>
      </c>
      <c r="AB22" s="93">
        <f t="shared" si="10"/>
        <v>0</v>
      </c>
      <c r="AC22" s="93">
        <f t="shared" si="11"/>
        <v>0</v>
      </c>
      <c r="AD22" s="93">
        <f t="shared" si="12"/>
        <v>0</v>
      </c>
      <c r="AE22" s="93">
        <f t="shared" si="13"/>
        <v>0</v>
      </c>
    </row>
    <row r="23" spans="1:31" ht="11.25" customHeight="1" x14ac:dyDescent="0.15">
      <c r="A23" s="334" t="s">
        <v>557</v>
      </c>
      <c r="B23" s="335" t="s">
        <v>485</v>
      </c>
      <c r="C23" s="336"/>
      <c r="D23" s="337"/>
      <c r="E23" s="338"/>
      <c r="F23" s="338"/>
      <c r="G23" s="338"/>
      <c r="H23" s="338"/>
      <c r="I23" s="338"/>
      <c r="J23" s="338"/>
      <c r="K23" s="338"/>
      <c r="L23" s="338"/>
      <c r="M23" s="338"/>
      <c r="N23" s="338"/>
      <c r="O23" s="338"/>
      <c r="P23" s="338"/>
      <c r="Q23" s="338">
        <f t="shared" si="1"/>
        <v>0</v>
      </c>
      <c r="R23" s="339"/>
      <c r="T23" s="93">
        <f t="shared" si="2"/>
        <v>0</v>
      </c>
      <c r="U23" s="93">
        <f t="shared" si="3"/>
        <v>0</v>
      </c>
      <c r="V23" s="93">
        <f t="shared" si="4"/>
        <v>0</v>
      </c>
      <c r="W23" s="93">
        <f t="shared" si="5"/>
        <v>0</v>
      </c>
      <c r="X23" s="93">
        <f t="shared" si="6"/>
        <v>0</v>
      </c>
      <c r="Y23" s="93">
        <f t="shared" si="7"/>
        <v>0</v>
      </c>
      <c r="Z23" s="93">
        <f t="shared" si="8"/>
        <v>0</v>
      </c>
      <c r="AA23" s="93">
        <f t="shared" si="9"/>
        <v>0</v>
      </c>
      <c r="AB23" s="93">
        <f t="shared" si="10"/>
        <v>0</v>
      </c>
      <c r="AC23" s="93">
        <f t="shared" si="11"/>
        <v>0</v>
      </c>
      <c r="AD23" s="93">
        <f t="shared" si="12"/>
        <v>0</v>
      </c>
      <c r="AE23" s="93">
        <f t="shared" si="13"/>
        <v>0</v>
      </c>
    </row>
    <row r="24" spans="1:31" ht="11.25" customHeight="1" x14ac:dyDescent="0.15">
      <c r="A24" s="334" t="s">
        <v>561</v>
      </c>
      <c r="B24" s="335" t="s">
        <v>306</v>
      </c>
      <c r="C24" s="336"/>
      <c r="D24" s="337"/>
      <c r="E24" s="338"/>
      <c r="F24" s="338"/>
      <c r="G24" s="338"/>
      <c r="H24" s="338"/>
      <c r="I24" s="338"/>
      <c r="J24" s="338"/>
      <c r="K24" s="338"/>
      <c r="L24" s="338"/>
      <c r="M24" s="338"/>
      <c r="N24" s="338"/>
      <c r="O24" s="338"/>
      <c r="P24" s="338"/>
      <c r="Q24" s="338">
        <f t="shared" si="1"/>
        <v>0</v>
      </c>
      <c r="R24" s="339"/>
      <c r="T24" s="93">
        <f t="shared" si="2"/>
        <v>0</v>
      </c>
      <c r="U24" s="93">
        <f t="shared" si="3"/>
        <v>0</v>
      </c>
      <c r="V24" s="93">
        <f t="shared" si="4"/>
        <v>0</v>
      </c>
      <c r="W24" s="93">
        <f t="shared" si="5"/>
        <v>0</v>
      </c>
      <c r="X24" s="93">
        <f t="shared" si="6"/>
        <v>0</v>
      </c>
      <c r="Y24" s="93">
        <f t="shared" si="7"/>
        <v>0</v>
      </c>
      <c r="Z24" s="93">
        <f t="shared" si="8"/>
        <v>0</v>
      </c>
      <c r="AA24" s="93">
        <f t="shared" si="9"/>
        <v>0</v>
      </c>
      <c r="AB24" s="93">
        <f t="shared" si="10"/>
        <v>0</v>
      </c>
      <c r="AC24" s="93">
        <f t="shared" si="11"/>
        <v>0</v>
      </c>
      <c r="AD24" s="93">
        <f t="shared" si="12"/>
        <v>0</v>
      </c>
      <c r="AE24" s="93">
        <f t="shared" si="13"/>
        <v>0</v>
      </c>
    </row>
    <row r="25" spans="1:31" ht="11.25" customHeight="1" x14ac:dyDescent="0.15">
      <c r="A25" s="334" t="s">
        <v>562</v>
      </c>
      <c r="B25" s="335" t="s">
        <v>558</v>
      </c>
      <c r="C25" s="336"/>
      <c r="D25" s="337"/>
      <c r="E25" s="338"/>
      <c r="F25" s="338"/>
      <c r="G25" s="338"/>
      <c r="H25" s="338"/>
      <c r="I25" s="338"/>
      <c r="J25" s="338"/>
      <c r="K25" s="338"/>
      <c r="L25" s="338"/>
      <c r="M25" s="338"/>
      <c r="N25" s="338"/>
      <c r="O25" s="338"/>
      <c r="P25" s="338"/>
      <c r="Q25" s="338">
        <f t="shared" ref="Q25:Q61" si="15">SUM(E25:P25)</f>
        <v>0</v>
      </c>
      <c r="R25" s="339"/>
      <c r="T25" s="93">
        <f t="shared" si="2"/>
        <v>0</v>
      </c>
      <c r="U25" s="93">
        <f t="shared" si="3"/>
        <v>0</v>
      </c>
      <c r="V25" s="93">
        <f t="shared" si="4"/>
        <v>0</v>
      </c>
      <c r="W25" s="93">
        <f t="shared" si="5"/>
        <v>0</v>
      </c>
      <c r="X25" s="93">
        <f t="shared" si="6"/>
        <v>0</v>
      </c>
      <c r="Y25" s="93">
        <f t="shared" si="7"/>
        <v>0</v>
      </c>
      <c r="Z25" s="93">
        <f t="shared" si="8"/>
        <v>0</v>
      </c>
      <c r="AA25" s="93">
        <f t="shared" si="9"/>
        <v>0</v>
      </c>
      <c r="AB25" s="93">
        <f t="shared" si="10"/>
        <v>0</v>
      </c>
      <c r="AC25" s="93">
        <f t="shared" si="11"/>
        <v>0</v>
      </c>
      <c r="AD25" s="93">
        <f t="shared" si="12"/>
        <v>0</v>
      </c>
      <c r="AE25" s="93">
        <f t="shared" si="13"/>
        <v>0</v>
      </c>
    </row>
    <row r="26" spans="1:31" ht="11.25" customHeight="1" x14ac:dyDescent="0.15">
      <c r="A26" s="334" t="s">
        <v>563</v>
      </c>
      <c r="B26" s="335" t="s">
        <v>559</v>
      </c>
      <c r="C26" s="336"/>
      <c r="D26" s="337"/>
      <c r="E26" s="338"/>
      <c r="F26" s="338"/>
      <c r="G26" s="338"/>
      <c r="H26" s="338"/>
      <c r="I26" s="338"/>
      <c r="J26" s="338"/>
      <c r="K26" s="338"/>
      <c r="L26" s="338"/>
      <c r="M26" s="338"/>
      <c r="N26" s="338"/>
      <c r="O26" s="338"/>
      <c r="P26" s="338"/>
      <c r="Q26" s="338">
        <f t="shared" si="15"/>
        <v>0</v>
      </c>
      <c r="R26" s="339"/>
      <c r="T26" s="93">
        <f t="shared" si="2"/>
        <v>0</v>
      </c>
      <c r="U26" s="93">
        <f t="shared" si="3"/>
        <v>0</v>
      </c>
      <c r="V26" s="93">
        <f t="shared" si="4"/>
        <v>0</v>
      </c>
      <c r="W26" s="93">
        <f t="shared" si="5"/>
        <v>0</v>
      </c>
      <c r="X26" s="93">
        <f t="shared" si="6"/>
        <v>0</v>
      </c>
      <c r="Y26" s="93">
        <f t="shared" si="7"/>
        <v>0</v>
      </c>
      <c r="Z26" s="93">
        <f t="shared" si="8"/>
        <v>0</v>
      </c>
      <c r="AA26" s="93">
        <f t="shared" si="9"/>
        <v>0</v>
      </c>
      <c r="AB26" s="93">
        <f t="shared" si="10"/>
        <v>0</v>
      </c>
      <c r="AC26" s="93">
        <f t="shared" si="11"/>
        <v>0</v>
      </c>
      <c r="AD26" s="93">
        <f t="shared" si="12"/>
        <v>0</v>
      </c>
      <c r="AE26" s="93">
        <f t="shared" si="13"/>
        <v>0</v>
      </c>
    </row>
    <row r="27" spans="1:31" ht="11.25" customHeight="1" x14ac:dyDescent="0.15">
      <c r="A27" s="334" t="s">
        <v>564</v>
      </c>
      <c r="B27" s="335" t="s">
        <v>560</v>
      </c>
      <c r="C27" s="336"/>
      <c r="D27" s="337"/>
      <c r="E27" s="338"/>
      <c r="F27" s="338"/>
      <c r="G27" s="338"/>
      <c r="H27" s="338"/>
      <c r="I27" s="338"/>
      <c r="J27" s="338"/>
      <c r="K27" s="338"/>
      <c r="L27" s="338"/>
      <c r="M27" s="338"/>
      <c r="N27" s="338"/>
      <c r="O27" s="338"/>
      <c r="P27" s="338"/>
      <c r="Q27" s="338">
        <f t="shared" si="15"/>
        <v>0</v>
      </c>
      <c r="R27" s="340"/>
      <c r="T27" s="93">
        <f t="shared" si="2"/>
        <v>0</v>
      </c>
      <c r="U27" s="93">
        <f t="shared" si="3"/>
        <v>0</v>
      </c>
      <c r="V27" s="93">
        <f t="shared" si="4"/>
        <v>0</v>
      </c>
      <c r="W27" s="93">
        <f t="shared" si="5"/>
        <v>0</v>
      </c>
      <c r="X27" s="93">
        <f t="shared" si="6"/>
        <v>0</v>
      </c>
      <c r="Y27" s="93">
        <f t="shared" si="7"/>
        <v>0</v>
      </c>
      <c r="Z27" s="93">
        <f t="shared" si="8"/>
        <v>0</v>
      </c>
      <c r="AA27" s="93">
        <f t="shared" si="9"/>
        <v>0</v>
      </c>
      <c r="AB27" s="93">
        <f t="shared" si="10"/>
        <v>0</v>
      </c>
      <c r="AC27" s="93">
        <f t="shared" si="11"/>
        <v>0</v>
      </c>
      <c r="AD27" s="93">
        <f t="shared" si="12"/>
        <v>0</v>
      </c>
      <c r="AE27" s="93">
        <f t="shared" si="13"/>
        <v>0</v>
      </c>
    </row>
    <row r="28" spans="1:31" ht="11.25" customHeight="1" x14ac:dyDescent="0.15">
      <c r="A28" s="334"/>
      <c r="B28" s="335" t="s">
        <v>309</v>
      </c>
      <c r="C28" s="341"/>
      <c r="D28" s="342"/>
      <c r="E28" s="338"/>
      <c r="F28" s="338"/>
      <c r="G28" s="338"/>
      <c r="H28" s="338"/>
      <c r="I28" s="338"/>
      <c r="J28" s="338"/>
      <c r="K28" s="338"/>
      <c r="L28" s="338"/>
      <c r="M28" s="338"/>
      <c r="N28" s="338"/>
      <c r="O28" s="338"/>
      <c r="P28" s="338"/>
      <c r="Q28" s="338">
        <f t="shared" si="15"/>
        <v>0</v>
      </c>
      <c r="R28" s="339"/>
      <c r="T28" s="93">
        <f t="shared" si="2"/>
        <v>0</v>
      </c>
      <c r="U28" s="93">
        <f t="shared" si="3"/>
        <v>0</v>
      </c>
      <c r="V28" s="93">
        <f t="shared" si="4"/>
        <v>0</v>
      </c>
      <c r="W28" s="93">
        <f t="shared" si="5"/>
        <v>0</v>
      </c>
      <c r="X28" s="93">
        <f t="shared" si="6"/>
        <v>0</v>
      </c>
      <c r="Y28" s="93">
        <f t="shared" si="7"/>
        <v>0</v>
      </c>
      <c r="Z28" s="93">
        <f t="shared" si="8"/>
        <v>0</v>
      </c>
      <c r="AA28" s="93">
        <f t="shared" si="9"/>
        <v>0</v>
      </c>
      <c r="AB28" s="93">
        <f t="shared" si="10"/>
        <v>0</v>
      </c>
      <c r="AC28" s="93">
        <f t="shared" si="11"/>
        <v>0</v>
      </c>
      <c r="AD28" s="93">
        <f t="shared" si="12"/>
        <v>0</v>
      </c>
      <c r="AE28" s="93">
        <f t="shared" si="13"/>
        <v>0</v>
      </c>
    </row>
    <row r="29" spans="1:31" ht="11.25" customHeight="1" x14ac:dyDescent="0.15">
      <c r="A29" s="343"/>
      <c r="B29" s="508" t="s">
        <v>566</v>
      </c>
      <c r="C29" s="509"/>
      <c r="D29" s="510"/>
      <c r="E29" s="346">
        <f>SUM(E23:E28)+E17+E12</f>
        <v>0</v>
      </c>
      <c r="F29" s="346">
        <f>SUM(F23:F28)+F17+F12</f>
        <v>0</v>
      </c>
      <c r="G29" s="346">
        <f>SUM(G23:G28)+G17+G12</f>
        <v>0</v>
      </c>
      <c r="H29" s="346">
        <f t="shared" ref="H29:P29" si="16">SUM(H23:H28)+H17+H12</f>
        <v>0</v>
      </c>
      <c r="I29" s="346">
        <f t="shared" si="16"/>
        <v>0</v>
      </c>
      <c r="J29" s="346">
        <f t="shared" si="16"/>
        <v>0</v>
      </c>
      <c r="K29" s="346">
        <f t="shared" si="16"/>
        <v>0</v>
      </c>
      <c r="L29" s="346">
        <f t="shared" si="16"/>
        <v>0</v>
      </c>
      <c r="M29" s="346">
        <f t="shared" si="16"/>
        <v>0</v>
      </c>
      <c r="N29" s="346">
        <f t="shared" si="16"/>
        <v>0</v>
      </c>
      <c r="O29" s="346">
        <f t="shared" si="16"/>
        <v>0</v>
      </c>
      <c r="P29" s="346">
        <f t="shared" si="16"/>
        <v>0</v>
      </c>
      <c r="Q29" s="347">
        <f>SUM(E29:P29)</f>
        <v>0</v>
      </c>
      <c r="R29" s="348" t="s">
        <v>208</v>
      </c>
      <c r="T29" s="93">
        <f t="shared" si="2"/>
        <v>0</v>
      </c>
      <c r="U29" s="93">
        <f t="shared" si="3"/>
        <v>0</v>
      </c>
      <c r="V29" s="93">
        <f t="shared" si="4"/>
        <v>0</v>
      </c>
      <c r="W29" s="93">
        <f t="shared" si="5"/>
        <v>0</v>
      </c>
      <c r="X29" s="93">
        <f t="shared" si="6"/>
        <v>0</v>
      </c>
      <c r="Y29" s="93">
        <f t="shared" si="7"/>
        <v>0</v>
      </c>
      <c r="Z29" s="93">
        <f t="shared" si="8"/>
        <v>0</v>
      </c>
      <c r="AA29" s="93">
        <f t="shared" si="9"/>
        <v>0</v>
      </c>
      <c r="AB29" s="93">
        <f t="shared" si="10"/>
        <v>0</v>
      </c>
      <c r="AC29" s="93">
        <f t="shared" si="11"/>
        <v>0</v>
      </c>
      <c r="AD29" s="93">
        <f t="shared" si="12"/>
        <v>0</v>
      </c>
      <c r="AE29" s="93">
        <f t="shared" si="13"/>
        <v>0</v>
      </c>
    </row>
    <row r="30" spans="1:31" ht="11.25" customHeight="1" x14ac:dyDescent="0.15">
      <c r="A30" s="334" t="s">
        <v>565</v>
      </c>
      <c r="B30" s="349" t="s">
        <v>449</v>
      </c>
      <c r="C30" s="336"/>
      <c r="D30" s="337"/>
      <c r="E30" s="338"/>
      <c r="F30" s="338"/>
      <c r="G30" s="338"/>
      <c r="H30" s="338"/>
      <c r="I30" s="338"/>
      <c r="J30" s="338"/>
      <c r="K30" s="338"/>
      <c r="L30" s="338"/>
      <c r="M30" s="338"/>
      <c r="N30" s="338"/>
      <c r="O30" s="338"/>
      <c r="P30" s="338"/>
      <c r="Q30" s="338">
        <f t="shared" si="15"/>
        <v>0</v>
      </c>
      <c r="R30" s="333"/>
      <c r="T30" s="93">
        <f t="shared" si="2"/>
        <v>0</v>
      </c>
      <c r="U30" s="93">
        <f t="shared" si="3"/>
        <v>0</v>
      </c>
      <c r="V30" s="93">
        <f t="shared" si="4"/>
        <v>0</v>
      </c>
      <c r="W30" s="93">
        <f t="shared" si="5"/>
        <v>0</v>
      </c>
      <c r="X30" s="93">
        <f t="shared" si="6"/>
        <v>0</v>
      </c>
      <c r="Y30" s="93">
        <f t="shared" si="7"/>
        <v>0</v>
      </c>
      <c r="Z30" s="93">
        <f t="shared" si="8"/>
        <v>0</v>
      </c>
      <c r="AA30" s="93">
        <f t="shared" si="9"/>
        <v>0</v>
      </c>
      <c r="AB30" s="93">
        <f t="shared" si="10"/>
        <v>0</v>
      </c>
      <c r="AC30" s="93">
        <f t="shared" si="11"/>
        <v>0</v>
      </c>
      <c r="AD30" s="93">
        <f t="shared" si="12"/>
        <v>0</v>
      </c>
      <c r="AE30" s="93">
        <f t="shared" si="13"/>
        <v>0</v>
      </c>
    </row>
    <row r="31" spans="1:31" ht="11.25" customHeight="1" x14ac:dyDescent="0.15">
      <c r="A31" s="334" t="s">
        <v>574</v>
      </c>
      <c r="B31" s="505" t="s">
        <v>567</v>
      </c>
      <c r="C31" s="506"/>
      <c r="D31" s="507"/>
      <c r="E31" s="352"/>
      <c r="F31" s="352"/>
      <c r="G31" s="352"/>
      <c r="H31" s="352"/>
      <c r="I31" s="352"/>
      <c r="J31" s="338"/>
      <c r="K31" s="338"/>
      <c r="L31" s="338"/>
      <c r="M31" s="338"/>
      <c r="N31" s="338"/>
      <c r="O31" s="338"/>
      <c r="P31" s="338"/>
      <c r="Q31" s="338">
        <f t="shared" si="15"/>
        <v>0</v>
      </c>
      <c r="R31" s="339"/>
      <c r="T31" s="93">
        <f t="shared" si="2"/>
        <v>0</v>
      </c>
      <c r="U31" s="93">
        <f t="shared" si="3"/>
        <v>0</v>
      </c>
      <c r="V31" s="93">
        <f t="shared" si="4"/>
        <v>0</v>
      </c>
      <c r="W31" s="93">
        <f t="shared" si="5"/>
        <v>0</v>
      </c>
      <c r="X31" s="93">
        <f t="shared" si="6"/>
        <v>0</v>
      </c>
      <c r="Y31" s="93">
        <f t="shared" si="7"/>
        <v>0</v>
      </c>
      <c r="Z31" s="93">
        <f t="shared" si="8"/>
        <v>0</v>
      </c>
      <c r="AA31" s="93">
        <f t="shared" si="9"/>
        <v>0</v>
      </c>
      <c r="AB31" s="93">
        <f t="shared" si="10"/>
        <v>0</v>
      </c>
      <c r="AC31" s="93">
        <f t="shared" si="11"/>
        <v>0</v>
      </c>
      <c r="AD31" s="93">
        <f t="shared" si="12"/>
        <v>0</v>
      </c>
      <c r="AE31" s="93">
        <f t="shared" si="13"/>
        <v>0</v>
      </c>
    </row>
    <row r="32" spans="1:31" ht="11.25" customHeight="1" x14ac:dyDescent="0.15">
      <c r="A32" s="334" t="s">
        <v>575</v>
      </c>
      <c r="B32" s="337" t="s">
        <v>316</v>
      </c>
      <c r="C32" s="336"/>
      <c r="D32" s="336"/>
      <c r="E32" s="352"/>
      <c r="F32" s="352"/>
      <c r="G32" s="352"/>
      <c r="H32" s="352"/>
      <c r="I32" s="352"/>
      <c r="J32" s="338"/>
      <c r="K32" s="338"/>
      <c r="L32" s="338"/>
      <c r="M32" s="338"/>
      <c r="N32" s="338"/>
      <c r="O32" s="338"/>
      <c r="P32" s="338"/>
      <c r="Q32" s="338">
        <f t="shared" si="15"/>
        <v>0</v>
      </c>
      <c r="R32" s="339"/>
      <c r="T32" s="93">
        <f t="shared" si="2"/>
        <v>0</v>
      </c>
      <c r="U32" s="93">
        <f t="shared" si="3"/>
        <v>0</v>
      </c>
      <c r="V32" s="93">
        <f t="shared" si="4"/>
        <v>0</v>
      </c>
      <c r="W32" s="93">
        <f t="shared" si="5"/>
        <v>0</v>
      </c>
      <c r="X32" s="93">
        <f t="shared" si="6"/>
        <v>0</v>
      </c>
      <c r="Y32" s="93">
        <f t="shared" si="7"/>
        <v>0</v>
      </c>
      <c r="Z32" s="93">
        <f t="shared" si="8"/>
        <v>0</v>
      </c>
      <c r="AA32" s="93">
        <f t="shared" si="9"/>
        <v>0</v>
      </c>
      <c r="AB32" s="93">
        <f t="shared" si="10"/>
        <v>0</v>
      </c>
      <c r="AC32" s="93">
        <f t="shared" si="11"/>
        <v>0</v>
      </c>
      <c r="AD32" s="93">
        <f t="shared" si="12"/>
        <v>0</v>
      </c>
      <c r="AE32" s="93">
        <f t="shared" si="13"/>
        <v>0</v>
      </c>
    </row>
    <row r="33" spans="1:31" ht="11.25" customHeight="1" x14ac:dyDescent="0.15">
      <c r="A33" s="334" t="s">
        <v>576</v>
      </c>
      <c r="B33" s="335" t="s">
        <v>162</v>
      </c>
      <c r="C33" s="336"/>
      <c r="D33" s="337"/>
      <c r="E33" s="352"/>
      <c r="F33" s="352"/>
      <c r="G33" s="352"/>
      <c r="H33" s="352"/>
      <c r="I33" s="352"/>
      <c r="J33" s="338"/>
      <c r="K33" s="338"/>
      <c r="L33" s="338"/>
      <c r="M33" s="338"/>
      <c r="N33" s="338"/>
      <c r="O33" s="338"/>
      <c r="P33" s="338"/>
      <c r="Q33" s="338">
        <f t="shared" si="15"/>
        <v>0</v>
      </c>
      <c r="R33" s="340"/>
      <c r="T33" s="93">
        <f t="shared" si="2"/>
        <v>0</v>
      </c>
      <c r="U33" s="93">
        <f t="shared" si="3"/>
        <v>0</v>
      </c>
      <c r="V33" s="93">
        <f t="shared" si="4"/>
        <v>0</v>
      </c>
      <c r="W33" s="93">
        <f t="shared" si="5"/>
        <v>0</v>
      </c>
      <c r="X33" s="93">
        <f t="shared" si="6"/>
        <v>0</v>
      </c>
      <c r="Y33" s="93">
        <f t="shared" si="7"/>
        <v>0</v>
      </c>
      <c r="Z33" s="93">
        <f t="shared" si="8"/>
        <v>0</v>
      </c>
      <c r="AA33" s="93">
        <f t="shared" si="9"/>
        <v>0</v>
      </c>
      <c r="AB33" s="93">
        <f t="shared" si="10"/>
        <v>0</v>
      </c>
      <c r="AC33" s="93">
        <f t="shared" si="11"/>
        <v>0</v>
      </c>
      <c r="AD33" s="93">
        <f t="shared" si="12"/>
        <v>0</v>
      </c>
      <c r="AE33" s="93">
        <f t="shared" si="13"/>
        <v>0</v>
      </c>
    </row>
    <row r="34" spans="1:31" ht="11.25" customHeight="1" x14ac:dyDescent="0.15">
      <c r="A34" s="334" t="s">
        <v>577</v>
      </c>
      <c r="B34" s="335" t="s">
        <v>568</v>
      </c>
      <c r="C34" s="341"/>
      <c r="D34" s="342"/>
      <c r="E34" s="352"/>
      <c r="F34" s="352"/>
      <c r="G34" s="352"/>
      <c r="H34" s="352"/>
      <c r="I34" s="352"/>
      <c r="J34" s="338"/>
      <c r="K34" s="338"/>
      <c r="L34" s="338"/>
      <c r="M34" s="338"/>
      <c r="N34" s="338"/>
      <c r="O34" s="338"/>
      <c r="P34" s="338"/>
      <c r="Q34" s="338">
        <f t="shared" si="15"/>
        <v>0</v>
      </c>
      <c r="R34" s="339"/>
      <c r="T34" s="93">
        <f t="shared" si="2"/>
        <v>0</v>
      </c>
      <c r="U34" s="93">
        <f t="shared" si="3"/>
        <v>0</v>
      </c>
      <c r="V34" s="93">
        <f t="shared" si="4"/>
        <v>0</v>
      </c>
      <c r="W34" s="93">
        <f t="shared" si="5"/>
        <v>0</v>
      </c>
      <c r="X34" s="93">
        <f t="shared" si="6"/>
        <v>0</v>
      </c>
      <c r="Y34" s="93">
        <f t="shared" si="7"/>
        <v>0</v>
      </c>
      <c r="Z34" s="93">
        <f t="shared" si="8"/>
        <v>0</v>
      </c>
      <c r="AA34" s="93">
        <f t="shared" si="9"/>
        <v>0</v>
      </c>
      <c r="AB34" s="93">
        <f t="shared" si="10"/>
        <v>0</v>
      </c>
      <c r="AC34" s="93">
        <f t="shared" si="11"/>
        <v>0</v>
      </c>
      <c r="AD34" s="93">
        <f t="shared" si="12"/>
        <v>0</v>
      </c>
      <c r="AE34" s="93">
        <f t="shared" si="13"/>
        <v>0</v>
      </c>
    </row>
    <row r="35" spans="1:31" ht="11.25" customHeight="1" x14ac:dyDescent="0.15">
      <c r="A35" s="334" t="s">
        <v>578</v>
      </c>
      <c r="B35" s="335" t="s">
        <v>569</v>
      </c>
      <c r="C35" s="336"/>
      <c r="D35" s="337"/>
      <c r="E35" s="352"/>
      <c r="F35" s="352"/>
      <c r="G35" s="352"/>
      <c r="H35" s="352"/>
      <c r="I35" s="352"/>
      <c r="J35" s="338"/>
      <c r="K35" s="338"/>
      <c r="L35" s="338"/>
      <c r="M35" s="338"/>
      <c r="N35" s="338"/>
      <c r="O35" s="338"/>
      <c r="P35" s="338"/>
      <c r="Q35" s="338">
        <f t="shared" si="15"/>
        <v>0</v>
      </c>
      <c r="R35" s="339"/>
      <c r="T35" s="93">
        <f t="shared" si="2"/>
        <v>0</v>
      </c>
      <c r="U35" s="93">
        <f t="shared" si="3"/>
        <v>0</v>
      </c>
      <c r="V35" s="93">
        <f t="shared" si="4"/>
        <v>0</v>
      </c>
      <c r="W35" s="93">
        <f t="shared" si="5"/>
        <v>0</v>
      </c>
      <c r="X35" s="93">
        <f t="shared" si="6"/>
        <v>0</v>
      </c>
      <c r="Y35" s="93">
        <f t="shared" si="7"/>
        <v>0</v>
      </c>
      <c r="Z35" s="93">
        <f t="shared" si="8"/>
        <v>0</v>
      </c>
      <c r="AA35" s="93">
        <f t="shared" si="9"/>
        <v>0</v>
      </c>
      <c r="AB35" s="93">
        <f t="shared" si="10"/>
        <v>0</v>
      </c>
      <c r="AC35" s="93">
        <f t="shared" si="11"/>
        <v>0</v>
      </c>
      <c r="AD35" s="93">
        <f t="shared" si="12"/>
        <v>0</v>
      </c>
      <c r="AE35" s="93">
        <f t="shared" si="13"/>
        <v>0</v>
      </c>
    </row>
    <row r="36" spans="1:31" ht="11.25" customHeight="1" x14ac:dyDescent="0.15">
      <c r="A36" s="334"/>
      <c r="B36" s="335"/>
      <c r="C36" s="336" t="s">
        <v>388</v>
      </c>
      <c r="D36" s="337"/>
      <c r="E36" s="352"/>
      <c r="F36" s="352"/>
      <c r="G36" s="352"/>
      <c r="H36" s="352"/>
      <c r="I36" s="352"/>
      <c r="J36" s="338"/>
      <c r="K36" s="338"/>
      <c r="L36" s="338"/>
      <c r="M36" s="338"/>
      <c r="N36" s="338"/>
      <c r="O36" s="338"/>
      <c r="P36" s="338"/>
      <c r="Q36" s="338">
        <f t="shared" si="15"/>
        <v>0</v>
      </c>
      <c r="R36" s="339"/>
      <c r="T36" s="93">
        <f t="shared" si="2"/>
        <v>0</v>
      </c>
      <c r="U36" s="93">
        <f t="shared" si="3"/>
        <v>0</v>
      </c>
      <c r="V36" s="93">
        <f t="shared" si="4"/>
        <v>0</v>
      </c>
      <c r="W36" s="93">
        <f t="shared" si="5"/>
        <v>0</v>
      </c>
      <c r="X36" s="93">
        <f t="shared" si="6"/>
        <v>0</v>
      </c>
      <c r="Y36" s="93">
        <f t="shared" si="7"/>
        <v>0</v>
      </c>
      <c r="Z36" s="93">
        <f t="shared" si="8"/>
        <v>0</v>
      </c>
      <c r="AA36" s="93">
        <f t="shared" si="9"/>
        <v>0</v>
      </c>
      <c r="AB36" s="93">
        <f t="shared" si="10"/>
        <v>0</v>
      </c>
      <c r="AC36" s="93">
        <f t="shared" si="11"/>
        <v>0</v>
      </c>
      <c r="AD36" s="93">
        <f t="shared" si="12"/>
        <v>0</v>
      </c>
      <c r="AE36" s="93">
        <f t="shared" si="13"/>
        <v>0</v>
      </c>
    </row>
    <row r="37" spans="1:31" ht="11.25" customHeight="1" x14ac:dyDescent="0.15">
      <c r="A37" s="334"/>
      <c r="B37" s="335"/>
      <c r="C37" s="336" t="s">
        <v>322</v>
      </c>
      <c r="D37" s="337"/>
      <c r="E37" s="352"/>
      <c r="F37" s="352"/>
      <c r="G37" s="352"/>
      <c r="H37" s="352"/>
      <c r="I37" s="352"/>
      <c r="J37" s="338"/>
      <c r="K37" s="338"/>
      <c r="L37" s="338"/>
      <c r="M37" s="338"/>
      <c r="N37" s="338"/>
      <c r="O37" s="338"/>
      <c r="P37" s="338"/>
      <c r="Q37" s="338">
        <f t="shared" si="15"/>
        <v>0</v>
      </c>
      <c r="R37" s="339"/>
      <c r="T37" s="93">
        <f t="shared" si="2"/>
        <v>0</v>
      </c>
      <c r="U37" s="93">
        <f t="shared" si="3"/>
        <v>0</v>
      </c>
      <c r="V37" s="93">
        <f t="shared" si="4"/>
        <v>0</v>
      </c>
      <c r="W37" s="93">
        <f t="shared" si="5"/>
        <v>0</v>
      </c>
      <c r="X37" s="93">
        <f t="shared" si="6"/>
        <v>0</v>
      </c>
      <c r="Y37" s="93">
        <f t="shared" si="7"/>
        <v>0</v>
      </c>
      <c r="Z37" s="93">
        <f t="shared" si="8"/>
        <v>0</v>
      </c>
      <c r="AA37" s="93">
        <f t="shared" si="9"/>
        <v>0</v>
      </c>
      <c r="AB37" s="93">
        <f t="shared" si="10"/>
        <v>0</v>
      </c>
      <c r="AC37" s="93">
        <f t="shared" si="11"/>
        <v>0</v>
      </c>
      <c r="AD37" s="93">
        <f t="shared" si="12"/>
        <v>0</v>
      </c>
      <c r="AE37" s="93">
        <f t="shared" si="13"/>
        <v>0</v>
      </c>
    </row>
    <row r="38" spans="1:31" ht="11.25" customHeight="1" x14ac:dyDescent="0.15">
      <c r="A38" s="334" t="s">
        <v>579</v>
      </c>
      <c r="B38" s="335" t="s">
        <v>324</v>
      </c>
      <c r="C38" s="336"/>
      <c r="D38" s="337"/>
      <c r="E38" s="352"/>
      <c r="F38" s="352"/>
      <c r="G38" s="352"/>
      <c r="H38" s="352"/>
      <c r="I38" s="352"/>
      <c r="J38" s="338"/>
      <c r="K38" s="338"/>
      <c r="L38" s="338"/>
      <c r="M38" s="338"/>
      <c r="N38" s="338"/>
      <c r="O38" s="338"/>
      <c r="P38" s="338"/>
      <c r="Q38" s="338">
        <f t="shared" si="15"/>
        <v>0</v>
      </c>
      <c r="R38" s="339"/>
      <c r="T38" s="93">
        <f t="shared" si="2"/>
        <v>0</v>
      </c>
      <c r="U38" s="93">
        <f t="shared" si="3"/>
        <v>0</v>
      </c>
      <c r="V38" s="93">
        <f t="shared" si="4"/>
        <v>0</v>
      </c>
      <c r="W38" s="93">
        <f t="shared" si="5"/>
        <v>0</v>
      </c>
      <c r="X38" s="93">
        <f t="shared" si="6"/>
        <v>0</v>
      </c>
      <c r="Y38" s="93">
        <f t="shared" si="7"/>
        <v>0</v>
      </c>
      <c r="Z38" s="93">
        <f t="shared" si="8"/>
        <v>0</v>
      </c>
      <c r="AA38" s="93">
        <f t="shared" si="9"/>
        <v>0</v>
      </c>
      <c r="AB38" s="93">
        <f t="shared" si="10"/>
        <v>0</v>
      </c>
      <c r="AC38" s="93">
        <f t="shared" si="11"/>
        <v>0</v>
      </c>
      <c r="AD38" s="93">
        <f t="shared" si="12"/>
        <v>0</v>
      </c>
      <c r="AE38" s="93">
        <f t="shared" si="13"/>
        <v>0</v>
      </c>
    </row>
    <row r="39" spans="1:31" ht="11.25" customHeight="1" x14ac:dyDescent="0.15">
      <c r="A39" s="334" t="s">
        <v>580</v>
      </c>
      <c r="B39" s="505" t="s">
        <v>570</v>
      </c>
      <c r="C39" s="506"/>
      <c r="D39" s="507"/>
      <c r="E39" s="352"/>
      <c r="F39" s="352"/>
      <c r="G39" s="352"/>
      <c r="H39" s="352"/>
      <c r="I39" s="352"/>
      <c r="J39" s="338"/>
      <c r="K39" s="338"/>
      <c r="L39" s="338"/>
      <c r="M39" s="338"/>
      <c r="N39" s="338"/>
      <c r="O39" s="338"/>
      <c r="P39" s="338"/>
      <c r="Q39" s="338">
        <f t="shared" si="15"/>
        <v>0</v>
      </c>
      <c r="R39" s="339"/>
      <c r="T39" s="93">
        <f t="shared" si="2"/>
        <v>0</v>
      </c>
      <c r="U39" s="93">
        <f t="shared" si="3"/>
        <v>0</v>
      </c>
      <c r="V39" s="93">
        <f t="shared" si="4"/>
        <v>0</v>
      </c>
      <c r="W39" s="93">
        <f t="shared" si="5"/>
        <v>0</v>
      </c>
      <c r="X39" s="93">
        <f t="shared" si="6"/>
        <v>0</v>
      </c>
      <c r="Y39" s="93">
        <f t="shared" si="7"/>
        <v>0</v>
      </c>
      <c r="Z39" s="93">
        <f t="shared" si="8"/>
        <v>0</v>
      </c>
      <c r="AA39" s="93">
        <f t="shared" si="9"/>
        <v>0</v>
      </c>
      <c r="AB39" s="93">
        <f t="shared" si="10"/>
        <v>0</v>
      </c>
      <c r="AC39" s="93">
        <f t="shared" si="11"/>
        <v>0</v>
      </c>
      <c r="AD39" s="93">
        <f t="shared" si="12"/>
        <v>0</v>
      </c>
      <c r="AE39" s="93">
        <f t="shared" si="13"/>
        <v>0</v>
      </c>
    </row>
    <row r="40" spans="1:31" ht="11.25" customHeight="1" x14ac:dyDescent="0.15">
      <c r="A40" s="334" t="s">
        <v>581</v>
      </c>
      <c r="B40" s="505" t="s">
        <v>571</v>
      </c>
      <c r="C40" s="506"/>
      <c r="D40" s="507"/>
      <c r="E40" s="352"/>
      <c r="F40" s="352"/>
      <c r="G40" s="352"/>
      <c r="H40" s="352"/>
      <c r="I40" s="352"/>
      <c r="J40" s="338"/>
      <c r="K40" s="338"/>
      <c r="L40" s="338"/>
      <c r="M40" s="338"/>
      <c r="N40" s="338"/>
      <c r="O40" s="338"/>
      <c r="P40" s="338"/>
      <c r="Q40" s="338">
        <f t="shared" si="15"/>
        <v>0</v>
      </c>
      <c r="R40" s="339"/>
      <c r="T40" s="93">
        <f t="shared" si="2"/>
        <v>0</v>
      </c>
      <c r="U40" s="93">
        <f t="shared" si="3"/>
        <v>0</v>
      </c>
      <c r="V40" s="93">
        <f t="shared" si="4"/>
        <v>0</v>
      </c>
      <c r="W40" s="93">
        <f t="shared" si="5"/>
        <v>0</v>
      </c>
      <c r="X40" s="93">
        <f t="shared" si="6"/>
        <v>0</v>
      </c>
      <c r="Y40" s="93">
        <f t="shared" si="7"/>
        <v>0</v>
      </c>
      <c r="Z40" s="93">
        <f t="shared" si="8"/>
        <v>0</v>
      </c>
      <c r="AA40" s="93">
        <f t="shared" si="9"/>
        <v>0</v>
      </c>
      <c r="AB40" s="93">
        <f t="shared" si="10"/>
        <v>0</v>
      </c>
      <c r="AC40" s="93">
        <f t="shared" si="11"/>
        <v>0</v>
      </c>
      <c r="AD40" s="93">
        <f t="shared" si="12"/>
        <v>0</v>
      </c>
      <c r="AE40" s="93">
        <f t="shared" si="13"/>
        <v>0</v>
      </c>
    </row>
    <row r="41" spans="1:31" ht="11.25" customHeight="1" x14ac:dyDescent="0.15">
      <c r="A41" s="334" t="s">
        <v>582</v>
      </c>
      <c r="B41" s="335" t="s">
        <v>572</v>
      </c>
      <c r="C41" s="336"/>
      <c r="D41" s="337"/>
      <c r="E41" s="352"/>
      <c r="F41" s="352"/>
      <c r="G41" s="352"/>
      <c r="H41" s="352"/>
      <c r="I41" s="352"/>
      <c r="J41" s="338"/>
      <c r="K41" s="338"/>
      <c r="L41" s="338"/>
      <c r="M41" s="338"/>
      <c r="N41" s="338"/>
      <c r="O41" s="338"/>
      <c r="P41" s="338"/>
      <c r="Q41" s="338">
        <f t="shared" si="15"/>
        <v>0</v>
      </c>
      <c r="R41" s="340"/>
      <c r="T41" s="93">
        <f t="shared" si="2"/>
        <v>0</v>
      </c>
      <c r="U41" s="93">
        <f t="shared" si="3"/>
        <v>0</v>
      </c>
      <c r="V41" s="93">
        <f t="shared" si="4"/>
        <v>0</v>
      </c>
      <c r="W41" s="93">
        <f t="shared" si="5"/>
        <v>0</v>
      </c>
      <c r="X41" s="93">
        <f t="shared" si="6"/>
        <v>0</v>
      </c>
      <c r="Y41" s="93">
        <f t="shared" si="7"/>
        <v>0</v>
      </c>
      <c r="Z41" s="93">
        <f t="shared" si="8"/>
        <v>0</v>
      </c>
      <c r="AA41" s="93">
        <f t="shared" si="9"/>
        <v>0</v>
      </c>
      <c r="AB41" s="93">
        <f t="shared" si="10"/>
        <v>0</v>
      </c>
      <c r="AC41" s="93">
        <f t="shared" si="11"/>
        <v>0</v>
      </c>
      <c r="AD41" s="93">
        <f t="shared" si="12"/>
        <v>0</v>
      </c>
      <c r="AE41" s="93">
        <f t="shared" si="13"/>
        <v>0</v>
      </c>
    </row>
    <row r="42" spans="1:31" ht="11.25" customHeight="1" x14ac:dyDescent="0.15">
      <c r="A42" s="353"/>
      <c r="B42" s="335" t="s">
        <v>332</v>
      </c>
      <c r="C42" s="336"/>
      <c r="D42" s="337"/>
      <c r="E42" s="352"/>
      <c r="F42" s="352"/>
      <c r="G42" s="352"/>
      <c r="H42" s="352"/>
      <c r="I42" s="352"/>
      <c r="J42" s="338"/>
      <c r="K42" s="338"/>
      <c r="L42" s="338"/>
      <c r="M42" s="338"/>
      <c r="N42" s="338"/>
      <c r="O42" s="338"/>
      <c r="P42" s="338"/>
      <c r="Q42" s="338">
        <f t="shared" si="15"/>
        <v>0</v>
      </c>
      <c r="R42" s="339"/>
      <c r="T42" s="93">
        <f t="shared" si="2"/>
        <v>0</v>
      </c>
      <c r="U42" s="93">
        <f t="shared" si="3"/>
        <v>0</v>
      </c>
      <c r="V42" s="93">
        <f t="shared" si="4"/>
        <v>0</v>
      </c>
      <c r="W42" s="93">
        <f t="shared" si="5"/>
        <v>0</v>
      </c>
      <c r="X42" s="93">
        <f t="shared" si="6"/>
        <v>0</v>
      </c>
      <c r="Y42" s="93">
        <f t="shared" si="7"/>
        <v>0</v>
      </c>
      <c r="Z42" s="93">
        <f t="shared" si="8"/>
        <v>0</v>
      </c>
      <c r="AA42" s="93">
        <f t="shared" si="9"/>
        <v>0</v>
      </c>
      <c r="AB42" s="93">
        <f t="shared" si="10"/>
        <v>0</v>
      </c>
      <c r="AC42" s="93">
        <f t="shared" si="11"/>
        <v>0</v>
      </c>
      <c r="AD42" s="93">
        <f t="shared" si="12"/>
        <v>0</v>
      </c>
      <c r="AE42" s="93">
        <f t="shared" si="13"/>
        <v>0</v>
      </c>
    </row>
    <row r="43" spans="1:31" ht="11.25" customHeight="1" x14ac:dyDescent="0.15">
      <c r="A43" s="353"/>
      <c r="B43" s="335" t="s">
        <v>573</v>
      </c>
      <c r="C43" s="336"/>
      <c r="D43" s="337"/>
      <c r="E43" s="352"/>
      <c r="F43" s="352"/>
      <c r="G43" s="352"/>
      <c r="H43" s="352"/>
      <c r="I43" s="352"/>
      <c r="J43" s="338"/>
      <c r="K43" s="338"/>
      <c r="L43" s="338"/>
      <c r="M43" s="338"/>
      <c r="N43" s="338"/>
      <c r="O43" s="338"/>
      <c r="P43" s="338"/>
      <c r="Q43" s="338">
        <f t="shared" si="15"/>
        <v>0</v>
      </c>
      <c r="R43" s="339"/>
      <c r="T43" s="93">
        <f t="shared" si="2"/>
        <v>0</v>
      </c>
      <c r="U43" s="93">
        <f t="shared" si="3"/>
        <v>0</v>
      </c>
      <c r="V43" s="93">
        <f t="shared" si="4"/>
        <v>0</v>
      </c>
      <c r="W43" s="93">
        <f t="shared" si="5"/>
        <v>0</v>
      </c>
      <c r="X43" s="93">
        <f t="shared" si="6"/>
        <v>0</v>
      </c>
      <c r="Y43" s="93">
        <f t="shared" si="7"/>
        <v>0</v>
      </c>
      <c r="Z43" s="93">
        <f t="shared" si="8"/>
        <v>0</v>
      </c>
      <c r="AA43" s="93">
        <f t="shared" si="9"/>
        <v>0</v>
      </c>
      <c r="AB43" s="93">
        <f t="shared" si="10"/>
        <v>0</v>
      </c>
      <c r="AC43" s="93">
        <f t="shared" si="11"/>
        <v>0</v>
      </c>
      <c r="AD43" s="93">
        <f t="shared" si="12"/>
        <v>0</v>
      </c>
      <c r="AE43" s="93">
        <f t="shared" si="13"/>
        <v>0</v>
      </c>
    </row>
    <row r="44" spans="1:31" ht="11.25" customHeight="1" x14ac:dyDescent="0.15">
      <c r="A44" s="325"/>
      <c r="B44" s="508" t="s">
        <v>583</v>
      </c>
      <c r="C44" s="509"/>
      <c r="D44" s="510"/>
      <c r="E44" s="354">
        <f>SUM(E31:E43)</f>
        <v>0</v>
      </c>
      <c r="F44" s="354">
        <f>SUM(F31:F43)</f>
        <v>0</v>
      </c>
      <c r="G44" s="354">
        <f>SUM(G31:G43)</f>
        <v>0</v>
      </c>
      <c r="H44" s="354">
        <f t="shared" ref="H44:P44" si="17">SUM(H31:H43)</f>
        <v>0</v>
      </c>
      <c r="I44" s="354">
        <f t="shared" si="17"/>
        <v>0</v>
      </c>
      <c r="J44" s="354">
        <f t="shared" si="17"/>
        <v>0</v>
      </c>
      <c r="K44" s="354">
        <f t="shared" si="17"/>
        <v>0</v>
      </c>
      <c r="L44" s="354">
        <f t="shared" si="17"/>
        <v>0</v>
      </c>
      <c r="M44" s="354">
        <f t="shared" si="17"/>
        <v>0</v>
      </c>
      <c r="N44" s="354">
        <f t="shared" si="17"/>
        <v>0</v>
      </c>
      <c r="O44" s="354">
        <f t="shared" si="17"/>
        <v>0</v>
      </c>
      <c r="P44" s="354">
        <f t="shared" si="17"/>
        <v>0</v>
      </c>
      <c r="Q44" s="354">
        <f t="shared" si="15"/>
        <v>0</v>
      </c>
      <c r="R44" s="348" t="s">
        <v>320</v>
      </c>
      <c r="T44" s="93">
        <f t="shared" si="2"/>
        <v>0</v>
      </c>
      <c r="U44" s="93">
        <f t="shared" si="3"/>
        <v>0</v>
      </c>
      <c r="V44" s="93">
        <f t="shared" si="4"/>
        <v>0</v>
      </c>
      <c r="W44" s="93">
        <f t="shared" si="5"/>
        <v>0</v>
      </c>
      <c r="X44" s="93">
        <f t="shared" si="6"/>
        <v>0</v>
      </c>
      <c r="Y44" s="93">
        <f t="shared" si="7"/>
        <v>0</v>
      </c>
      <c r="Z44" s="93">
        <f t="shared" si="8"/>
        <v>0</v>
      </c>
      <c r="AA44" s="93">
        <f t="shared" si="9"/>
        <v>0</v>
      </c>
      <c r="AB44" s="93">
        <f t="shared" si="10"/>
        <v>0</v>
      </c>
      <c r="AC44" s="93">
        <f t="shared" si="11"/>
        <v>0</v>
      </c>
      <c r="AD44" s="93">
        <f t="shared" si="12"/>
        <v>0</v>
      </c>
      <c r="AE44" s="93">
        <f t="shared" si="13"/>
        <v>0</v>
      </c>
    </row>
    <row r="45" spans="1:31" ht="11.25" customHeight="1" x14ac:dyDescent="0.15">
      <c r="A45" s="334" t="s">
        <v>587</v>
      </c>
      <c r="B45" s="335" t="s">
        <v>584</v>
      </c>
      <c r="C45" s="336"/>
      <c r="D45" s="337"/>
      <c r="E45" s="338"/>
      <c r="F45" s="338"/>
      <c r="G45" s="338"/>
      <c r="H45" s="338"/>
      <c r="I45" s="338"/>
      <c r="J45" s="338"/>
      <c r="K45" s="338"/>
      <c r="L45" s="338"/>
      <c r="M45" s="338"/>
      <c r="N45" s="338"/>
      <c r="O45" s="338"/>
      <c r="P45" s="338"/>
      <c r="Q45" s="338">
        <f t="shared" si="15"/>
        <v>0</v>
      </c>
      <c r="R45" s="339"/>
      <c r="T45" s="93">
        <f t="shared" si="2"/>
        <v>0</v>
      </c>
      <c r="U45" s="93">
        <f t="shared" si="3"/>
        <v>0</v>
      </c>
      <c r="V45" s="93">
        <f t="shared" si="4"/>
        <v>0</v>
      </c>
      <c r="W45" s="93">
        <f t="shared" si="5"/>
        <v>0</v>
      </c>
      <c r="X45" s="93">
        <f t="shared" si="6"/>
        <v>0</v>
      </c>
      <c r="Y45" s="93">
        <f t="shared" si="7"/>
        <v>0</v>
      </c>
      <c r="Z45" s="93">
        <f t="shared" si="8"/>
        <v>0</v>
      </c>
      <c r="AA45" s="93">
        <f t="shared" si="9"/>
        <v>0</v>
      </c>
      <c r="AB45" s="93">
        <f t="shared" si="10"/>
        <v>0</v>
      </c>
      <c r="AC45" s="93">
        <f t="shared" si="11"/>
        <v>0</v>
      </c>
      <c r="AD45" s="93">
        <f t="shared" si="12"/>
        <v>0</v>
      </c>
      <c r="AE45" s="93">
        <f t="shared" si="13"/>
        <v>0</v>
      </c>
    </row>
    <row r="46" spans="1:31" ht="11.25" customHeight="1" x14ac:dyDescent="0.15">
      <c r="A46" s="334" t="s">
        <v>588</v>
      </c>
      <c r="B46" s="335" t="s">
        <v>585</v>
      </c>
      <c r="C46" s="336"/>
      <c r="D46" s="337"/>
      <c r="E46" s="352"/>
      <c r="F46" s="352"/>
      <c r="G46" s="352"/>
      <c r="H46" s="352"/>
      <c r="I46" s="338"/>
      <c r="J46" s="338"/>
      <c r="K46" s="338"/>
      <c r="L46" s="338"/>
      <c r="M46" s="338"/>
      <c r="N46" s="338"/>
      <c r="O46" s="338"/>
      <c r="P46" s="338"/>
      <c r="Q46" s="338">
        <f t="shared" si="15"/>
        <v>0</v>
      </c>
      <c r="R46" s="339"/>
      <c r="T46" s="93">
        <f t="shared" si="2"/>
        <v>0</v>
      </c>
      <c r="U46" s="93">
        <f t="shared" si="3"/>
        <v>0</v>
      </c>
      <c r="V46" s="93">
        <f t="shared" si="4"/>
        <v>0</v>
      </c>
      <c r="W46" s="93">
        <f t="shared" si="5"/>
        <v>0</v>
      </c>
      <c r="X46" s="93">
        <f t="shared" si="6"/>
        <v>0</v>
      </c>
      <c r="Y46" s="93">
        <f t="shared" si="7"/>
        <v>0</v>
      </c>
      <c r="Z46" s="93">
        <f t="shared" si="8"/>
        <v>0</v>
      </c>
      <c r="AA46" s="93">
        <f t="shared" si="9"/>
        <v>0</v>
      </c>
      <c r="AB46" s="93">
        <f t="shared" si="10"/>
        <v>0</v>
      </c>
      <c r="AC46" s="93">
        <f t="shared" si="11"/>
        <v>0</v>
      </c>
      <c r="AD46" s="93">
        <f t="shared" si="12"/>
        <v>0</v>
      </c>
      <c r="AE46" s="93">
        <f t="shared" si="13"/>
        <v>0</v>
      </c>
    </row>
    <row r="47" spans="1:31" ht="11.25" customHeight="1" x14ac:dyDescent="0.15">
      <c r="A47" s="334" t="s">
        <v>589</v>
      </c>
      <c r="B47" s="335" t="s">
        <v>25</v>
      </c>
      <c r="C47" s="336"/>
      <c r="D47" s="337"/>
      <c r="E47" s="352"/>
      <c r="F47" s="352"/>
      <c r="G47" s="352"/>
      <c r="H47" s="352"/>
      <c r="I47" s="338"/>
      <c r="J47" s="338"/>
      <c r="K47" s="338"/>
      <c r="L47" s="338"/>
      <c r="M47" s="338"/>
      <c r="N47" s="338"/>
      <c r="O47" s="338"/>
      <c r="P47" s="338"/>
      <c r="Q47" s="338">
        <f t="shared" si="15"/>
        <v>0</v>
      </c>
      <c r="R47" s="339"/>
      <c r="T47" s="93">
        <f t="shared" si="2"/>
        <v>0</v>
      </c>
      <c r="U47" s="93">
        <f t="shared" si="3"/>
        <v>0</v>
      </c>
      <c r="V47" s="93">
        <f t="shared" si="4"/>
        <v>0</v>
      </c>
      <c r="W47" s="93">
        <f t="shared" si="5"/>
        <v>0</v>
      </c>
      <c r="X47" s="93">
        <f t="shared" si="6"/>
        <v>0</v>
      </c>
      <c r="Y47" s="93">
        <f t="shared" si="7"/>
        <v>0</v>
      </c>
      <c r="Z47" s="93">
        <f t="shared" si="8"/>
        <v>0</v>
      </c>
      <c r="AA47" s="93">
        <f t="shared" si="9"/>
        <v>0</v>
      </c>
      <c r="AB47" s="93">
        <f t="shared" si="10"/>
        <v>0</v>
      </c>
      <c r="AC47" s="93">
        <f t="shared" si="11"/>
        <v>0</v>
      </c>
      <c r="AD47" s="93">
        <f t="shared" si="12"/>
        <v>0</v>
      </c>
      <c r="AE47" s="93">
        <f t="shared" si="13"/>
        <v>0</v>
      </c>
    </row>
    <row r="48" spans="1:31" ht="11.25" customHeight="1" x14ac:dyDescent="0.15">
      <c r="A48" s="334" t="s">
        <v>590</v>
      </c>
      <c r="B48" s="335" t="s">
        <v>586</v>
      </c>
      <c r="C48" s="336"/>
      <c r="D48" s="337"/>
      <c r="E48" s="352"/>
      <c r="F48" s="352"/>
      <c r="G48" s="352"/>
      <c r="H48" s="352"/>
      <c r="I48" s="338"/>
      <c r="J48" s="338"/>
      <c r="K48" s="338"/>
      <c r="L48" s="338"/>
      <c r="M48" s="338"/>
      <c r="N48" s="338"/>
      <c r="O48" s="338"/>
      <c r="P48" s="338"/>
      <c r="Q48" s="338">
        <f t="shared" si="15"/>
        <v>0</v>
      </c>
      <c r="R48" s="339"/>
      <c r="T48" s="93">
        <f t="shared" si="2"/>
        <v>0</v>
      </c>
      <c r="U48" s="93">
        <f t="shared" si="3"/>
        <v>0</v>
      </c>
      <c r="V48" s="93">
        <f t="shared" si="4"/>
        <v>0</v>
      </c>
      <c r="W48" s="93">
        <f t="shared" si="5"/>
        <v>0</v>
      </c>
      <c r="X48" s="93">
        <f t="shared" si="6"/>
        <v>0</v>
      </c>
      <c r="Y48" s="93">
        <f t="shared" si="7"/>
        <v>0</v>
      </c>
      <c r="Z48" s="93">
        <f t="shared" si="8"/>
        <v>0</v>
      </c>
      <c r="AA48" s="93">
        <f t="shared" si="9"/>
        <v>0</v>
      </c>
      <c r="AB48" s="93">
        <f t="shared" si="10"/>
        <v>0</v>
      </c>
      <c r="AC48" s="93">
        <f t="shared" si="11"/>
        <v>0</v>
      </c>
      <c r="AD48" s="93">
        <f t="shared" si="12"/>
        <v>0</v>
      </c>
      <c r="AE48" s="93">
        <f t="shared" si="13"/>
        <v>0</v>
      </c>
    </row>
    <row r="49" spans="1:31" ht="11.25" customHeight="1" x14ac:dyDescent="0.15">
      <c r="A49" s="325"/>
      <c r="B49" s="515" t="s">
        <v>591</v>
      </c>
      <c r="C49" s="516"/>
      <c r="D49" s="517"/>
      <c r="E49" s="354">
        <f>SUM(E46:E48)</f>
        <v>0</v>
      </c>
      <c r="F49" s="354">
        <f t="shared" ref="F49:P49" si="18">SUM(F46:F48)</f>
        <v>0</v>
      </c>
      <c r="G49" s="354">
        <f>SUM(G46:G48)</f>
        <v>0</v>
      </c>
      <c r="H49" s="354">
        <f t="shared" si="18"/>
        <v>0</v>
      </c>
      <c r="I49" s="354">
        <f t="shared" si="18"/>
        <v>0</v>
      </c>
      <c r="J49" s="354">
        <f t="shared" si="18"/>
        <v>0</v>
      </c>
      <c r="K49" s="354">
        <f t="shared" si="18"/>
        <v>0</v>
      </c>
      <c r="L49" s="354">
        <f t="shared" si="18"/>
        <v>0</v>
      </c>
      <c r="M49" s="354">
        <f t="shared" si="18"/>
        <v>0</v>
      </c>
      <c r="N49" s="354">
        <f t="shared" si="18"/>
        <v>0</v>
      </c>
      <c r="O49" s="354">
        <f>SUM(O46:O48)</f>
        <v>0</v>
      </c>
      <c r="P49" s="354">
        <f t="shared" si="18"/>
        <v>0</v>
      </c>
      <c r="Q49" s="354">
        <f>SUM(E49:P49)</f>
        <v>0</v>
      </c>
      <c r="R49" s="348" t="s">
        <v>337</v>
      </c>
      <c r="T49" s="93">
        <f t="shared" si="2"/>
        <v>0</v>
      </c>
      <c r="U49" s="93">
        <f t="shared" si="3"/>
        <v>0</v>
      </c>
      <c r="V49" s="93">
        <f t="shared" si="4"/>
        <v>0</v>
      </c>
      <c r="W49" s="93">
        <f t="shared" si="5"/>
        <v>0</v>
      </c>
      <c r="X49" s="93">
        <f t="shared" si="6"/>
        <v>0</v>
      </c>
      <c r="Y49" s="93">
        <f t="shared" si="7"/>
        <v>0</v>
      </c>
      <c r="Z49" s="93">
        <f t="shared" si="8"/>
        <v>0</v>
      </c>
      <c r="AA49" s="93">
        <f t="shared" si="9"/>
        <v>0</v>
      </c>
      <c r="AB49" s="93">
        <f t="shared" si="10"/>
        <v>0</v>
      </c>
      <c r="AC49" s="93">
        <f t="shared" si="11"/>
        <v>0</v>
      </c>
      <c r="AD49" s="93">
        <f t="shared" si="12"/>
        <v>0</v>
      </c>
      <c r="AE49" s="93">
        <f t="shared" si="13"/>
        <v>0</v>
      </c>
    </row>
    <row r="50" spans="1:31" ht="11.25" customHeight="1" x14ac:dyDescent="0.15">
      <c r="A50" s="334" t="s">
        <v>593</v>
      </c>
      <c r="B50" s="505" t="s">
        <v>592</v>
      </c>
      <c r="C50" s="506"/>
      <c r="D50" s="507"/>
      <c r="E50" s="352"/>
      <c r="F50" s="352"/>
      <c r="G50" s="352"/>
      <c r="H50" s="352"/>
      <c r="I50" s="352"/>
      <c r="J50" s="352"/>
      <c r="K50" s="352"/>
      <c r="L50" s="352"/>
      <c r="M50" s="352"/>
      <c r="N50" s="352"/>
      <c r="O50" s="352"/>
      <c r="P50" s="352"/>
      <c r="Q50" s="338">
        <f t="shared" si="15"/>
        <v>0</v>
      </c>
      <c r="R50" s="339"/>
      <c r="T50" s="93">
        <f t="shared" si="2"/>
        <v>0</v>
      </c>
      <c r="U50" s="93">
        <f t="shared" si="3"/>
        <v>0</v>
      </c>
      <c r="V50" s="93">
        <f t="shared" si="4"/>
        <v>0</v>
      </c>
      <c r="W50" s="93">
        <f t="shared" si="5"/>
        <v>0</v>
      </c>
      <c r="X50" s="93">
        <f t="shared" si="6"/>
        <v>0</v>
      </c>
      <c r="Y50" s="93">
        <f t="shared" si="7"/>
        <v>0</v>
      </c>
      <c r="Z50" s="93">
        <f t="shared" si="8"/>
        <v>0</v>
      </c>
      <c r="AA50" s="93">
        <f t="shared" si="9"/>
        <v>0</v>
      </c>
      <c r="AB50" s="93">
        <f t="shared" si="10"/>
        <v>0</v>
      </c>
      <c r="AC50" s="93">
        <f t="shared" si="11"/>
        <v>0</v>
      </c>
      <c r="AD50" s="93">
        <f t="shared" si="12"/>
        <v>0</v>
      </c>
      <c r="AE50" s="93">
        <f t="shared" si="13"/>
        <v>0</v>
      </c>
    </row>
    <row r="51" spans="1:31" ht="11.25" customHeight="1" x14ac:dyDescent="0.15">
      <c r="A51" s="334"/>
      <c r="B51" s="335"/>
      <c r="C51" s="336"/>
      <c r="D51" s="337"/>
      <c r="E51" s="338"/>
      <c r="F51" s="338"/>
      <c r="G51" s="338"/>
      <c r="H51" s="338"/>
      <c r="I51" s="338"/>
      <c r="J51" s="338"/>
      <c r="K51" s="338"/>
      <c r="L51" s="338"/>
      <c r="M51" s="338"/>
      <c r="N51" s="338"/>
      <c r="O51" s="338"/>
      <c r="P51" s="338"/>
      <c r="Q51" s="338">
        <f t="shared" si="15"/>
        <v>0</v>
      </c>
      <c r="R51" s="355"/>
      <c r="T51" s="93">
        <f t="shared" si="2"/>
        <v>0</v>
      </c>
      <c r="U51" s="93">
        <f t="shared" si="3"/>
        <v>0</v>
      </c>
      <c r="V51" s="93">
        <f t="shared" si="4"/>
        <v>0</v>
      </c>
      <c r="W51" s="93">
        <f t="shared" si="5"/>
        <v>0</v>
      </c>
      <c r="X51" s="93">
        <f t="shared" si="6"/>
        <v>0</v>
      </c>
      <c r="Y51" s="93">
        <f t="shared" si="7"/>
        <v>0</v>
      </c>
      <c r="Z51" s="93">
        <f t="shared" si="8"/>
        <v>0</v>
      </c>
      <c r="AA51" s="93">
        <f t="shared" si="9"/>
        <v>0</v>
      </c>
      <c r="AB51" s="93">
        <f t="shared" si="10"/>
        <v>0</v>
      </c>
      <c r="AC51" s="93">
        <f t="shared" si="11"/>
        <v>0</v>
      </c>
      <c r="AD51" s="93">
        <f t="shared" si="12"/>
        <v>0</v>
      </c>
      <c r="AE51" s="93">
        <f t="shared" si="13"/>
        <v>0</v>
      </c>
    </row>
    <row r="52" spans="1:31" ht="11.25" customHeight="1" x14ac:dyDescent="0.15">
      <c r="A52" s="343"/>
      <c r="B52" s="508" t="s">
        <v>595</v>
      </c>
      <c r="C52" s="509"/>
      <c r="D52" s="510"/>
      <c r="E52" s="356">
        <f>SUM(E51)</f>
        <v>0</v>
      </c>
      <c r="F52" s="356">
        <f t="shared" ref="F52:P52" si="19">SUM(F51)</f>
        <v>0</v>
      </c>
      <c r="G52" s="356">
        <f t="shared" si="19"/>
        <v>0</v>
      </c>
      <c r="H52" s="356">
        <f t="shared" si="19"/>
        <v>0</v>
      </c>
      <c r="I52" s="356">
        <f t="shared" si="19"/>
        <v>0</v>
      </c>
      <c r="J52" s="356">
        <f t="shared" si="19"/>
        <v>0</v>
      </c>
      <c r="K52" s="356">
        <f t="shared" si="19"/>
        <v>0</v>
      </c>
      <c r="L52" s="356">
        <f t="shared" si="19"/>
        <v>0</v>
      </c>
      <c r="M52" s="356">
        <f t="shared" si="19"/>
        <v>0</v>
      </c>
      <c r="N52" s="356">
        <f t="shared" si="19"/>
        <v>0</v>
      </c>
      <c r="O52" s="356">
        <f t="shared" si="19"/>
        <v>0</v>
      </c>
      <c r="P52" s="356">
        <f t="shared" si="19"/>
        <v>0</v>
      </c>
      <c r="Q52" s="347">
        <f t="shared" si="15"/>
        <v>0</v>
      </c>
      <c r="R52" s="348" t="s">
        <v>345</v>
      </c>
      <c r="T52" s="93">
        <f t="shared" si="2"/>
        <v>0</v>
      </c>
      <c r="U52" s="93">
        <f t="shared" si="3"/>
        <v>0</v>
      </c>
      <c r="V52" s="93">
        <f t="shared" si="4"/>
        <v>0</v>
      </c>
      <c r="W52" s="93">
        <f t="shared" si="5"/>
        <v>0</v>
      </c>
      <c r="X52" s="93">
        <f t="shared" si="6"/>
        <v>0</v>
      </c>
      <c r="Y52" s="93">
        <f t="shared" si="7"/>
        <v>0</v>
      </c>
      <c r="Z52" s="93">
        <f t="shared" si="8"/>
        <v>0</v>
      </c>
      <c r="AA52" s="93">
        <f t="shared" si="9"/>
        <v>0</v>
      </c>
      <c r="AB52" s="93">
        <f t="shared" si="10"/>
        <v>0</v>
      </c>
      <c r="AC52" s="93">
        <f t="shared" si="11"/>
        <v>0</v>
      </c>
      <c r="AD52" s="93">
        <f t="shared" si="12"/>
        <v>0</v>
      </c>
      <c r="AE52" s="93">
        <f t="shared" si="13"/>
        <v>0</v>
      </c>
    </row>
    <row r="53" spans="1:31" ht="11.25" customHeight="1" x14ac:dyDescent="0.15">
      <c r="A53" s="334" t="s">
        <v>594</v>
      </c>
      <c r="B53" s="505" t="s">
        <v>452</v>
      </c>
      <c r="C53" s="506"/>
      <c r="D53" s="507"/>
      <c r="E53" s="352"/>
      <c r="F53" s="352"/>
      <c r="G53" s="352"/>
      <c r="H53" s="352"/>
      <c r="I53" s="352"/>
      <c r="J53" s="352"/>
      <c r="K53" s="352"/>
      <c r="L53" s="352"/>
      <c r="M53" s="352"/>
      <c r="N53" s="352"/>
      <c r="O53" s="352"/>
      <c r="P53" s="352"/>
      <c r="Q53" s="338">
        <f t="shared" si="15"/>
        <v>0</v>
      </c>
      <c r="R53" s="339"/>
      <c r="T53" s="93">
        <f t="shared" si="2"/>
        <v>0</v>
      </c>
      <c r="U53" s="93">
        <f t="shared" si="3"/>
        <v>0</v>
      </c>
      <c r="V53" s="93">
        <f t="shared" si="4"/>
        <v>0</v>
      </c>
      <c r="W53" s="93">
        <f t="shared" si="5"/>
        <v>0</v>
      </c>
      <c r="X53" s="93">
        <f t="shared" si="6"/>
        <v>0</v>
      </c>
      <c r="Y53" s="93">
        <f t="shared" si="7"/>
        <v>0</v>
      </c>
      <c r="Z53" s="93">
        <f t="shared" si="8"/>
        <v>0</v>
      </c>
      <c r="AA53" s="93">
        <f t="shared" si="9"/>
        <v>0</v>
      </c>
      <c r="AB53" s="93">
        <f t="shared" si="10"/>
        <v>0</v>
      </c>
      <c r="AC53" s="93">
        <f t="shared" si="11"/>
        <v>0</v>
      </c>
      <c r="AD53" s="93">
        <f t="shared" si="12"/>
        <v>0</v>
      </c>
      <c r="AE53" s="93">
        <f t="shared" si="13"/>
        <v>0</v>
      </c>
    </row>
    <row r="54" spans="1:31" ht="11.25" customHeight="1" x14ac:dyDescent="0.15">
      <c r="A54" s="334" t="s">
        <v>596</v>
      </c>
      <c r="B54" s="335" t="s">
        <v>350</v>
      </c>
      <c r="C54" s="336"/>
      <c r="D54" s="337"/>
      <c r="E54" s="352"/>
      <c r="F54" s="352"/>
      <c r="G54" s="352"/>
      <c r="H54" s="352"/>
      <c r="I54" s="352"/>
      <c r="J54" s="352"/>
      <c r="K54" s="352"/>
      <c r="L54" s="352"/>
      <c r="M54" s="352"/>
      <c r="N54" s="352"/>
      <c r="O54" s="352"/>
      <c r="P54" s="352"/>
      <c r="Q54" s="338">
        <f t="shared" si="15"/>
        <v>0</v>
      </c>
      <c r="R54" s="339"/>
      <c r="T54" s="93">
        <f t="shared" si="2"/>
        <v>0</v>
      </c>
      <c r="U54" s="93">
        <f t="shared" si="3"/>
        <v>0</v>
      </c>
      <c r="V54" s="93">
        <f t="shared" si="4"/>
        <v>0</v>
      </c>
      <c r="W54" s="93">
        <f t="shared" si="5"/>
        <v>0</v>
      </c>
      <c r="X54" s="93">
        <f t="shared" si="6"/>
        <v>0</v>
      </c>
      <c r="Y54" s="93">
        <f t="shared" si="7"/>
        <v>0</v>
      </c>
      <c r="Z54" s="93">
        <f t="shared" si="8"/>
        <v>0</v>
      </c>
      <c r="AA54" s="93">
        <f t="shared" si="9"/>
        <v>0</v>
      </c>
      <c r="AB54" s="93">
        <f t="shared" si="10"/>
        <v>0</v>
      </c>
      <c r="AC54" s="93">
        <f t="shared" si="11"/>
        <v>0</v>
      </c>
      <c r="AD54" s="93">
        <f t="shared" si="12"/>
        <v>0</v>
      </c>
      <c r="AE54" s="93">
        <f t="shared" si="13"/>
        <v>0</v>
      </c>
    </row>
    <row r="55" spans="1:31" ht="11.25" customHeight="1" x14ac:dyDescent="0.15">
      <c r="A55" s="334" t="s">
        <v>597</v>
      </c>
      <c r="B55" s="335" t="s">
        <v>352</v>
      </c>
      <c r="C55" s="341"/>
      <c r="D55" s="342"/>
      <c r="E55" s="352"/>
      <c r="F55" s="352"/>
      <c r="G55" s="352"/>
      <c r="H55" s="352"/>
      <c r="I55" s="352"/>
      <c r="J55" s="338"/>
      <c r="K55" s="338"/>
      <c r="L55" s="338"/>
      <c r="M55" s="338"/>
      <c r="N55" s="338"/>
      <c r="O55" s="338"/>
      <c r="P55" s="338"/>
      <c r="Q55" s="338">
        <f t="shared" si="15"/>
        <v>0</v>
      </c>
      <c r="R55" s="339"/>
      <c r="T55" s="93">
        <f t="shared" si="2"/>
        <v>0</v>
      </c>
      <c r="U55" s="93">
        <f t="shared" si="3"/>
        <v>0</v>
      </c>
      <c r="V55" s="93">
        <f t="shared" si="4"/>
        <v>0</v>
      </c>
      <c r="W55" s="93">
        <f t="shared" si="5"/>
        <v>0</v>
      </c>
      <c r="X55" s="93">
        <f t="shared" si="6"/>
        <v>0</v>
      </c>
      <c r="Y55" s="93">
        <f t="shared" si="7"/>
        <v>0</v>
      </c>
      <c r="Z55" s="93">
        <f t="shared" si="8"/>
        <v>0</v>
      </c>
      <c r="AA55" s="93">
        <f t="shared" si="9"/>
        <v>0</v>
      </c>
      <c r="AB55" s="93">
        <f t="shared" si="10"/>
        <v>0</v>
      </c>
      <c r="AC55" s="93">
        <f t="shared" si="11"/>
        <v>0</v>
      </c>
      <c r="AD55" s="93">
        <f t="shared" si="12"/>
        <v>0</v>
      </c>
      <c r="AE55" s="93">
        <f t="shared" si="13"/>
        <v>0</v>
      </c>
    </row>
    <row r="56" spans="1:31" ht="11.25" customHeight="1" x14ac:dyDescent="0.15">
      <c r="A56" s="334" t="s">
        <v>598</v>
      </c>
      <c r="B56" s="335" t="s">
        <v>354</v>
      </c>
      <c r="C56" s="336"/>
      <c r="D56" s="337"/>
      <c r="E56" s="352"/>
      <c r="F56" s="352"/>
      <c r="G56" s="352"/>
      <c r="H56" s="352"/>
      <c r="I56" s="352"/>
      <c r="J56" s="338"/>
      <c r="K56" s="338"/>
      <c r="L56" s="338"/>
      <c r="M56" s="338"/>
      <c r="N56" s="338"/>
      <c r="O56" s="338"/>
      <c r="P56" s="338"/>
      <c r="Q56" s="338">
        <f t="shared" si="15"/>
        <v>0</v>
      </c>
      <c r="R56" s="339"/>
      <c r="T56" s="93">
        <f t="shared" si="2"/>
        <v>0</v>
      </c>
      <c r="U56" s="93">
        <f t="shared" si="3"/>
        <v>0</v>
      </c>
      <c r="V56" s="93">
        <f t="shared" si="4"/>
        <v>0</v>
      </c>
      <c r="W56" s="93">
        <f t="shared" si="5"/>
        <v>0</v>
      </c>
      <c r="X56" s="93">
        <f t="shared" si="6"/>
        <v>0</v>
      </c>
      <c r="Y56" s="93">
        <f t="shared" si="7"/>
        <v>0</v>
      </c>
      <c r="Z56" s="93">
        <f t="shared" si="8"/>
        <v>0</v>
      </c>
      <c r="AA56" s="93">
        <f t="shared" si="9"/>
        <v>0</v>
      </c>
      <c r="AB56" s="93">
        <f t="shared" si="10"/>
        <v>0</v>
      </c>
      <c r="AC56" s="93">
        <f t="shared" si="11"/>
        <v>0</v>
      </c>
      <c r="AD56" s="93">
        <f t="shared" si="12"/>
        <v>0</v>
      </c>
      <c r="AE56" s="93">
        <f t="shared" si="13"/>
        <v>0</v>
      </c>
    </row>
    <row r="57" spans="1:31" ht="11.25" customHeight="1" x14ac:dyDescent="0.15">
      <c r="A57" s="334" t="s">
        <v>599</v>
      </c>
      <c r="B57" s="335" t="s">
        <v>417</v>
      </c>
      <c r="C57" s="336"/>
      <c r="D57" s="337"/>
      <c r="E57" s="352"/>
      <c r="F57" s="352"/>
      <c r="G57" s="352"/>
      <c r="H57" s="352"/>
      <c r="I57" s="352"/>
      <c r="J57" s="338"/>
      <c r="K57" s="338"/>
      <c r="L57" s="338"/>
      <c r="M57" s="338"/>
      <c r="N57" s="338"/>
      <c r="O57" s="338"/>
      <c r="P57" s="338"/>
      <c r="Q57" s="352">
        <f t="shared" si="15"/>
        <v>0</v>
      </c>
      <c r="R57" s="339"/>
      <c r="T57" s="93">
        <f t="shared" si="2"/>
        <v>0</v>
      </c>
      <c r="U57" s="93">
        <f t="shared" si="3"/>
        <v>0</v>
      </c>
      <c r="V57" s="93">
        <f t="shared" si="4"/>
        <v>0</v>
      </c>
      <c r="W57" s="93">
        <f t="shared" si="5"/>
        <v>0</v>
      </c>
      <c r="X57" s="93">
        <f t="shared" si="6"/>
        <v>0</v>
      </c>
      <c r="Y57" s="93">
        <f t="shared" si="7"/>
        <v>0</v>
      </c>
      <c r="Z57" s="93">
        <f t="shared" si="8"/>
        <v>0</v>
      </c>
      <c r="AA57" s="93">
        <f t="shared" si="9"/>
        <v>0</v>
      </c>
      <c r="AB57" s="93">
        <f t="shared" si="10"/>
        <v>0</v>
      </c>
      <c r="AC57" s="93">
        <f t="shared" si="11"/>
        <v>0</v>
      </c>
      <c r="AD57" s="93">
        <f t="shared" si="12"/>
        <v>0</v>
      </c>
      <c r="AE57" s="93">
        <f t="shared" si="13"/>
        <v>0</v>
      </c>
    </row>
    <row r="58" spans="1:31" ht="11.25" customHeight="1" x14ac:dyDescent="0.15">
      <c r="A58" s="334" t="s">
        <v>600</v>
      </c>
      <c r="B58" s="505" t="s">
        <v>356</v>
      </c>
      <c r="C58" s="506"/>
      <c r="D58" s="507"/>
      <c r="E58" s="352"/>
      <c r="F58" s="352"/>
      <c r="G58" s="352"/>
      <c r="H58" s="352"/>
      <c r="I58" s="352"/>
      <c r="J58" s="352"/>
      <c r="K58" s="352"/>
      <c r="L58" s="352"/>
      <c r="M58" s="352"/>
      <c r="N58" s="352"/>
      <c r="O58" s="352"/>
      <c r="P58" s="352"/>
      <c r="Q58" s="338">
        <f t="shared" si="15"/>
        <v>0</v>
      </c>
      <c r="R58" s="339"/>
      <c r="T58" s="93">
        <f t="shared" si="2"/>
        <v>0</v>
      </c>
      <c r="U58" s="93">
        <f t="shared" si="3"/>
        <v>0</v>
      </c>
      <c r="V58" s="93">
        <f t="shared" si="4"/>
        <v>0</v>
      </c>
      <c r="W58" s="93">
        <f t="shared" si="5"/>
        <v>0</v>
      </c>
      <c r="X58" s="93">
        <f t="shared" si="6"/>
        <v>0</v>
      </c>
      <c r="Y58" s="93">
        <f t="shared" si="7"/>
        <v>0</v>
      </c>
      <c r="Z58" s="93">
        <f t="shared" si="8"/>
        <v>0</v>
      </c>
      <c r="AA58" s="93">
        <f t="shared" si="9"/>
        <v>0</v>
      </c>
      <c r="AB58" s="93">
        <f t="shared" si="10"/>
        <v>0</v>
      </c>
      <c r="AC58" s="93">
        <f t="shared" si="11"/>
        <v>0</v>
      </c>
      <c r="AD58" s="93">
        <f t="shared" si="12"/>
        <v>0</v>
      </c>
      <c r="AE58" s="93">
        <f t="shared" si="13"/>
        <v>0</v>
      </c>
    </row>
    <row r="59" spans="1:31" ht="11.25" customHeight="1" x14ac:dyDescent="0.15">
      <c r="A59" s="343"/>
      <c r="B59" s="508" t="s">
        <v>529</v>
      </c>
      <c r="C59" s="509"/>
      <c r="D59" s="510"/>
      <c r="E59" s="356">
        <f>SUM(E54:E58)</f>
        <v>0</v>
      </c>
      <c r="F59" s="356">
        <f>SUM(F54:F58)</f>
        <v>0</v>
      </c>
      <c r="G59" s="356">
        <f>SUM(G54:G58)</f>
        <v>0</v>
      </c>
      <c r="H59" s="356">
        <f t="shared" ref="H59:P59" si="20">SUM(H54:H58)</f>
        <v>0</v>
      </c>
      <c r="I59" s="356">
        <f t="shared" si="20"/>
        <v>0</v>
      </c>
      <c r="J59" s="356">
        <f t="shared" si="20"/>
        <v>0</v>
      </c>
      <c r="K59" s="356">
        <f t="shared" si="20"/>
        <v>0</v>
      </c>
      <c r="L59" s="356">
        <f t="shared" si="20"/>
        <v>0</v>
      </c>
      <c r="M59" s="356">
        <f t="shared" si="20"/>
        <v>0</v>
      </c>
      <c r="N59" s="356">
        <f t="shared" si="20"/>
        <v>0</v>
      </c>
      <c r="O59" s="356">
        <f t="shared" si="20"/>
        <v>0</v>
      </c>
      <c r="P59" s="356">
        <f t="shared" si="20"/>
        <v>0</v>
      </c>
      <c r="Q59" s="347">
        <f t="shared" si="15"/>
        <v>0</v>
      </c>
      <c r="R59" s="348" t="s">
        <v>226</v>
      </c>
      <c r="T59" s="93">
        <f t="shared" si="2"/>
        <v>0</v>
      </c>
      <c r="U59" s="93">
        <f t="shared" si="3"/>
        <v>0</v>
      </c>
      <c r="V59" s="93">
        <f t="shared" si="4"/>
        <v>0</v>
      </c>
      <c r="W59" s="93">
        <f t="shared" si="5"/>
        <v>0</v>
      </c>
      <c r="X59" s="93">
        <f t="shared" si="6"/>
        <v>0</v>
      </c>
      <c r="Y59" s="93">
        <f t="shared" si="7"/>
        <v>0</v>
      </c>
      <c r="Z59" s="93">
        <f t="shared" si="8"/>
        <v>0</v>
      </c>
      <c r="AA59" s="93">
        <f t="shared" si="9"/>
        <v>0</v>
      </c>
      <c r="AB59" s="93">
        <f t="shared" si="10"/>
        <v>0</v>
      </c>
      <c r="AC59" s="93">
        <f t="shared" si="11"/>
        <v>0</v>
      </c>
      <c r="AD59" s="93">
        <f t="shared" si="12"/>
        <v>0</v>
      </c>
      <c r="AE59" s="93">
        <f t="shared" si="13"/>
        <v>0</v>
      </c>
    </row>
    <row r="60" spans="1:31" ht="11.25" customHeight="1" x14ac:dyDescent="0.15">
      <c r="A60" s="334" t="s">
        <v>601</v>
      </c>
      <c r="B60" s="335" t="s">
        <v>364</v>
      </c>
      <c r="C60" s="357"/>
      <c r="D60" s="358"/>
      <c r="E60" s="352"/>
      <c r="F60" s="352"/>
      <c r="G60" s="352"/>
      <c r="H60" s="352"/>
      <c r="I60" s="352"/>
      <c r="J60" s="352"/>
      <c r="K60" s="352"/>
      <c r="L60" s="352"/>
      <c r="M60" s="352"/>
      <c r="N60" s="352"/>
      <c r="O60" s="352"/>
      <c r="P60" s="352"/>
      <c r="Q60" s="338">
        <f t="shared" si="15"/>
        <v>0</v>
      </c>
      <c r="R60" s="339"/>
      <c r="T60" s="93">
        <f t="shared" si="2"/>
        <v>0</v>
      </c>
      <c r="U60" s="93">
        <f t="shared" si="3"/>
        <v>0</v>
      </c>
      <c r="V60" s="93">
        <f t="shared" si="4"/>
        <v>0</v>
      </c>
      <c r="W60" s="93">
        <f t="shared" si="5"/>
        <v>0</v>
      </c>
      <c r="X60" s="93">
        <f t="shared" si="6"/>
        <v>0</v>
      </c>
      <c r="Y60" s="93">
        <f t="shared" si="7"/>
        <v>0</v>
      </c>
      <c r="Z60" s="93">
        <f t="shared" si="8"/>
        <v>0</v>
      </c>
      <c r="AA60" s="93">
        <f t="shared" si="9"/>
        <v>0</v>
      </c>
      <c r="AB60" s="93">
        <f t="shared" si="10"/>
        <v>0</v>
      </c>
      <c r="AC60" s="93">
        <f t="shared" si="11"/>
        <v>0</v>
      </c>
      <c r="AD60" s="93">
        <f t="shared" si="12"/>
        <v>0</v>
      </c>
      <c r="AE60" s="93">
        <f t="shared" si="13"/>
        <v>0</v>
      </c>
    </row>
    <row r="61" spans="1:31" ht="11.25" customHeight="1" x14ac:dyDescent="0.15">
      <c r="A61" s="334" t="s">
        <v>602</v>
      </c>
      <c r="B61" s="335" t="s">
        <v>603</v>
      </c>
      <c r="C61" s="357"/>
      <c r="D61" s="358"/>
      <c r="E61" s="352"/>
      <c r="F61" s="352"/>
      <c r="G61" s="352"/>
      <c r="H61" s="352"/>
      <c r="I61" s="352"/>
      <c r="J61" s="352"/>
      <c r="K61" s="352"/>
      <c r="L61" s="352"/>
      <c r="M61" s="352"/>
      <c r="N61" s="352"/>
      <c r="O61" s="352"/>
      <c r="P61" s="352"/>
      <c r="Q61" s="338">
        <f t="shared" si="15"/>
        <v>0</v>
      </c>
      <c r="R61" s="339"/>
      <c r="T61" s="93">
        <f t="shared" si="2"/>
        <v>0</v>
      </c>
      <c r="U61" s="93">
        <f t="shared" si="3"/>
        <v>0</v>
      </c>
      <c r="V61" s="93">
        <f t="shared" si="4"/>
        <v>0</v>
      </c>
      <c r="W61" s="93">
        <f t="shared" si="5"/>
        <v>0</v>
      </c>
      <c r="X61" s="93">
        <f t="shared" si="6"/>
        <v>0</v>
      </c>
      <c r="Y61" s="93">
        <f t="shared" si="7"/>
        <v>0</v>
      </c>
      <c r="Z61" s="93">
        <f t="shared" si="8"/>
        <v>0</v>
      </c>
      <c r="AA61" s="93">
        <f t="shared" si="9"/>
        <v>0</v>
      </c>
      <c r="AB61" s="93">
        <f t="shared" si="10"/>
        <v>0</v>
      </c>
      <c r="AC61" s="93">
        <f t="shared" si="11"/>
        <v>0</v>
      </c>
      <c r="AD61" s="93">
        <f t="shared" si="12"/>
        <v>0</v>
      </c>
      <c r="AE61" s="93">
        <f t="shared" si="13"/>
        <v>0</v>
      </c>
    </row>
    <row r="62" spans="1:31" ht="11.25" customHeight="1" x14ac:dyDescent="0.15">
      <c r="A62" s="334" t="s">
        <v>604</v>
      </c>
      <c r="B62" s="335" t="s">
        <v>629</v>
      </c>
      <c r="C62" s="350"/>
      <c r="D62" s="351"/>
      <c r="E62" s="352"/>
      <c r="F62" s="352"/>
      <c r="G62" s="352"/>
      <c r="H62" s="352"/>
      <c r="I62" s="352"/>
      <c r="J62" s="352"/>
      <c r="K62" s="352"/>
      <c r="L62" s="352"/>
      <c r="M62" s="352"/>
      <c r="N62" s="352"/>
      <c r="O62" s="352"/>
      <c r="P62" s="352"/>
      <c r="Q62" s="338">
        <f t="shared" ref="Q62:Q79" si="21">SUM(E62:P62)</f>
        <v>0</v>
      </c>
      <c r="R62" s="339"/>
      <c r="T62" s="93">
        <f t="shared" si="2"/>
        <v>0</v>
      </c>
      <c r="U62" s="93">
        <f t="shared" si="3"/>
        <v>0</v>
      </c>
      <c r="V62" s="93">
        <f t="shared" si="4"/>
        <v>0</v>
      </c>
      <c r="W62" s="93">
        <f t="shared" si="5"/>
        <v>0</v>
      </c>
      <c r="X62" s="93">
        <f t="shared" si="6"/>
        <v>0</v>
      </c>
      <c r="Y62" s="93">
        <f t="shared" si="7"/>
        <v>0</v>
      </c>
      <c r="Z62" s="93">
        <f t="shared" si="8"/>
        <v>0</v>
      </c>
      <c r="AA62" s="93">
        <f t="shared" si="9"/>
        <v>0</v>
      </c>
      <c r="AB62" s="93">
        <f t="shared" si="10"/>
        <v>0</v>
      </c>
      <c r="AC62" s="93">
        <f t="shared" si="11"/>
        <v>0</v>
      </c>
      <c r="AD62" s="93">
        <f t="shared" si="12"/>
        <v>0</v>
      </c>
      <c r="AE62" s="93">
        <f t="shared" si="13"/>
        <v>0</v>
      </c>
    </row>
    <row r="63" spans="1:31" ht="11.25" customHeight="1" x14ac:dyDescent="0.15">
      <c r="A63" s="334" t="s">
        <v>606</v>
      </c>
      <c r="B63" s="335" t="s">
        <v>605</v>
      </c>
      <c r="C63" s="350"/>
      <c r="D63" s="351"/>
      <c r="E63" s="352"/>
      <c r="F63" s="352"/>
      <c r="G63" s="352"/>
      <c r="H63" s="352"/>
      <c r="I63" s="352"/>
      <c r="J63" s="352"/>
      <c r="K63" s="352"/>
      <c r="L63" s="352"/>
      <c r="M63" s="352"/>
      <c r="N63" s="352"/>
      <c r="O63" s="352"/>
      <c r="P63" s="352"/>
      <c r="Q63" s="338">
        <f t="shared" si="21"/>
        <v>0</v>
      </c>
      <c r="R63" s="339"/>
      <c r="T63" s="93">
        <f t="shared" si="2"/>
        <v>0</v>
      </c>
      <c r="U63" s="93">
        <f t="shared" si="3"/>
        <v>0</v>
      </c>
      <c r="V63" s="93">
        <f t="shared" si="4"/>
        <v>0</v>
      </c>
      <c r="W63" s="93">
        <f t="shared" si="5"/>
        <v>0</v>
      </c>
      <c r="X63" s="93">
        <f t="shared" si="6"/>
        <v>0</v>
      </c>
      <c r="Y63" s="93">
        <f t="shared" si="7"/>
        <v>0</v>
      </c>
      <c r="Z63" s="93">
        <f t="shared" si="8"/>
        <v>0</v>
      </c>
      <c r="AA63" s="93">
        <f t="shared" si="9"/>
        <v>0</v>
      </c>
      <c r="AB63" s="93">
        <f t="shared" si="10"/>
        <v>0</v>
      </c>
      <c r="AC63" s="93">
        <f t="shared" si="11"/>
        <v>0</v>
      </c>
      <c r="AD63" s="93">
        <f t="shared" si="12"/>
        <v>0</v>
      </c>
      <c r="AE63" s="93">
        <f t="shared" si="13"/>
        <v>0</v>
      </c>
    </row>
    <row r="64" spans="1:31" ht="11.25" customHeight="1" x14ac:dyDescent="0.15">
      <c r="A64" s="334" t="s">
        <v>607</v>
      </c>
      <c r="B64" s="335" t="s">
        <v>609</v>
      </c>
      <c r="C64" s="350"/>
      <c r="D64" s="351"/>
      <c r="E64" s="352"/>
      <c r="F64" s="352"/>
      <c r="G64" s="352"/>
      <c r="H64" s="352"/>
      <c r="I64" s="352"/>
      <c r="J64" s="352"/>
      <c r="K64" s="352"/>
      <c r="L64" s="352"/>
      <c r="M64" s="352"/>
      <c r="N64" s="352"/>
      <c r="O64" s="352"/>
      <c r="P64" s="352"/>
      <c r="Q64" s="338">
        <f t="shared" si="21"/>
        <v>0</v>
      </c>
      <c r="R64" s="339"/>
      <c r="T64" s="93">
        <f t="shared" si="2"/>
        <v>0</v>
      </c>
      <c r="U64" s="93">
        <f t="shared" si="3"/>
        <v>0</v>
      </c>
      <c r="V64" s="93">
        <f t="shared" si="4"/>
        <v>0</v>
      </c>
      <c r="W64" s="93">
        <f t="shared" si="5"/>
        <v>0</v>
      </c>
      <c r="X64" s="93">
        <f t="shared" si="6"/>
        <v>0</v>
      </c>
      <c r="Y64" s="93">
        <f t="shared" si="7"/>
        <v>0</v>
      </c>
      <c r="Z64" s="93">
        <f t="shared" si="8"/>
        <v>0</v>
      </c>
      <c r="AA64" s="93">
        <f t="shared" si="9"/>
        <v>0</v>
      </c>
      <c r="AB64" s="93">
        <f t="shared" si="10"/>
        <v>0</v>
      </c>
      <c r="AC64" s="93">
        <f t="shared" si="11"/>
        <v>0</v>
      </c>
      <c r="AD64" s="93">
        <f t="shared" si="12"/>
        <v>0</v>
      </c>
      <c r="AE64" s="93">
        <f t="shared" si="13"/>
        <v>0</v>
      </c>
    </row>
    <row r="65" spans="1:31" ht="11.25" customHeight="1" x14ac:dyDescent="0.15">
      <c r="A65" s="334" t="s">
        <v>608</v>
      </c>
      <c r="B65" s="335" t="s">
        <v>610</v>
      </c>
      <c r="C65" s="350"/>
      <c r="D65" s="351"/>
      <c r="E65" s="352"/>
      <c r="F65" s="352"/>
      <c r="G65" s="352"/>
      <c r="H65" s="352"/>
      <c r="I65" s="352"/>
      <c r="J65" s="352"/>
      <c r="K65" s="352"/>
      <c r="L65" s="352"/>
      <c r="M65" s="352"/>
      <c r="N65" s="352"/>
      <c r="O65" s="352"/>
      <c r="P65" s="352"/>
      <c r="Q65" s="338">
        <f t="shared" si="21"/>
        <v>0</v>
      </c>
      <c r="R65" s="339"/>
      <c r="T65" s="93">
        <f t="shared" si="2"/>
        <v>0</v>
      </c>
      <c r="U65" s="93">
        <f t="shared" si="3"/>
        <v>0</v>
      </c>
      <c r="V65" s="93">
        <f t="shared" si="4"/>
        <v>0</v>
      </c>
      <c r="W65" s="93">
        <f t="shared" si="5"/>
        <v>0</v>
      </c>
      <c r="X65" s="93">
        <f t="shared" si="6"/>
        <v>0</v>
      </c>
      <c r="Y65" s="93">
        <f t="shared" si="7"/>
        <v>0</v>
      </c>
      <c r="Z65" s="93">
        <f t="shared" si="8"/>
        <v>0</v>
      </c>
      <c r="AA65" s="93">
        <f t="shared" si="9"/>
        <v>0</v>
      </c>
      <c r="AB65" s="93">
        <f t="shared" si="10"/>
        <v>0</v>
      </c>
      <c r="AC65" s="93">
        <f t="shared" si="11"/>
        <v>0</v>
      </c>
      <c r="AD65" s="93">
        <f t="shared" si="12"/>
        <v>0</v>
      </c>
      <c r="AE65" s="93">
        <f t="shared" si="13"/>
        <v>0</v>
      </c>
    </row>
    <row r="66" spans="1:31" ht="11.25" customHeight="1" x14ac:dyDescent="0.15">
      <c r="A66" s="334"/>
      <c r="B66" s="335" t="s">
        <v>611</v>
      </c>
      <c r="C66" s="350"/>
      <c r="D66" s="351"/>
      <c r="E66" s="352"/>
      <c r="F66" s="352"/>
      <c r="G66" s="352"/>
      <c r="H66" s="352"/>
      <c r="I66" s="352"/>
      <c r="J66" s="352"/>
      <c r="K66" s="352"/>
      <c r="L66" s="352"/>
      <c r="M66" s="352"/>
      <c r="N66" s="352"/>
      <c r="O66" s="352"/>
      <c r="P66" s="352"/>
      <c r="Q66" s="338">
        <f t="shared" si="21"/>
        <v>0</v>
      </c>
      <c r="R66" s="339"/>
      <c r="T66" s="93">
        <f t="shared" si="2"/>
        <v>0</v>
      </c>
      <c r="U66" s="93">
        <f t="shared" si="3"/>
        <v>0</v>
      </c>
      <c r="V66" s="93">
        <f t="shared" si="4"/>
        <v>0</v>
      </c>
      <c r="W66" s="93">
        <f t="shared" si="5"/>
        <v>0</v>
      </c>
      <c r="X66" s="93">
        <f t="shared" si="6"/>
        <v>0</v>
      </c>
      <c r="Y66" s="93">
        <f t="shared" si="7"/>
        <v>0</v>
      </c>
      <c r="Z66" s="93">
        <f t="shared" si="8"/>
        <v>0</v>
      </c>
      <c r="AA66" s="93">
        <f t="shared" si="9"/>
        <v>0</v>
      </c>
      <c r="AB66" s="93">
        <f t="shared" si="10"/>
        <v>0</v>
      </c>
      <c r="AC66" s="93">
        <f t="shared" si="11"/>
        <v>0</v>
      </c>
      <c r="AD66" s="93">
        <f t="shared" si="12"/>
        <v>0</v>
      </c>
      <c r="AE66" s="93">
        <f t="shared" si="13"/>
        <v>0</v>
      </c>
    </row>
    <row r="67" spans="1:31" ht="11.25" customHeight="1" x14ac:dyDescent="0.15">
      <c r="A67" s="334"/>
      <c r="B67" s="335" t="s">
        <v>612</v>
      </c>
      <c r="C67" s="350"/>
      <c r="D67" s="351"/>
      <c r="E67" s="352"/>
      <c r="F67" s="352"/>
      <c r="G67" s="352"/>
      <c r="H67" s="352"/>
      <c r="I67" s="352"/>
      <c r="J67" s="352"/>
      <c r="K67" s="352"/>
      <c r="L67" s="352"/>
      <c r="M67" s="352"/>
      <c r="N67" s="352"/>
      <c r="O67" s="352"/>
      <c r="P67" s="352"/>
      <c r="Q67" s="338">
        <f t="shared" si="21"/>
        <v>0</v>
      </c>
      <c r="R67" s="339"/>
      <c r="T67" s="93">
        <f t="shared" si="2"/>
        <v>0</v>
      </c>
      <c r="U67" s="93">
        <f t="shared" si="3"/>
        <v>0</v>
      </c>
      <c r="V67" s="93">
        <f t="shared" si="4"/>
        <v>0</v>
      </c>
      <c r="W67" s="93">
        <f t="shared" si="5"/>
        <v>0</v>
      </c>
      <c r="X67" s="93">
        <f t="shared" si="6"/>
        <v>0</v>
      </c>
      <c r="Y67" s="93">
        <f t="shared" si="7"/>
        <v>0</v>
      </c>
      <c r="Z67" s="93">
        <f t="shared" si="8"/>
        <v>0</v>
      </c>
      <c r="AA67" s="93">
        <f t="shared" si="9"/>
        <v>0</v>
      </c>
      <c r="AB67" s="93">
        <f t="shared" si="10"/>
        <v>0</v>
      </c>
      <c r="AC67" s="93">
        <f t="shared" si="11"/>
        <v>0</v>
      </c>
      <c r="AD67" s="93">
        <f t="shared" si="12"/>
        <v>0</v>
      </c>
      <c r="AE67" s="93">
        <f t="shared" si="13"/>
        <v>0</v>
      </c>
    </row>
    <row r="68" spans="1:31" ht="11.25" customHeight="1" x14ac:dyDescent="0.15">
      <c r="A68" s="334" t="s">
        <v>618</v>
      </c>
      <c r="B68" s="335" t="s">
        <v>613</v>
      </c>
      <c r="C68" s="350"/>
      <c r="D68" s="351"/>
      <c r="E68" s="352"/>
      <c r="F68" s="352"/>
      <c r="G68" s="352"/>
      <c r="H68" s="352"/>
      <c r="I68" s="352"/>
      <c r="J68" s="352"/>
      <c r="K68" s="352"/>
      <c r="L68" s="352"/>
      <c r="M68" s="352"/>
      <c r="N68" s="352"/>
      <c r="O68" s="352"/>
      <c r="P68" s="352"/>
      <c r="Q68" s="338">
        <f t="shared" si="21"/>
        <v>0</v>
      </c>
      <c r="R68" s="339"/>
      <c r="T68" s="93">
        <f t="shared" si="2"/>
        <v>0</v>
      </c>
      <c r="U68" s="93">
        <f t="shared" si="3"/>
        <v>0</v>
      </c>
      <c r="V68" s="93">
        <f t="shared" si="4"/>
        <v>0</v>
      </c>
      <c r="W68" s="93">
        <f t="shared" si="5"/>
        <v>0</v>
      </c>
      <c r="X68" s="93">
        <f t="shared" si="6"/>
        <v>0</v>
      </c>
      <c r="Y68" s="93">
        <f t="shared" si="7"/>
        <v>0</v>
      </c>
      <c r="Z68" s="93">
        <f t="shared" si="8"/>
        <v>0</v>
      </c>
      <c r="AA68" s="93">
        <f t="shared" si="9"/>
        <v>0</v>
      </c>
      <c r="AB68" s="93">
        <f t="shared" si="10"/>
        <v>0</v>
      </c>
      <c r="AC68" s="93">
        <f t="shared" si="11"/>
        <v>0</v>
      </c>
      <c r="AD68" s="93">
        <f t="shared" si="12"/>
        <v>0</v>
      </c>
      <c r="AE68" s="93">
        <f t="shared" si="13"/>
        <v>0</v>
      </c>
    </row>
    <row r="69" spans="1:31" ht="11.25" customHeight="1" x14ac:dyDescent="0.15">
      <c r="A69" s="334" t="s">
        <v>619</v>
      </c>
      <c r="B69" s="335" t="s">
        <v>614</v>
      </c>
      <c r="C69" s="350"/>
      <c r="D69" s="351"/>
      <c r="E69" s="352"/>
      <c r="F69" s="352"/>
      <c r="G69" s="352"/>
      <c r="H69" s="352"/>
      <c r="I69" s="352"/>
      <c r="J69" s="352"/>
      <c r="K69" s="352"/>
      <c r="L69" s="352"/>
      <c r="M69" s="352"/>
      <c r="N69" s="352"/>
      <c r="O69" s="352"/>
      <c r="P69" s="352"/>
      <c r="Q69" s="338">
        <f t="shared" si="21"/>
        <v>0</v>
      </c>
      <c r="R69" s="339"/>
      <c r="T69" s="93">
        <f t="shared" si="2"/>
        <v>0</v>
      </c>
      <c r="U69" s="93">
        <f t="shared" si="3"/>
        <v>0</v>
      </c>
      <c r="V69" s="93">
        <f t="shared" si="4"/>
        <v>0</v>
      </c>
      <c r="W69" s="93">
        <f t="shared" si="5"/>
        <v>0</v>
      </c>
      <c r="X69" s="93">
        <f t="shared" si="6"/>
        <v>0</v>
      </c>
      <c r="Y69" s="93">
        <f t="shared" si="7"/>
        <v>0</v>
      </c>
      <c r="Z69" s="93">
        <f t="shared" si="8"/>
        <v>0</v>
      </c>
      <c r="AA69" s="93">
        <f t="shared" si="9"/>
        <v>0</v>
      </c>
      <c r="AB69" s="93">
        <f t="shared" si="10"/>
        <v>0</v>
      </c>
      <c r="AC69" s="93">
        <f t="shared" si="11"/>
        <v>0</v>
      </c>
      <c r="AD69" s="93">
        <f t="shared" si="12"/>
        <v>0</v>
      </c>
      <c r="AE69" s="93">
        <f t="shared" si="13"/>
        <v>0</v>
      </c>
    </row>
    <row r="70" spans="1:31" ht="11.25" customHeight="1" x14ac:dyDescent="0.15">
      <c r="A70" s="334" t="s">
        <v>620</v>
      </c>
      <c r="B70" s="335" t="s">
        <v>615</v>
      </c>
      <c r="C70" s="350"/>
      <c r="D70" s="351"/>
      <c r="E70" s="352"/>
      <c r="F70" s="352"/>
      <c r="G70" s="352"/>
      <c r="H70" s="352"/>
      <c r="I70" s="352"/>
      <c r="J70" s="352"/>
      <c r="K70" s="352"/>
      <c r="L70" s="352"/>
      <c r="M70" s="352"/>
      <c r="N70" s="352"/>
      <c r="O70" s="352"/>
      <c r="P70" s="352"/>
      <c r="Q70" s="338">
        <f t="shared" si="21"/>
        <v>0</v>
      </c>
      <c r="R70" s="339"/>
      <c r="T70" s="93">
        <f t="shared" si="2"/>
        <v>0</v>
      </c>
      <c r="U70" s="93">
        <f t="shared" si="3"/>
        <v>0</v>
      </c>
      <c r="V70" s="93">
        <f t="shared" si="4"/>
        <v>0</v>
      </c>
      <c r="W70" s="93">
        <f t="shared" si="5"/>
        <v>0</v>
      </c>
      <c r="X70" s="93">
        <f t="shared" si="6"/>
        <v>0</v>
      </c>
      <c r="Y70" s="93">
        <f t="shared" si="7"/>
        <v>0</v>
      </c>
      <c r="Z70" s="93">
        <f t="shared" si="8"/>
        <v>0</v>
      </c>
      <c r="AA70" s="93">
        <f t="shared" si="9"/>
        <v>0</v>
      </c>
      <c r="AB70" s="93">
        <f t="shared" si="10"/>
        <v>0</v>
      </c>
      <c r="AC70" s="93">
        <f t="shared" si="11"/>
        <v>0</v>
      </c>
      <c r="AD70" s="93">
        <f t="shared" si="12"/>
        <v>0</v>
      </c>
      <c r="AE70" s="93">
        <f t="shared" si="13"/>
        <v>0</v>
      </c>
    </row>
    <row r="71" spans="1:31" ht="11.25" customHeight="1" x14ac:dyDescent="0.15">
      <c r="A71" s="334"/>
      <c r="B71" s="335" t="s">
        <v>385</v>
      </c>
      <c r="C71" s="350"/>
      <c r="D71" s="351"/>
      <c r="E71" s="352"/>
      <c r="F71" s="352"/>
      <c r="G71" s="352"/>
      <c r="H71" s="352"/>
      <c r="I71" s="352"/>
      <c r="J71" s="338"/>
      <c r="K71" s="338"/>
      <c r="L71" s="338"/>
      <c r="M71" s="338"/>
      <c r="N71" s="338"/>
      <c r="O71" s="338"/>
      <c r="P71" s="338"/>
      <c r="Q71" s="338">
        <f t="shared" si="21"/>
        <v>0</v>
      </c>
      <c r="R71" s="339"/>
      <c r="T71" s="93">
        <f t="shared" si="2"/>
        <v>0</v>
      </c>
      <c r="U71" s="93">
        <f t="shared" si="3"/>
        <v>0</v>
      </c>
      <c r="V71" s="93">
        <f t="shared" si="4"/>
        <v>0</v>
      </c>
      <c r="W71" s="93">
        <f t="shared" si="5"/>
        <v>0</v>
      </c>
      <c r="X71" s="93">
        <f t="shared" si="6"/>
        <v>0</v>
      </c>
      <c r="Y71" s="93">
        <f t="shared" si="7"/>
        <v>0</v>
      </c>
      <c r="Z71" s="93">
        <f t="shared" si="8"/>
        <v>0</v>
      </c>
      <c r="AA71" s="93">
        <f t="shared" si="9"/>
        <v>0</v>
      </c>
      <c r="AB71" s="93">
        <f t="shared" si="10"/>
        <v>0</v>
      </c>
      <c r="AC71" s="93">
        <f t="shared" si="11"/>
        <v>0</v>
      </c>
      <c r="AD71" s="93">
        <f t="shared" si="12"/>
        <v>0</v>
      </c>
      <c r="AE71" s="93">
        <f t="shared" si="13"/>
        <v>0</v>
      </c>
    </row>
    <row r="72" spans="1:31" ht="11.25" customHeight="1" x14ac:dyDescent="0.15">
      <c r="A72" s="334" t="s">
        <v>621</v>
      </c>
      <c r="B72" s="335" t="s">
        <v>616</v>
      </c>
      <c r="C72" s="350"/>
      <c r="D72" s="351"/>
      <c r="E72" s="352"/>
      <c r="F72" s="352"/>
      <c r="G72" s="352"/>
      <c r="H72" s="352"/>
      <c r="I72" s="352"/>
      <c r="J72" s="338"/>
      <c r="K72" s="338"/>
      <c r="L72" s="338"/>
      <c r="M72" s="338"/>
      <c r="N72" s="338"/>
      <c r="O72" s="338"/>
      <c r="P72" s="338"/>
      <c r="Q72" s="338">
        <f t="shared" si="21"/>
        <v>0</v>
      </c>
      <c r="R72" s="339"/>
      <c r="T72" s="93">
        <f t="shared" si="2"/>
        <v>0</v>
      </c>
      <c r="U72" s="93">
        <f t="shared" si="3"/>
        <v>0</v>
      </c>
      <c r="V72" s="93">
        <f t="shared" si="4"/>
        <v>0</v>
      </c>
      <c r="W72" s="93">
        <f t="shared" si="5"/>
        <v>0</v>
      </c>
      <c r="X72" s="93">
        <f t="shared" si="6"/>
        <v>0</v>
      </c>
      <c r="Y72" s="93">
        <f t="shared" si="7"/>
        <v>0</v>
      </c>
      <c r="Z72" s="93">
        <f t="shared" si="8"/>
        <v>0</v>
      </c>
      <c r="AA72" s="93">
        <f t="shared" si="9"/>
        <v>0</v>
      </c>
      <c r="AB72" s="93">
        <f t="shared" si="10"/>
        <v>0</v>
      </c>
      <c r="AC72" s="93">
        <f t="shared" si="11"/>
        <v>0</v>
      </c>
      <c r="AD72" s="93">
        <f t="shared" si="12"/>
        <v>0</v>
      </c>
      <c r="AE72" s="93">
        <f t="shared" si="13"/>
        <v>0</v>
      </c>
    </row>
    <row r="73" spans="1:31" ht="11.25" customHeight="1" x14ac:dyDescent="0.15">
      <c r="A73" s="334"/>
      <c r="B73" s="361" t="s">
        <v>460</v>
      </c>
      <c r="C73" s="362"/>
      <c r="D73" s="363"/>
      <c r="E73" s="352"/>
      <c r="F73" s="352"/>
      <c r="G73" s="352"/>
      <c r="H73" s="352"/>
      <c r="I73" s="352"/>
      <c r="J73" s="352"/>
      <c r="K73" s="352"/>
      <c r="L73" s="352"/>
      <c r="M73" s="352"/>
      <c r="N73" s="352"/>
      <c r="O73" s="352"/>
      <c r="P73" s="352"/>
      <c r="Q73" s="338">
        <f t="shared" si="21"/>
        <v>0</v>
      </c>
      <c r="R73" s="339"/>
      <c r="T73" s="93">
        <f t="shared" si="2"/>
        <v>0</v>
      </c>
      <c r="U73" s="93">
        <f t="shared" si="3"/>
        <v>0</v>
      </c>
      <c r="V73" s="93">
        <f t="shared" si="4"/>
        <v>0</v>
      </c>
      <c r="W73" s="93">
        <f t="shared" si="5"/>
        <v>0</v>
      </c>
      <c r="X73" s="93">
        <f t="shared" si="6"/>
        <v>0</v>
      </c>
      <c r="Y73" s="93">
        <f t="shared" si="7"/>
        <v>0</v>
      </c>
      <c r="Z73" s="93">
        <f t="shared" si="8"/>
        <v>0</v>
      </c>
      <c r="AA73" s="93">
        <f t="shared" si="9"/>
        <v>0</v>
      </c>
      <c r="AB73" s="93">
        <f t="shared" si="10"/>
        <v>0</v>
      </c>
      <c r="AC73" s="93">
        <f t="shared" si="11"/>
        <v>0</v>
      </c>
      <c r="AD73" s="93">
        <f t="shared" si="12"/>
        <v>0</v>
      </c>
      <c r="AE73" s="93">
        <f t="shared" si="13"/>
        <v>0</v>
      </c>
    </row>
    <row r="74" spans="1:31" ht="11.25" customHeight="1" x14ac:dyDescent="0.15">
      <c r="A74" s="334"/>
      <c r="B74" s="361" t="s">
        <v>617</v>
      </c>
      <c r="C74" s="362"/>
      <c r="D74" s="363"/>
      <c r="E74" s="352"/>
      <c r="F74" s="352"/>
      <c r="G74" s="352"/>
      <c r="H74" s="352"/>
      <c r="I74" s="352"/>
      <c r="J74" s="338"/>
      <c r="K74" s="338"/>
      <c r="L74" s="338"/>
      <c r="M74" s="338"/>
      <c r="N74" s="338"/>
      <c r="O74" s="338"/>
      <c r="P74" s="338"/>
      <c r="Q74" s="338">
        <f t="shared" si="21"/>
        <v>0</v>
      </c>
      <c r="R74" s="339"/>
      <c r="T74" s="93">
        <f t="shared" si="2"/>
        <v>0</v>
      </c>
      <c r="U74" s="93">
        <f t="shared" si="3"/>
        <v>0</v>
      </c>
      <c r="V74" s="93">
        <f t="shared" si="4"/>
        <v>0</v>
      </c>
      <c r="W74" s="93">
        <f t="shared" si="5"/>
        <v>0</v>
      </c>
      <c r="X74" s="93">
        <f t="shared" si="6"/>
        <v>0</v>
      </c>
      <c r="Y74" s="93">
        <f t="shared" si="7"/>
        <v>0</v>
      </c>
      <c r="Z74" s="93">
        <f t="shared" si="8"/>
        <v>0</v>
      </c>
      <c r="AA74" s="93">
        <f t="shared" si="9"/>
        <v>0</v>
      </c>
      <c r="AB74" s="93">
        <f t="shared" si="10"/>
        <v>0</v>
      </c>
      <c r="AC74" s="93">
        <f t="shared" si="11"/>
        <v>0</v>
      </c>
      <c r="AD74" s="93">
        <f t="shared" si="12"/>
        <v>0</v>
      </c>
      <c r="AE74" s="93">
        <f t="shared" si="13"/>
        <v>0</v>
      </c>
    </row>
    <row r="75" spans="1:31" ht="11.25" customHeight="1" x14ac:dyDescent="0.15">
      <c r="A75" s="343"/>
      <c r="B75" s="508" t="s">
        <v>624</v>
      </c>
      <c r="C75" s="509"/>
      <c r="D75" s="510"/>
      <c r="E75" s="356">
        <f t="shared" ref="E75:P75" si="22">SUM(E60:E74)</f>
        <v>0</v>
      </c>
      <c r="F75" s="356">
        <f>SUM(F60:F74)</f>
        <v>0</v>
      </c>
      <c r="G75" s="356">
        <f>SUM(G60:G74)</f>
        <v>0</v>
      </c>
      <c r="H75" s="356">
        <f t="shared" si="22"/>
        <v>0</v>
      </c>
      <c r="I75" s="356">
        <f t="shared" si="22"/>
        <v>0</v>
      </c>
      <c r="J75" s="356">
        <f t="shared" si="22"/>
        <v>0</v>
      </c>
      <c r="K75" s="356">
        <f t="shared" si="22"/>
        <v>0</v>
      </c>
      <c r="L75" s="356">
        <f t="shared" si="22"/>
        <v>0</v>
      </c>
      <c r="M75" s="356">
        <f t="shared" si="22"/>
        <v>0</v>
      </c>
      <c r="N75" s="356">
        <f t="shared" si="22"/>
        <v>0</v>
      </c>
      <c r="O75" s="356">
        <f t="shared" si="22"/>
        <v>0</v>
      </c>
      <c r="P75" s="356">
        <f t="shared" si="22"/>
        <v>0</v>
      </c>
      <c r="Q75" s="347">
        <f>SUM(E75:P75)</f>
        <v>0</v>
      </c>
      <c r="R75" s="348" t="s">
        <v>220</v>
      </c>
      <c r="T75" s="93">
        <f t="shared" si="2"/>
        <v>0</v>
      </c>
      <c r="U75" s="93">
        <f t="shared" si="3"/>
        <v>0</v>
      </c>
      <c r="V75" s="93">
        <f t="shared" si="4"/>
        <v>0</v>
      </c>
      <c r="W75" s="93">
        <f t="shared" si="5"/>
        <v>0</v>
      </c>
      <c r="X75" s="93">
        <f t="shared" si="6"/>
        <v>0</v>
      </c>
      <c r="Y75" s="93">
        <f t="shared" si="7"/>
        <v>0</v>
      </c>
      <c r="Z75" s="93">
        <f t="shared" si="8"/>
        <v>0</v>
      </c>
      <c r="AA75" s="93">
        <f t="shared" si="9"/>
        <v>0</v>
      </c>
      <c r="AB75" s="93">
        <f t="shared" si="10"/>
        <v>0</v>
      </c>
      <c r="AC75" s="93">
        <f t="shared" si="11"/>
        <v>0</v>
      </c>
      <c r="AD75" s="93">
        <f t="shared" si="12"/>
        <v>0</v>
      </c>
      <c r="AE75" s="93">
        <f t="shared" si="13"/>
        <v>0</v>
      </c>
    </row>
    <row r="76" spans="1:31" ht="11.25" customHeight="1" x14ac:dyDescent="0.15">
      <c r="A76" s="343" t="s">
        <v>622</v>
      </c>
      <c r="B76" s="364" t="s">
        <v>478</v>
      </c>
      <c r="C76" s="344"/>
      <c r="D76" s="345"/>
      <c r="E76" s="359"/>
      <c r="F76" s="359"/>
      <c r="G76" s="359"/>
      <c r="H76" s="359"/>
      <c r="I76" s="359"/>
      <c r="J76" s="359"/>
      <c r="K76" s="359"/>
      <c r="L76" s="359"/>
      <c r="M76" s="359"/>
      <c r="N76" s="359"/>
      <c r="O76" s="359"/>
      <c r="P76" s="359"/>
      <c r="Q76" s="347">
        <f>SUM(E76:P76)</f>
        <v>0</v>
      </c>
      <c r="R76" s="339"/>
      <c r="T76" s="93">
        <f t="shared" si="2"/>
        <v>0</v>
      </c>
      <c r="U76" s="93">
        <f t="shared" si="3"/>
        <v>0</v>
      </c>
      <c r="V76" s="93">
        <f t="shared" si="4"/>
        <v>0</v>
      </c>
      <c r="W76" s="93">
        <f t="shared" si="5"/>
        <v>0</v>
      </c>
      <c r="X76" s="93">
        <f t="shared" si="6"/>
        <v>0</v>
      </c>
      <c r="Y76" s="93">
        <f t="shared" si="7"/>
        <v>0</v>
      </c>
      <c r="Z76" s="93">
        <f t="shared" si="8"/>
        <v>0</v>
      </c>
      <c r="AA76" s="93">
        <f t="shared" si="9"/>
        <v>0</v>
      </c>
      <c r="AB76" s="93">
        <f t="shared" si="10"/>
        <v>0</v>
      </c>
      <c r="AC76" s="93">
        <f t="shared" si="11"/>
        <v>0</v>
      </c>
      <c r="AD76" s="93">
        <f t="shared" si="12"/>
        <v>0</v>
      </c>
      <c r="AE76" s="93">
        <f t="shared" si="13"/>
        <v>0</v>
      </c>
    </row>
    <row r="77" spans="1:31" ht="11.25" customHeight="1" x14ac:dyDescent="0.15">
      <c r="A77" s="343"/>
      <c r="B77" s="508" t="s">
        <v>625</v>
      </c>
      <c r="C77" s="509"/>
      <c r="D77" s="510"/>
      <c r="E77" s="359">
        <f>E75+E59+E49+E44+E29+E52+E76</f>
        <v>0</v>
      </c>
      <c r="F77" s="359">
        <f>F75+F59+F49+F44+F29+F52+F76</f>
        <v>0</v>
      </c>
      <c r="G77" s="359">
        <f t="shared" ref="G77:O77" si="23">G75+G59+G49+G44+G29+G52+G76</f>
        <v>0</v>
      </c>
      <c r="H77" s="359">
        <f t="shared" si="23"/>
        <v>0</v>
      </c>
      <c r="I77" s="359">
        <f t="shared" si="23"/>
        <v>0</v>
      </c>
      <c r="J77" s="359">
        <f t="shared" si="23"/>
        <v>0</v>
      </c>
      <c r="K77" s="359">
        <f t="shared" si="23"/>
        <v>0</v>
      </c>
      <c r="L77" s="359">
        <f t="shared" si="23"/>
        <v>0</v>
      </c>
      <c r="M77" s="359">
        <f t="shared" si="23"/>
        <v>0</v>
      </c>
      <c r="N77" s="359">
        <f t="shared" si="23"/>
        <v>0</v>
      </c>
      <c r="O77" s="359">
        <f t="shared" si="23"/>
        <v>0</v>
      </c>
      <c r="P77" s="359">
        <f>P75+P59+P49+P44+P29+P52+P76</f>
        <v>0</v>
      </c>
      <c r="Q77" s="347">
        <f>SUM(E77:P77)</f>
        <v>0</v>
      </c>
      <c r="R77" s="339"/>
      <c r="T77" s="93">
        <f t="shared" ref="T77:T80" si="24">E77</f>
        <v>0</v>
      </c>
      <c r="U77" s="93">
        <f t="shared" ref="U77:U80" si="25">SUM(E77:F77)</f>
        <v>0</v>
      </c>
      <c r="V77" s="93">
        <f t="shared" ref="V77:V80" si="26">SUM(E77:G77)</f>
        <v>0</v>
      </c>
      <c r="W77" s="93">
        <f t="shared" ref="W77:W80" si="27">SUM(E77:H77)</f>
        <v>0</v>
      </c>
      <c r="X77" s="93">
        <f t="shared" ref="X77:X80" si="28">SUM(E77:I77)</f>
        <v>0</v>
      </c>
      <c r="Y77" s="93">
        <f t="shared" ref="Y77:Y80" si="29">SUM(E77:J77)</f>
        <v>0</v>
      </c>
      <c r="Z77" s="93">
        <f t="shared" ref="Z77:Z80" si="30">SUM(E77:K77)</f>
        <v>0</v>
      </c>
      <c r="AA77" s="93">
        <f t="shared" ref="AA77:AA80" si="31">SUM(E77:L77)</f>
        <v>0</v>
      </c>
      <c r="AB77" s="93">
        <f t="shared" ref="AB77:AB80" si="32">SUM(E77:M77)</f>
        <v>0</v>
      </c>
      <c r="AC77" s="93">
        <f t="shared" ref="AC77:AC80" si="33">SUM(E77:N77)</f>
        <v>0</v>
      </c>
      <c r="AD77" s="93">
        <f t="shared" ref="AD77:AD80" si="34">SUM(E77:O77)</f>
        <v>0</v>
      </c>
      <c r="AE77" s="93">
        <f t="shared" ref="AE77:AE80" si="35">SUM(E77:P77)</f>
        <v>0</v>
      </c>
    </row>
    <row r="78" spans="1:31" ht="24.75" customHeight="1" x14ac:dyDescent="0.15">
      <c r="A78" s="334" t="s">
        <v>623</v>
      </c>
      <c r="B78" s="521" t="s">
        <v>626</v>
      </c>
      <c r="C78" s="522"/>
      <c r="D78" s="523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347">
        <f t="shared" si="21"/>
        <v>0</v>
      </c>
      <c r="R78" s="348" t="s">
        <v>457</v>
      </c>
      <c r="T78" s="93">
        <f t="shared" si="24"/>
        <v>0</v>
      </c>
      <c r="U78" s="93">
        <f t="shared" si="25"/>
        <v>0</v>
      </c>
      <c r="V78" s="93">
        <f t="shared" si="26"/>
        <v>0</v>
      </c>
      <c r="W78" s="93">
        <f t="shared" si="27"/>
        <v>0</v>
      </c>
      <c r="X78" s="93">
        <f t="shared" si="28"/>
        <v>0</v>
      </c>
      <c r="Y78" s="93">
        <f t="shared" si="29"/>
        <v>0</v>
      </c>
      <c r="Z78" s="93">
        <f t="shared" si="30"/>
        <v>0</v>
      </c>
      <c r="AA78" s="93">
        <f t="shared" si="31"/>
        <v>0</v>
      </c>
      <c r="AB78" s="93">
        <f t="shared" si="32"/>
        <v>0</v>
      </c>
      <c r="AC78" s="93">
        <f t="shared" si="33"/>
        <v>0</v>
      </c>
      <c r="AD78" s="93">
        <f t="shared" si="34"/>
        <v>0</v>
      </c>
      <c r="AE78" s="93">
        <f t="shared" si="35"/>
        <v>0</v>
      </c>
    </row>
    <row r="79" spans="1:31" ht="24.75" customHeight="1" x14ac:dyDescent="0.15">
      <c r="A79" s="334"/>
      <c r="B79" s="521" t="s">
        <v>627</v>
      </c>
      <c r="C79" s="522"/>
      <c r="D79" s="523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347">
        <f t="shared" si="21"/>
        <v>0</v>
      </c>
      <c r="R79" s="360" t="s">
        <v>456</v>
      </c>
      <c r="T79" s="93">
        <f t="shared" si="24"/>
        <v>0</v>
      </c>
      <c r="U79" s="93">
        <f t="shared" si="25"/>
        <v>0</v>
      </c>
      <c r="V79" s="93">
        <f t="shared" si="26"/>
        <v>0</v>
      </c>
      <c r="W79" s="93">
        <f t="shared" si="27"/>
        <v>0</v>
      </c>
      <c r="X79" s="93">
        <f t="shared" si="28"/>
        <v>0</v>
      </c>
      <c r="Y79" s="93">
        <f t="shared" si="29"/>
        <v>0</v>
      </c>
      <c r="Z79" s="93">
        <f t="shared" si="30"/>
        <v>0</v>
      </c>
      <c r="AA79" s="93">
        <f t="shared" si="31"/>
        <v>0</v>
      </c>
      <c r="AB79" s="93">
        <f t="shared" si="32"/>
        <v>0</v>
      </c>
      <c r="AC79" s="93">
        <f t="shared" si="33"/>
        <v>0</v>
      </c>
      <c r="AD79" s="93">
        <f t="shared" si="34"/>
        <v>0</v>
      </c>
      <c r="AE79" s="93">
        <f t="shared" si="35"/>
        <v>0</v>
      </c>
    </row>
    <row r="80" spans="1:31" ht="22.5" customHeight="1" thickBot="1" x14ac:dyDescent="0.2">
      <c r="A80" s="365"/>
      <c r="B80" s="518" t="s">
        <v>628</v>
      </c>
      <c r="C80" s="519"/>
      <c r="D80" s="520"/>
      <c r="E80" s="366">
        <f>SUM(E77:E79)</f>
        <v>0</v>
      </c>
      <c r="F80" s="366">
        <f>SUM(F77:F79)</f>
        <v>0</v>
      </c>
      <c r="G80" s="366">
        <f>SUM(G77:G79)</f>
        <v>0</v>
      </c>
      <c r="H80" s="366">
        <f t="shared" ref="H80:Q80" si="36">SUM(H77:H79)</f>
        <v>0</v>
      </c>
      <c r="I80" s="366">
        <f t="shared" si="36"/>
        <v>0</v>
      </c>
      <c r="J80" s="366">
        <f t="shared" si="36"/>
        <v>0</v>
      </c>
      <c r="K80" s="366">
        <f t="shared" si="36"/>
        <v>0</v>
      </c>
      <c r="L80" s="366">
        <f t="shared" si="36"/>
        <v>0</v>
      </c>
      <c r="M80" s="366">
        <f t="shared" si="36"/>
        <v>0</v>
      </c>
      <c r="N80" s="366">
        <f t="shared" si="36"/>
        <v>0</v>
      </c>
      <c r="O80" s="366">
        <f t="shared" si="36"/>
        <v>0</v>
      </c>
      <c r="P80" s="366">
        <f>SUM(P77:P79)</f>
        <v>0</v>
      </c>
      <c r="Q80" s="366">
        <f t="shared" si="36"/>
        <v>0</v>
      </c>
      <c r="R80" s="367"/>
      <c r="T80" s="93">
        <f t="shared" si="24"/>
        <v>0</v>
      </c>
      <c r="U80" s="93">
        <f t="shared" si="25"/>
        <v>0</v>
      </c>
      <c r="V80" s="93">
        <f t="shared" si="26"/>
        <v>0</v>
      </c>
      <c r="W80" s="93">
        <f t="shared" si="27"/>
        <v>0</v>
      </c>
      <c r="X80" s="93">
        <f t="shared" si="28"/>
        <v>0</v>
      </c>
      <c r="Y80" s="93">
        <f t="shared" si="29"/>
        <v>0</v>
      </c>
      <c r="Z80" s="93">
        <f t="shared" si="30"/>
        <v>0</v>
      </c>
      <c r="AA80" s="93">
        <f t="shared" si="31"/>
        <v>0</v>
      </c>
      <c r="AB80" s="93">
        <f t="shared" si="32"/>
        <v>0</v>
      </c>
      <c r="AC80" s="93">
        <f t="shared" si="33"/>
        <v>0</v>
      </c>
      <c r="AD80" s="93">
        <f t="shared" si="34"/>
        <v>0</v>
      </c>
      <c r="AE80" s="93">
        <f t="shared" si="35"/>
        <v>0</v>
      </c>
    </row>
    <row r="81" spans="3:17" ht="11.25" customHeight="1" thickTop="1" x14ac:dyDescent="0.15"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</row>
    <row r="82" spans="3:17" ht="11.25" customHeight="1" x14ac:dyDescent="0.15"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Q82" s="93">
        <f>Q80+'RINCIAN B. LANGSUNG USAHA'!Q104</f>
        <v>0</v>
      </c>
    </row>
    <row r="83" spans="3:17" ht="11.25" customHeight="1" x14ac:dyDescent="0.15">
      <c r="C83" s="72"/>
      <c r="D83" s="72">
        <f>H74+H69+H64+H63+H61+H58+H56+H55+H43+H42+H40+H39+H38+H36+H34+H33+H31+H24+H23+H17+H12+H48</f>
        <v>0</v>
      </c>
      <c r="E83" s="72"/>
      <c r="F83" s="72"/>
      <c r="G83" s="72"/>
      <c r="H83" s="72"/>
      <c r="I83" s="72"/>
      <c r="J83" s="72"/>
      <c r="K83" s="72"/>
      <c r="L83" s="72"/>
      <c r="M83" s="72"/>
      <c r="N83" s="72"/>
      <c r="Q83" s="93" t="e">
        <f>#REF!</f>
        <v>#REF!</v>
      </c>
    </row>
    <row r="84" spans="3:17" ht="11.25" customHeight="1" x14ac:dyDescent="0.15"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Q84" s="93"/>
    </row>
    <row r="85" spans="3:17" ht="11.25" customHeight="1" x14ac:dyDescent="0.15">
      <c r="C85" s="72"/>
      <c r="D85" s="72">
        <f>H74+H69+H64+H63+H61+H58+H56+H55+H48+H43+H42+H40+H39+H38+H36+H34+H33+H31+H24+H23+H17+H12</f>
        <v>0</v>
      </c>
      <c r="E85" s="72"/>
      <c r="F85" s="72"/>
      <c r="G85" s="72"/>
      <c r="H85" s="72"/>
      <c r="I85" s="72"/>
      <c r="J85" s="72"/>
      <c r="K85" s="72"/>
      <c r="L85" s="72"/>
      <c r="M85" s="72"/>
      <c r="N85" s="72"/>
    </row>
    <row r="86" spans="3:17" ht="11.25" customHeight="1" x14ac:dyDescent="0.15">
      <c r="C86" s="72"/>
      <c r="D86" s="72">
        <f>D85+'RINCIAN B. LANGSUNG USAHA'!D125</f>
        <v>4030000</v>
      </c>
      <c r="E86" s="72"/>
      <c r="F86" s="72"/>
      <c r="G86" s="72"/>
      <c r="H86" s="72"/>
      <c r="I86" s="72"/>
      <c r="J86" s="72"/>
      <c r="K86" s="72"/>
      <c r="L86" s="72"/>
      <c r="M86" s="72"/>
      <c r="N86" s="72"/>
    </row>
    <row r="87" spans="3:17" ht="11.25" customHeight="1" x14ac:dyDescent="0.15">
      <c r="C87" s="72"/>
      <c r="D87" s="72">
        <f>[2]DVUD!$H$301+[2]DVUD!$H$347</f>
        <v>44439000</v>
      </c>
      <c r="E87" s="72"/>
      <c r="F87" s="72"/>
      <c r="G87" s="72"/>
      <c r="H87" s="72"/>
      <c r="I87" s="72"/>
      <c r="J87" s="72"/>
      <c r="K87" s="72"/>
      <c r="L87" s="72"/>
      <c r="M87" s="72"/>
      <c r="N87" s="72"/>
    </row>
    <row r="88" spans="3:17" ht="11.25" customHeight="1" x14ac:dyDescent="0.15">
      <c r="C88" s="72"/>
      <c r="D88" s="72">
        <f>D86+D87</f>
        <v>48469000</v>
      </c>
      <c r="E88" s="72"/>
      <c r="F88" s="72"/>
      <c r="G88" s="72"/>
      <c r="H88" s="72"/>
      <c r="I88" s="72"/>
      <c r="J88" s="72"/>
      <c r="K88" s="72"/>
      <c r="L88" s="72"/>
      <c r="M88" s="72"/>
      <c r="N88" s="72"/>
    </row>
    <row r="89" spans="3:17" ht="11.25" customHeight="1" x14ac:dyDescent="0.15"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Q89" s="93"/>
    </row>
    <row r="90" spans="3:17" ht="11.25" customHeight="1" x14ac:dyDescent="0.15">
      <c r="C90" s="72"/>
      <c r="D90" s="442">
        <f>I12+I17+I24+I28+I31+I33+I34+I36+I38+I39+I40+I42+I43+I54+I55+I57+I58+I61+I63+I64+I69+I74</f>
        <v>0</v>
      </c>
      <c r="E90" s="72"/>
      <c r="F90" s="72"/>
      <c r="G90" s="72"/>
      <c r="H90" s="72"/>
      <c r="I90" s="72"/>
      <c r="J90" s="72"/>
      <c r="K90" s="72"/>
      <c r="L90" s="72"/>
      <c r="M90" s="72"/>
      <c r="N90" s="72"/>
    </row>
    <row r="91" spans="3:17" ht="11.25" customHeight="1" x14ac:dyDescent="0.15"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</row>
    <row r="92" spans="3:17" ht="11.25" customHeight="1" x14ac:dyDescent="0.15">
      <c r="C92" s="72"/>
      <c r="D92" s="442">
        <f>D90+'RINCIAN B. LANGSUNG USAHA'!D143</f>
        <v>0</v>
      </c>
      <c r="E92" s="72"/>
      <c r="F92" s="72"/>
      <c r="G92" s="72"/>
      <c r="H92" s="72"/>
      <c r="I92" s="72"/>
      <c r="J92" s="72"/>
      <c r="K92" s="72"/>
      <c r="L92" s="72"/>
      <c r="M92" s="72"/>
      <c r="N92" s="72"/>
    </row>
    <row r="93" spans="3:17" ht="11.25" customHeight="1" x14ac:dyDescent="0.15">
      <c r="C93" s="72"/>
      <c r="D93" s="442">
        <f>[2]DVUD!$H$426+[2]DVUD!$H$454+[2]DVUD!$H$456</f>
        <v>26171000</v>
      </c>
      <c r="E93" s="72"/>
      <c r="F93" s="72"/>
      <c r="G93" s="72"/>
      <c r="H93" s="72"/>
      <c r="I93" s="72"/>
      <c r="J93" s="72"/>
      <c r="K93" s="72"/>
      <c r="L93" s="72"/>
      <c r="M93" s="72"/>
      <c r="N93" s="72"/>
    </row>
    <row r="94" spans="3:17" ht="11.25" customHeight="1" x14ac:dyDescent="0.15">
      <c r="C94" s="72"/>
      <c r="D94" s="442">
        <f>D92+D93</f>
        <v>26171000</v>
      </c>
      <c r="E94" s="72"/>
      <c r="F94" s="72"/>
      <c r="G94" s="72"/>
      <c r="H94" s="72"/>
      <c r="I94" s="72"/>
      <c r="J94" s="72"/>
      <c r="K94" s="72"/>
      <c r="L94" s="72"/>
      <c r="M94" s="72"/>
      <c r="N94" s="72"/>
    </row>
    <row r="95" spans="3:17" ht="11.25" customHeight="1" x14ac:dyDescent="0.15">
      <c r="C95" s="72"/>
      <c r="D95" s="442">
        <f>[2]DVUD!$H$500</f>
        <v>619258031</v>
      </c>
      <c r="E95" s="72"/>
      <c r="F95" s="72"/>
      <c r="G95" s="72"/>
      <c r="H95" s="72"/>
      <c r="I95" s="72"/>
      <c r="J95" s="72"/>
      <c r="K95" s="72"/>
      <c r="L95" s="72"/>
      <c r="M95" s="72"/>
      <c r="N95" s="72"/>
    </row>
    <row r="96" spans="3:17" ht="11.25" customHeight="1" x14ac:dyDescent="0.15">
      <c r="C96" s="72"/>
      <c r="D96" s="442">
        <f>D94-D95</f>
        <v>-593087031</v>
      </c>
      <c r="E96" s="72"/>
      <c r="F96" s="72"/>
      <c r="G96" s="72"/>
      <c r="H96" s="72"/>
      <c r="I96" s="72"/>
      <c r="J96" s="72"/>
      <c r="K96" s="72"/>
      <c r="L96" s="72"/>
      <c r="M96" s="72"/>
      <c r="N96" s="72"/>
    </row>
    <row r="97" spans="3:14" ht="11.25" customHeight="1" x14ac:dyDescent="0.15"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</row>
    <row r="98" spans="3:14" ht="11.25" customHeight="1" x14ac:dyDescent="0.15"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</row>
    <row r="99" spans="3:14" ht="11.25" customHeight="1" x14ac:dyDescent="0.15"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</row>
    <row r="100" spans="3:14" ht="11.25" customHeight="1" x14ac:dyDescent="0.15"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</row>
    <row r="101" spans="3:14" ht="11.25" customHeight="1" x14ac:dyDescent="0.15">
      <c r="C101" s="72"/>
      <c r="D101" s="72">
        <f>H74+H69+H64+H63+H61+H58+H57+H56+H55+H48+H43+H42+H40+H39+H38+H36+H34+H33+H31+H24+H23+H17+H12</f>
        <v>0</v>
      </c>
      <c r="E101" s="72"/>
      <c r="F101" s="72"/>
      <c r="G101" s="72"/>
      <c r="H101" s="72"/>
      <c r="I101" s="72"/>
      <c r="J101" s="72"/>
      <c r="K101" s="72"/>
      <c r="L101" s="72"/>
      <c r="M101" s="72"/>
      <c r="N101" s="72"/>
    </row>
    <row r="102" spans="3:14" ht="11.25" customHeight="1" x14ac:dyDescent="0.15"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</row>
    <row r="103" spans="3:14" ht="11.25" customHeight="1" x14ac:dyDescent="0.15"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</row>
    <row r="104" spans="3:14" ht="11.25" customHeight="1" x14ac:dyDescent="0.15">
      <c r="C104" s="72"/>
      <c r="D104" s="444">
        <f>H79+H78</f>
        <v>0</v>
      </c>
      <c r="E104" s="72"/>
      <c r="F104" s="72"/>
      <c r="G104" s="72"/>
      <c r="H104" s="72"/>
      <c r="I104" s="72"/>
      <c r="J104" s="72"/>
      <c r="K104" s="72"/>
      <c r="L104" s="72"/>
      <c r="M104" s="72"/>
      <c r="N104" s="72"/>
    </row>
    <row r="105" spans="3:14" ht="11.25" customHeight="1" x14ac:dyDescent="0.15">
      <c r="C105" s="72"/>
      <c r="D105" s="444">
        <f>D104+'RINCIAN B. LANGSUNG USAHA'!D116</f>
        <v>7064800</v>
      </c>
      <c r="E105" s="72"/>
      <c r="F105" s="72"/>
      <c r="G105" s="72"/>
      <c r="H105" s="72"/>
      <c r="I105" s="72"/>
      <c r="J105" s="72"/>
      <c r="K105" s="72"/>
      <c r="L105" s="72"/>
      <c r="M105" s="72"/>
      <c r="N105" s="72"/>
    </row>
    <row r="106" spans="3:14" ht="11.25" customHeight="1" x14ac:dyDescent="0.15">
      <c r="C106" s="72"/>
      <c r="D106" s="444">
        <f>'[6]KANTOR (2)'!$H$193</f>
        <v>200710176</v>
      </c>
      <c r="E106" s="72"/>
      <c r="F106" s="72"/>
      <c r="G106" s="72"/>
      <c r="H106" s="72"/>
      <c r="I106" s="72"/>
      <c r="J106" s="72"/>
      <c r="K106" s="72"/>
      <c r="L106" s="72"/>
      <c r="M106" s="72"/>
      <c r="N106" s="72"/>
    </row>
    <row r="107" spans="3:14" ht="11.25" customHeight="1" x14ac:dyDescent="0.15">
      <c r="C107" s="72"/>
      <c r="D107" s="444">
        <f>D105-D106</f>
        <v>-193645376</v>
      </c>
      <c r="E107" s="72"/>
      <c r="F107" s="72"/>
      <c r="G107" s="72"/>
      <c r="H107" s="72"/>
      <c r="I107" s="72"/>
      <c r="J107" s="72"/>
      <c r="K107" s="72"/>
      <c r="L107" s="72"/>
      <c r="M107" s="72"/>
      <c r="N107" s="72"/>
    </row>
    <row r="108" spans="3:14" ht="11.25" customHeight="1" x14ac:dyDescent="0.15"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</row>
    <row r="109" spans="3:14" ht="11.25" customHeight="1" x14ac:dyDescent="0.15"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</row>
    <row r="110" spans="3:14" ht="11.25" customHeight="1" x14ac:dyDescent="0.15">
      <c r="C110" s="72"/>
      <c r="D110" s="442">
        <f>I79+I78</f>
        <v>0</v>
      </c>
      <c r="E110" s="72"/>
      <c r="F110" s="72"/>
      <c r="G110" s="72"/>
      <c r="H110" s="72"/>
      <c r="I110" s="72"/>
      <c r="J110" s="72"/>
      <c r="K110" s="72"/>
      <c r="L110" s="72"/>
      <c r="M110" s="72"/>
      <c r="N110" s="72"/>
    </row>
    <row r="111" spans="3:14" ht="11.25" customHeight="1" x14ac:dyDescent="0.15">
      <c r="C111" s="72"/>
      <c r="D111" s="442">
        <f>D110+'RINCIAN B. LANGSUNG USAHA'!D117</f>
        <v>0</v>
      </c>
      <c r="E111" s="72"/>
      <c r="F111" s="72"/>
      <c r="G111" s="72"/>
      <c r="H111" s="72"/>
      <c r="I111" s="72"/>
      <c r="J111" s="72"/>
      <c r="K111" s="72"/>
      <c r="L111" s="72"/>
      <c r="M111" s="72"/>
      <c r="N111" s="72"/>
    </row>
    <row r="112" spans="3:14" ht="11.25" customHeight="1" x14ac:dyDescent="0.15">
      <c r="C112" s="72"/>
      <c r="D112" s="442">
        <f>'[6]KANTOR (2)'!$H$249</f>
        <v>221351877</v>
      </c>
      <c r="E112" s="72"/>
      <c r="F112" s="72"/>
      <c r="G112" s="72"/>
      <c r="H112" s="72"/>
      <c r="I112" s="72"/>
      <c r="J112" s="72"/>
      <c r="K112" s="72"/>
      <c r="L112" s="72"/>
      <c r="M112" s="72"/>
      <c r="N112" s="72"/>
    </row>
    <row r="113" spans="3:14" ht="11.25" customHeight="1" x14ac:dyDescent="0.15">
      <c r="C113" s="72"/>
      <c r="D113" s="442">
        <f>D111-D112</f>
        <v>-221351877</v>
      </c>
      <c r="E113" s="72"/>
      <c r="F113" s="72"/>
      <c r="G113" s="72"/>
      <c r="H113" s="72"/>
      <c r="I113" s="72"/>
      <c r="J113" s="72"/>
      <c r="K113" s="72"/>
      <c r="L113" s="72"/>
      <c r="M113" s="72"/>
      <c r="N113" s="72"/>
    </row>
    <row r="114" spans="3:14" ht="11.25" customHeight="1" x14ac:dyDescent="0.15"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</row>
    <row r="115" spans="3:14" ht="11.25" customHeight="1" x14ac:dyDescent="0.15"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</row>
    <row r="116" spans="3:14" ht="11.25" customHeight="1" x14ac:dyDescent="0.15"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</row>
    <row r="117" spans="3:14" ht="11.25" customHeight="1" x14ac:dyDescent="0.15"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</row>
    <row r="118" spans="3:14" ht="11.25" customHeight="1" x14ac:dyDescent="0.15"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</row>
    <row r="119" spans="3:14" ht="11.25" customHeight="1" x14ac:dyDescent="0.15"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</row>
    <row r="120" spans="3:14" ht="11.25" customHeight="1" x14ac:dyDescent="0.15"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</row>
    <row r="121" spans="3:14" ht="11.25" customHeight="1" x14ac:dyDescent="0.15"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</row>
    <row r="122" spans="3:14" ht="11.25" customHeight="1" x14ac:dyDescent="0.15"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</row>
    <row r="123" spans="3:14" ht="11.25" customHeight="1" x14ac:dyDescent="0.15"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</row>
    <row r="124" spans="3:14" ht="11.25" customHeight="1" x14ac:dyDescent="0.15"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</row>
    <row r="125" spans="3:14" ht="11.25" customHeight="1" x14ac:dyDescent="0.15"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</row>
    <row r="126" spans="3:14" ht="11.25" customHeight="1" x14ac:dyDescent="0.15"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</row>
    <row r="127" spans="3:14" ht="11.25" customHeight="1" x14ac:dyDescent="0.15"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</row>
    <row r="128" spans="3:14" ht="11.25" customHeight="1" x14ac:dyDescent="0.15"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</row>
    <row r="129" spans="3:14" ht="11.25" customHeight="1" x14ac:dyDescent="0.15"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</row>
    <row r="130" spans="3:14" ht="11.25" customHeight="1" x14ac:dyDescent="0.15"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</row>
    <row r="131" spans="3:14" ht="11.25" customHeight="1" x14ac:dyDescent="0.15"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</row>
    <row r="132" spans="3:14" ht="11.25" customHeight="1" x14ac:dyDescent="0.15"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</row>
    <row r="133" spans="3:14" ht="11.25" customHeight="1" x14ac:dyDescent="0.15"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</row>
    <row r="134" spans="3:14" ht="11.25" customHeight="1" x14ac:dyDescent="0.15"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</row>
    <row r="135" spans="3:14" ht="11.25" customHeight="1" x14ac:dyDescent="0.15"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</row>
    <row r="136" spans="3:14" ht="11.25" customHeight="1" x14ac:dyDescent="0.15"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</row>
    <row r="137" spans="3:14" ht="11.25" customHeight="1" x14ac:dyDescent="0.15"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</row>
    <row r="138" spans="3:14" ht="11.25" customHeight="1" x14ac:dyDescent="0.15"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</row>
    <row r="139" spans="3:14" ht="11.25" customHeight="1" x14ac:dyDescent="0.15"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</row>
    <row r="140" spans="3:14" ht="11.25" customHeight="1" x14ac:dyDescent="0.15"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</row>
    <row r="141" spans="3:14" ht="11.25" customHeight="1" x14ac:dyDescent="0.15"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</row>
    <row r="142" spans="3:14" ht="11.25" customHeight="1" x14ac:dyDescent="0.15"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</row>
    <row r="143" spans="3:14" ht="11.25" customHeight="1" x14ac:dyDescent="0.15"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</row>
    <row r="144" spans="3:14" ht="11.25" customHeight="1" x14ac:dyDescent="0.15"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</row>
    <row r="145" spans="3:14" ht="11.25" customHeight="1" x14ac:dyDescent="0.15"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</row>
    <row r="146" spans="3:14" ht="11.25" customHeight="1" x14ac:dyDescent="0.15"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</row>
    <row r="147" spans="3:14" ht="11.25" customHeight="1" x14ac:dyDescent="0.15"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</row>
    <row r="148" spans="3:14" ht="11.25" customHeight="1" x14ac:dyDescent="0.15"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</row>
    <row r="149" spans="3:14" ht="11.25" customHeight="1" x14ac:dyDescent="0.15"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</row>
    <row r="150" spans="3:14" ht="11.25" customHeight="1" x14ac:dyDescent="0.15"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</row>
    <row r="151" spans="3:14" ht="11.25" customHeight="1" x14ac:dyDescent="0.15"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</row>
    <row r="152" spans="3:14" ht="11.25" customHeight="1" x14ac:dyDescent="0.15"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</row>
    <row r="153" spans="3:14" ht="11.25" customHeight="1" x14ac:dyDescent="0.15"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</row>
    <row r="154" spans="3:14" ht="11.25" customHeight="1" x14ac:dyDescent="0.15"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</row>
    <row r="155" spans="3:14" ht="11.25" customHeight="1" x14ac:dyDescent="0.15"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</row>
    <row r="156" spans="3:14" ht="11.25" customHeight="1" x14ac:dyDescent="0.15"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</row>
    <row r="157" spans="3:14" ht="11.25" customHeight="1" x14ac:dyDescent="0.15"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</row>
    <row r="158" spans="3:14" ht="11.25" customHeight="1" x14ac:dyDescent="0.15"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</row>
    <row r="159" spans="3:14" ht="11.25" customHeight="1" x14ac:dyDescent="0.15"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</row>
    <row r="160" spans="3:14" ht="11.25" customHeight="1" x14ac:dyDescent="0.15"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</row>
    <row r="161" spans="3:14" ht="11.25" customHeight="1" x14ac:dyDescent="0.15"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</row>
    <row r="162" spans="3:14" ht="11.25" customHeight="1" x14ac:dyDescent="0.15"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</row>
    <row r="163" spans="3:14" ht="11.25" customHeight="1" x14ac:dyDescent="0.15"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</row>
    <row r="164" spans="3:14" ht="11.25" customHeight="1" x14ac:dyDescent="0.15"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</row>
    <row r="165" spans="3:14" ht="11.25" customHeight="1" x14ac:dyDescent="0.15"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</row>
    <row r="166" spans="3:14" ht="11.25" customHeight="1" x14ac:dyDescent="0.15"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</row>
    <row r="167" spans="3:14" ht="11.25" customHeight="1" x14ac:dyDescent="0.15"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</row>
    <row r="168" spans="3:14" ht="11.25" customHeight="1" x14ac:dyDescent="0.15"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</row>
    <row r="169" spans="3:14" ht="11.25" customHeight="1" x14ac:dyDescent="0.15"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</row>
    <row r="170" spans="3:14" ht="11.25" customHeight="1" x14ac:dyDescent="0.15"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</row>
    <row r="171" spans="3:14" ht="11.25" customHeight="1" x14ac:dyDescent="0.15"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</row>
    <row r="172" spans="3:14" ht="11.25" customHeight="1" x14ac:dyDescent="0.15"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</row>
    <row r="173" spans="3:14" ht="11.25" customHeight="1" x14ac:dyDescent="0.15"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</row>
    <row r="174" spans="3:14" ht="11.25" customHeight="1" x14ac:dyDescent="0.15"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</row>
    <row r="175" spans="3:14" ht="11.25" customHeight="1" x14ac:dyDescent="0.15"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</row>
    <row r="176" spans="3:14" ht="11.25" customHeight="1" x14ac:dyDescent="0.15"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</row>
    <row r="177" spans="3:14" ht="11.25" customHeight="1" x14ac:dyDescent="0.15"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</row>
    <row r="178" spans="3:14" ht="11.25" customHeight="1" x14ac:dyDescent="0.15"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</row>
    <row r="179" spans="3:14" ht="11.25" customHeight="1" x14ac:dyDescent="0.15"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</row>
    <row r="180" spans="3:14" ht="11.25" customHeight="1" x14ac:dyDescent="0.15"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</row>
    <row r="181" spans="3:14" ht="11.25" customHeight="1" x14ac:dyDescent="0.15"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</row>
    <row r="182" spans="3:14" ht="11.25" customHeight="1" x14ac:dyDescent="0.15"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</row>
    <row r="183" spans="3:14" ht="11.25" customHeight="1" x14ac:dyDescent="0.15"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</row>
    <row r="184" spans="3:14" ht="11.25" customHeight="1" x14ac:dyDescent="0.15"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</row>
    <row r="185" spans="3:14" ht="11.25" customHeight="1" x14ac:dyDescent="0.15"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</row>
    <row r="186" spans="3:14" ht="11.25" customHeight="1" x14ac:dyDescent="0.15"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</row>
    <row r="187" spans="3:14" ht="11.25" customHeight="1" x14ac:dyDescent="0.15"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</row>
    <row r="188" spans="3:14" ht="11.25" customHeight="1" x14ac:dyDescent="0.15"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</row>
    <row r="189" spans="3:14" ht="11.25" customHeight="1" x14ac:dyDescent="0.15"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</row>
    <row r="190" spans="3:14" ht="11.25" customHeight="1" x14ac:dyDescent="0.15"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</row>
    <row r="191" spans="3:14" ht="11.25" customHeight="1" x14ac:dyDescent="0.15"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</row>
    <row r="192" spans="3:14" ht="11.25" customHeight="1" x14ac:dyDescent="0.15"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</row>
    <row r="193" spans="3:14" ht="11.25" customHeight="1" x14ac:dyDescent="0.15"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</row>
    <row r="194" spans="3:14" ht="11.25" customHeight="1" x14ac:dyDescent="0.15"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</row>
    <row r="195" spans="3:14" ht="11.25" customHeight="1" x14ac:dyDescent="0.15"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</row>
    <row r="196" spans="3:14" ht="11.25" customHeight="1" x14ac:dyDescent="0.15"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</row>
    <row r="197" spans="3:14" ht="11.25" customHeight="1" x14ac:dyDescent="0.15"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</row>
    <row r="198" spans="3:14" ht="11.25" customHeight="1" x14ac:dyDescent="0.15"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</row>
    <row r="199" spans="3:14" ht="11.25" customHeight="1" x14ac:dyDescent="0.15"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</row>
    <row r="200" spans="3:14" ht="11.25" customHeight="1" x14ac:dyDescent="0.15"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</row>
    <row r="201" spans="3:14" ht="11.25" customHeight="1" x14ac:dyDescent="0.15"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</row>
    <row r="202" spans="3:14" ht="11.25" customHeight="1" x14ac:dyDescent="0.15"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</row>
    <row r="203" spans="3:14" ht="11.25" customHeight="1" x14ac:dyDescent="0.15"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</row>
    <row r="204" spans="3:14" ht="11.25" customHeight="1" x14ac:dyDescent="0.15"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</row>
    <row r="205" spans="3:14" ht="11.25" customHeight="1" x14ac:dyDescent="0.15"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</row>
    <row r="206" spans="3:14" ht="11.25" customHeight="1" x14ac:dyDescent="0.15"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</row>
    <row r="207" spans="3:14" ht="11.25" customHeight="1" x14ac:dyDescent="0.15"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</row>
    <row r="208" spans="3:14" ht="11.25" customHeight="1" x14ac:dyDescent="0.15"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</row>
    <row r="209" spans="3:14" ht="11.25" customHeight="1" x14ac:dyDescent="0.15"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</row>
    <row r="210" spans="3:14" ht="11.25" customHeight="1" x14ac:dyDescent="0.15"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</row>
    <row r="211" spans="3:14" ht="11.25" customHeight="1" x14ac:dyDescent="0.15"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</row>
    <row r="212" spans="3:14" ht="11.25" customHeight="1" x14ac:dyDescent="0.15"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</row>
    <row r="213" spans="3:14" ht="11.25" customHeight="1" x14ac:dyDescent="0.15"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</row>
    <row r="214" spans="3:14" ht="11.25" customHeight="1" x14ac:dyDescent="0.15"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</row>
    <row r="215" spans="3:14" ht="11.25" customHeight="1" x14ac:dyDescent="0.15"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</row>
    <row r="216" spans="3:14" ht="11.25" customHeight="1" x14ac:dyDescent="0.15"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</row>
    <row r="217" spans="3:14" ht="11.25" customHeight="1" x14ac:dyDescent="0.15"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</row>
    <row r="218" spans="3:14" ht="11.25" customHeight="1" x14ac:dyDescent="0.15"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</row>
    <row r="219" spans="3:14" ht="11.25" customHeight="1" x14ac:dyDescent="0.15"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</row>
    <row r="220" spans="3:14" ht="11.25" customHeight="1" x14ac:dyDescent="0.15"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</row>
    <row r="221" spans="3:14" ht="11.25" customHeight="1" x14ac:dyDescent="0.15"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</row>
    <row r="222" spans="3:14" ht="11.25" customHeight="1" x14ac:dyDescent="0.15"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</row>
    <row r="223" spans="3:14" ht="11.25" customHeight="1" x14ac:dyDescent="0.15"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</row>
    <row r="224" spans="3:14" ht="11.25" customHeight="1" x14ac:dyDescent="0.15"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</row>
    <row r="225" spans="3:14" ht="11.25" customHeight="1" x14ac:dyDescent="0.15"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</row>
    <row r="226" spans="3:14" ht="11.25" customHeight="1" x14ac:dyDescent="0.15"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</row>
    <row r="227" spans="3:14" ht="11.25" customHeight="1" x14ac:dyDescent="0.15"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</row>
    <row r="228" spans="3:14" ht="11.25" customHeight="1" x14ac:dyDescent="0.15"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</row>
  </sheetData>
  <mergeCells count="21">
    <mergeCell ref="B80:D80"/>
    <mergeCell ref="B75:D75"/>
    <mergeCell ref="B77:D77"/>
    <mergeCell ref="B78:D78"/>
    <mergeCell ref="B79:D79"/>
    <mergeCell ref="A4:R4"/>
    <mergeCell ref="A5:R5"/>
    <mergeCell ref="B53:D53"/>
    <mergeCell ref="B58:D58"/>
    <mergeCell ref="B59:D59"/>
    <mergeCell ref="B39:D39"/>
    <mergeCell ref="B52:D52"/>
    <mergeCell ref="B8:D9"/>
    <mergeCell ref="E8:P8"/>
    <mergeCell ref="B10:D10"/>
    <mergeCell ref="B29:D29"/>
    <mergeCell ref="B31:D31"/>
    <mergeCell ref="B40:D40"/>
    <mergeCell ref="B44:D44"/>
    <mergeCell ref="B49:D49"/>
    <mergeCell ref="B50:D50"/>
  </mergeCells>
  <phoneticPr fontId="26" type="noConversion"/>
  <pageMargins left="0.31496062992125984" right="0.31496062992125984" top="0.74803149606299213" bottom="0.74803149606299213" header="0.31496062992125984" footer="0.31496062992125984"/>
  <pageSetup paperSize="5" orientation="landscape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6"/>
  <sheetViews>
    <sheetView workbookViewId="0">
      <selection activeCell="O30" sqref="O30"/>
    </sheetView>
  </sheetViews>
  <sheetFormatPr defaultColWidth="9.140625" defaultRowHeight="12" x14ac:dyDescent="0.2"/>
  <cols>
    <col min="1" max="1" width="9" style="2" customWidth="1"/>
    <col min="2" max="2" width="28" style="2" customWidth="1"/>
    <col min="3" max="3" width="10.7109375" style="2" bestFit="1" customWidth="1"/>
    <col min="4" max="14" width="9.140625" style="2"/>
    <col min="15" max="15" width="16.7109375" style="2" customWidth="1"/>
    <col min="16" max="16" width="15" style="2" customWidth="1"/>
    <col min="17" max="16384" width="9.140625" style="2"/>
  </cols>
  <sheetData>
    <row r="1" spans="1:16" x14ac:dyDescent="0.2">
      <c r="A1" s="2" t="s">
        <v>11</v>
      </c>
    </row>
    <row r="2" spans="1:16" x14ac:dyDescent="0.2">
      <c r="A2" s="2" t="s">
        <v>29</v>
      </c>
      <c r="O2" s="2" t="s">
        <v>402</v>
      </c>
    </row>
    <row r="4" spans="1:16" x14ac:dyDescent="0.2">
      <c r="A4" s="527" t="s">
        <v>403</v>
      </c>
      <c r="B4" s="527"/>
      <c r="C4" s="527"/>
      <c r="D4" s="527"/>
      <c r="E4" s="527"/>
      <c r="F4" s="527"/>
      <c r="G4" s="527"/>
      <c r="H4" s="527"/>
      <c r="I4" s="527"/>
      <c r="J4" s="527"/>
      <c r="K4" s="527"/>
      <c r="L4" s="527"/>
      <c r="M4" s="527"/>
      <c r="N4" s="527"/>
      <c r="O4" s="527"/>
      <c r="P4" s="527"/>
    </row>
    <row r="5" spans="1:16" x14ac:dyDescent="0.2">
      <c r="A5" s="527" t="s">
        <v>482</v>
      </c>
      <c r="B5" s="527"/>
      <c r="C5" s="527"/>
      <c r="D5" s="527"/>
      <c r="E5" s="527"/>
      <c r="F5" s="527"/>
      <c r="G5" s="527"/>
      <c r="H5" s="527"/>
      <c r="I5" s="527"/>
      <c r="J5" s="527"/>
      <c r="K5" s="527"/>
      <c r="L5" s="527"/>
      <c r="M5" s="527"/>
      <c r="N5" s="527"/>
      <c r="O5" s="527"/>
      <c r="P5" s="527"/>
    </row>
    <row r="7" spans="1:16" x14ac:dyDescent="0.2">
      <c r="A7" s="2" t="s">
        <v>5</v>
      </c>
    </row>
    <row r="8" spans="1:16" ht="20.25" customHeight="1" x14ac:dyDescent="0.2">
      <c r="A8" s="76" t="s">
        <v>199</v>
      </c>
      <c r="B8" s="76" t="s">
        <v>10</v>
      </c>
      <c r="C8" s="524" t="s">
        <v>200</v>
      </c>
      <c r="D8" s="524"/>
      <c r="E8" s="524"/>
      <c r="F8" s="524"/>
      <c r="G8" s="524"/>
      <c r="H8" s="524"/>
      <c r="I8" s="524"/>
      <c r="J8" s="524"/>
      <c r="K8" s="524"/>
      <c r="L8" s="524"/>
      <c r="M8" s="524"/>
      <c r="N8" s="524"/>
      <c r="O8" s="76" t="s">
        <v>4</v>
      </c>
      <c r="P8" s="76" t="s">
        <v>292</v>
      </c>
    </row>
    <row r="9" spans="1:16" x14ac:dyDescent="0.2">
      <c r="A9" s="57" t="s">
        <v>202</v>
      </c>
      <c r="B9" s="57"/>
      <c r="C9" s="75">
        <v>1</v>
      </c>
      <c r="D9" s="75">
        <v>2</v>
      </c>
      <c r="E9" s="75">
        <v>3</v>
      </c>
      <c r="F9" s="75">
        <v>4</v>
      </c>
      <c r="G9" s="75">
        <v>5</v>
      </c>
      <c r="H9" s="75">
        <v>6</v>
      </c>
      <c r="I9" s="75">
        <v>7</v>
      </c>
      <c r="J9" s="75">
        <v>8</v>
      </c>
      <c r="K9" s="75">
        <v>9</v>
      </c>
      <c r="L9" s="75">
        <v>10</v>
      </c>
      <c r="M9" s="75">
        <v>11</v>
      </c>
      <c r="N9" s="75">
        <v>12</v>
      </c>
      <c r="O9" s="57">
        <v>2025</v>
      </c>
      <c r="P9" s="75" t="s">
        <v>404</v>
      </c>
    </row>
    <row r="10" spans="1:16" x14ac:dyDescent="0.2">
      <c r="A10" s="75">
        <v>1</v>
      </c>
      <c r="B10" s="75">
        <v>2</v>
      </c>
      <c r="C10" s="75">
        <v>3</v>
      </c>
      <c r="D10" s="75">
        <v>4</v>
      </c>
      <c r="E10" s="75">
        <v>5</v>
      </c>
      <c r="F10" s="75">
        <v>6</v>
      </c>
      <c r="G10" s="75">
        <v>7</v>
      </c>
      <c r="H10" s="75">
        <v>8</v>
      </c>
      <c r="I10" s="75">
        <v>9</v>
      </c>
      <c r="J10" s="75">
        <v>10</v>
      </c>
      <c r="K10" s="75">
        <v>11</v>
      </c>
      <c r="L10" s="75">
        <v>12</v>
      </c>
      <c r="M10" s="75">
        <v>13</v>
      </c>
      <c r="N10" s="75">
        <v>14</v>
      </c>
      <c r="O10" s="75">
        <v>15</v>
      </c>
      <c r="P10" s="75">
        <v>16</v>
      </c>
    </row>
    <row r="11" spans="1:16" x14ac:dyDescent="0.2">
      <c r="A11" s="57" t="s">
        <v>198</v>
      </c>
      <c r="B11" s="57" t="s">
        <v>406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</row>
    <row r="12" spans="1:16" x14ac:dyDescent="0.2">
      <c r="A12" s="57" t="s">
        <v>770</v>
      </c>
      <c r="B12" s="57" t="s">
        <v>28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>
        <f>SUM(C12:N12)</f>
        <v>0</v>
      </c>
      <c r="P12" s="75" t="s">
        <v>405</v>
      </c>
    </row>
    <row r="13" spans="1:16" x14ac:dyDescent="0.2">
      <c r="A13" s="57"/>
      <c r="B13" s="57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57"/>
    </row>
    <row r="14" spans="1:16" ht="21" customHeight="1" x14ac:dyDescent="0.2">
      <c r="A14" s="525" t="s">
        <v>399</v>
      </c>
      <c r="B14" s="526"/>
      <c r="C14" s="79">
        <f t="shared" ref="C14" si="0">SUM(C11:C13)</f>
        <v>0</v>
      </c>
      <c r="D14" s="79">
        <f t="shared" ref="D14" si="1">SUM(D11:D13)</f>
        <v>0</v>
      </c>
      <c r="E14" s="79">
        <f t="shared" ref="E14" si="2">SUM(E11:E13)</f>
        <v>0</v>
      </c>
      <c r="F14" s="79">
        <f t="shared" ref="F14" si="3">SUM(F11:F13)</f>
        <v>0</v>
      </c>
      <c r="G14" s="79">
        <f t="shared" ref="G14" si="4">SUM(G11:G13)</f>
        <v>0</v>
      </c>
      <c r="H14" s="79">
        <f t="shared" ref="H14" si="5">SUM(H11:H13)</f>
        <v>0</v>
      </c>
      <c r="I14" s="79">
        <f t="shared" ref="I14" si="6">SUM(I11:I13)</f>
        <v>0</v>
      </c>
      <c r="J14" s="79">
        <f t="shared" ref="J14" si="7">SUM(J11:J13)</f>
        <v>0</v>
      </c>
      <c r="K14" s="79">
        <f t="shared" ref="K14" si="8">SUM(K11:K13)</f>
        <v>0</v>
      </c>
      <c r="L14" s="79">
        <f t="shared" ref="L14" si="9">SUM(L11:L13)</f>
        <v>0</v>
      </c>
      <c r="M14" s="79">
        <f t="shared" ref="M14" si="10">SUM(M11:M13)</f>
        <v>0</v>
      </c>
      <c r="N14" s="79">
        <f t="shared" ref="N14:O14" si="11">SUM(N11:N13)</f>
        <v>0</v>
      </c>
      <c r="O14" s="79">
        <f t="shared" si="11"/>
        <v>0</v>
      </c>
      <c r="P14" s="77"/>
    </row>
    <row r="17" spans="3:8" x14ac:dyDescent="0.2">
      <c r="C17" s="56"/>
    </row>
    <row r="18" spans="3:8" x14ac:dyDescent="0.2">
      <c r="C18" s="56"/>
      <c r="H18" s="441"/>
    </row>
    <row r="19" spans="3:8" x14ac:dyDescent="0.2">
      <c r="C19" s="56"/>
    </row>
    <row r="20" spans="3:8" x14ac:dyDescent="0.2">
      <c r="C20" s="56"/>
    </row>
    <row r="21" spans="3:8" x14ac:dyDescent="0.2">
      <c r="C21" s="56"/>
    </row>
    <row r="22" spans="3:8" x14ac:dyDescent="0.2">
      <c r="C22" s="56"/>
    </row>
    <row r="23" spans="3:8" x14ac:dyDescent="0.2">
      <c r="C23" s="56"/>
    </row>
    <row r="24" spans="3:8" x14ac:dyDescent="0.2">
      <c r="C24" s="56"/>
    </row>
    <row r="25" spans="3:8" x14ac:dyDescent="0.2">
      <c r="C25" s="56"/>
    </row>
    <row r="26" spans="3:8" x14ac:dyDescent="0.2">
      <c r="C26" s="56"/>
    </row>
  </sheetData>
  <mergeCells count="4">
    <mergeCell ref="C8:N8"/>
    <mergeCell ref="A14:B14"/>
    <mergeCell ref="A4:P4"/>
    <mergeCell ref="A5:P5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84E6-21A6-430C-8467-23897F292251}">
  <sheetPr>
    <tabColor rgb="FFFF0000"/>
  </sheetPr>
  <dimension ref="A1:Z187"/>
  <sheetViews>
    <sheetView showGridLines="0" tabSelected="1" showWhiteSpace="0" view="pageBreakPreview" zoomScale="130" zoomScaleNormal="140" zoomScaleSheetLayoutView="130" zoomScalePageLayoutView="110" workbookViewId="0">
      <pane xSplit="1" ySplit="9" topLeftCell="H10" activePane="bottomRight" state="frozen"/>
      <selection pane="topRight" activeCell="B1" sqref="B1"/>
      <selection pane="bottomLeft" activeCell="A10" sqref="A10"/>
      <selection pane="bottomRight" activeCell="U126" sqref="U126"/>
    </sheetView>
  </sheetViews>
  <sheetFormatPr defaultColWidth="9.140625" defaultRowHeight="12.75" customHeight="1" x14ac:dyDescent="0.15"/>
  <cols>
    <col min="1" max="1" width="5.28515625" style="158" customWidth="1"/>
    <col min="2" max="2" width="2.85546875" style="203" customWidth="1"/>
    <col min="3" max="3" width="3.140625" style="158" customWidth="1"/>
    <col min="4" max="4" width="20.85546875" style="158" customWidth="1"/>
    <col min="5" max="16" width="9.5703125" style="158" customWidth="1"/>
    <col min="17" max="20" width="10.5703125" style="158" customWidth="1"/>
    <col min="21" max="21" width="14.140625" style="392" customWidth="1"/>
    <col min="22" max="22" width="10.42578125" style="158" bestFit="1" customWidth="1"/>
    <col min="23" max="25" width="9.140625" style="158"/>
    <col min="26" max="26" width="11.140625" style="158" customWidth="1"/>
    <col min="27" max="16384" width="9.140625" style="158"/>
  </cols>
  <sheetData>
    <row r="1" spans="1:21" s="153" customFormat="1" ht="12.75" customHeight="1" thickBot="1" x14ac:dyDescent="0.25">
      <c r="A1" s="267" t="s">
        <v>11</v>
      </c>
      <c r="B1" s="268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391"/>
    </row>
    <row r="2" spans="1:21" s="153" customFormat="1" ht="12.75" customHeight="1" thickBot="1" x14ac:dyDescent="0.25">
      <c r="A2" s="267" t="s">
        <v>689</v>
      </c>
      <c r="B2" s="268"/>
      <c r="C2" s="267"/>
      <c r="D2" s="267"/>
      <c r="E2" s="267"/>
      <c r="F2" s="267"/>
      <c r="G2" s="267"/>
      <c r="H2" s="267"/>
      <c r="I2" s="267"/>
      <c r="J2" s="267"/>
      <c r="K2" s="531"/>
      <c r="L2" s="532"/>
      <c r="M2" s="267"/>
      <c r="N2" s="532"/>
      <c r="O2" s="532"/>
      <c r="P2" s="533" t="s">
        <v>690</v>
      </c>
      <c r="Q2" s="534"/>
      <c r="R2" s="155"/>
      <c r="S2" s="155"/>
      <c r="T2" s="155"/>
      <c r="U2" s="391"/>
    </row>
    <row r="3" spans="1:21" s="153" customFormat="1" ht="12.75" customHeight="1" x14ac:dyDescent="0.2">
      <c r="A3" s="267" t="s">
        <v>691</v>
      </c>
      <c r="B3" s="268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155"/>
      <c r="R3" s="155"/>
      <c r="S3" s="155"/>
      <c r="T3" s="155"/>
      <c r="U3" s="391"/>
    </row>
    <row r="4" spans="1:21" s="153" customFormat="1" ht="12.75" customHeight="1" x14ac:dyDescent="0.2">
      <c r="A4" s="532" t="s">
        <v>421</v>
      </c>
      <c r="B4" s="532"/>
      <c r="C4" s="532"/>
      <c r="D4" s="532"/>
      <c r="E4" s="532"/>
      <c r="F4" s="532"/>
      <c r="G4" s="532"/>
      <c r="H4" s="532"/>
      <c r="I4" s="532"/>
      <c r="J4" s="532"/>
      <c r="K4" s="532"/>
      <c r="L4" s="532"/>
      <c r="M4" s="532"/>
      <c r="N4" s="532"/>
      <c r="O4" s="532"/>
      <c r="P4" s="532"/>
      <c r="Q4" s="532"/>
      <c r="R4" s="248"/>
      <c r="S4" s="248"/>
      <c r="T4" s="248"/>
      <c r="U4" s="391"/>
    </row>
    <row r="5" spans="1:21" s="153" customFormat="1" ht="12.75" customHeight="1" x14ac:dyDescent="0.2">
      <c r="A5" s="532" t="s">
        <v>771</v>
      </c>
      <c r="B5" s="532"/>
      <c r="C5" s="532"/>
      <c r="D5" s="532"/>
      <c r="E5" s="532"/>
      <c r="F5" s="532"/>
      <c r="G5" s="532"/>
      <c r="H5" s="532"/>
      <c r="I5" s="532"/>
      <c r="J5" s="532"/>
      <c r="K5" s="532"/>
      <c r="L5" s="532"/>
      <c r="M5" s="532"/>
      <c r="N5" s="532"/>
      <c r="O5" s="532"/>
      <c r="P5" s="532"/>
      <c r="Q5" s="532"/>
      <c r="R5" s="248"/>
      <c r="S5" s="425">
        <f>S64+S113+'P-10. Beban Umum &amp; Adm'!S25</f>
        <v>0</v>
      </c>
      <c r="T5" s="248"/>
      <c r="U5" s="391"/>
    </row>
    <row r="6" spans="1:21" s="153" customFormat="1" ht="7.5" customHeight="1" x14ac:dyDescent="0.2">
      <c r="A6" s="248"/>
      <c r="B6" s="248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391"/>
    </row>
    <row r="7" spans="1:21" s="153" customFormat="1" ht="12.75" customHeight="1" thickBot="1" x14ac:dyDescent="0.3">
      <c r="A7" s="269" t="s">
        <v>462</v>
      </c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535"/>
      <c r="Q7" s="535"/>
      <c r="R7" s="414"/>
      <c r="S7" s="414"/>
      <c r="T7" s="414"/>
      <c r="U7" s="391"/>
    </row>
    <row r="8" spans="1:21" ht="15.75" customHeight="1" thickTop="1" x14ac:dyDescent="0.15">
      <c r="A8" s="157" t="s">
        <v>199</v>
      </c>
      <c r="B8" s="536" t="s">
        <v>10</v>
      </c>
      <c r="C8" s="536"/>
      <c r="D8" s="536"/>
      <c r="E8" s="542" t="s">
        <v>200</v>
      </c>
      <c r="F8" s="543"/>
      <c r="G8" s="543"/>
      <c r="H8" s="543"/>
      <c r="I8" s="543"/>
      <c r="J8" s="543"/>
      <c r="K8" s="543"/>
      <c r="L8" s="543"/>
      <c r="M8" s="543"/>
      <c r="N8" s="543"/>
      <c r="O8" s="543"/>
      <c r="P8" s="543"/>
      <c r="Q8" s="249" t="s">
        <v>4</v>
      </c>
      <c r="R8" s="418" t="s">
        <v>434</v>
      </c>
      <c r="S8" s="418" t="s">
        <v>769</v>
      </c>
      <c r="T8" s="215"/>
    </row>
    <row r="9" spans="1:21" ht="14.25" customHeight="1" x14ac:dyDescent="0.15">
      <c r="A9" s="159" t="s">
        <v>202</v>
      </c>
      <c r="B9" s="537"/>
      <c r="C9" s="537"/>
      <c r="D9" s="537"/>
      <c r="E9" s="250">
        <v>1</v>
      </c>
      <c r="F9" s="250">
        <v>2</v>
      </c>
      <c r="G9" s="250">
        <v>3</v>
      </c>
      <c r="H9" s="250">
        <v>4</v>
      </c>
      <c r="I9" s="250">
        <v>5</v>
      </c>
      <c r="J9" s="250">
        <v>6</v>
      </c>
      <c r="K9" s="250">
        <v>7</v>
      </c>
      <c r="L9" s="250">
        <v>8</v>
      </c>
      <c r="M9" s="250">
        <v>9</v>
      </c>
      <c r="N9" s="250">
        <v>10</v>
      </c>
      <c r="O9" s="250">
        <v>11</v>
      </c>
      <c r="P9" s="250">
        <v>12</v>
      </c>
      <c r="Q9" s="160">
        <v>2026</v>
      </c>
      <c r="R9" s="419">
        <v>2026</v>
      </c>
      <c r="S9" s="419">
        <v>2026</v>
      </c>
      <c r="T9" s="415"/>
    </row>
    <row r="10" spans="1:21" ht="15.75" customHeight="1" x14ac:dyDescent="0.15">
      <c r="A10" s="161">
        <v>1</v>
      </c>
      <c r="B10" s="538">
        <v>2</v>
      </c>
      <c r="C10" s="538"/>
      <c r="D10" s="538"/>
      <c r="E10" s="251">
        <v>3</v>
      </c>
      <c r="F10" s="251">
        <v>4</v>
      </c>
      <c r="G10" s="251">
        <v>5</v>
      </c>
      <c r="H10" s="251">
        <v>6</v>
      </c>
      <c r="I10" s="251">
        <v>7</v>
      </c>
      <c r="J10" s="251">
        <v>8</v>
      </c>
      <c r="K10" s="251">
        <v>9</v>
      </c>
      <c r="L10" s="251">
        <v>10</v>
      </c>
      <c r="M10" s="251">
        <v>11</v>
      </c>
      <c r="N10" s="251">
        <v>12</v>
      </c>
      <c r="O10" s="251">
        <v>13</v>
      </c>
      <c r="P10" s="251">
        <v>14</v>
      </c>
      <c r="Q10" s="251">
        <v>16</v>
      </c>
      <c r="R10" s="250"/>
      <c r="S10" s="250"/>
      <c r="T10" s="215"/>
    </row>
    <row r="11" spans="1:21" ht="15.75" customHeight="1" x14ac:dyDescent="0.15">
      <c r="A11" s="163" t="s">
        <v>187</v>
      </c>
      <c r="B11" s="164" t="s">
        <v>491</v>
      </c>
      <c r="C11" s="165"/>
      <c r="D11" s="166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8">
        <f>SUM(F11:P11)</f>
        <v>0</v>
      </c>
      <c r="R11" s="168"/>
      <c r="S11" s="168">
        <f>Q11-R11</f>
        <v>0</v>
      </c>
      <c r="T11" s="274"/>
    </row>
    <row r="12" spans="1:21" ht="15.75" customHeight="1" x14ac:dyDescent="0.15">
      <c r="A12" s="170" t="s">
        <v>204</v>
      </c>
      <c r="B12" s="242" t="s">
        <v>492</v>
      </c>
      <c r="C12" s="171"/>
      <c r="D12" s="172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>
        <f t="shared" ref="Q12:Q27" si="0">SUM(E12:P12)</f>
        <v>0</v>
      </c>
      <c r="R12" s="168"/>
      <c r="S12" s="168">
        <f>Q12-R12</f>
        <v>0</v>
      </c>
      <c r="T12" s="274"/>
    </row>
    <row r="13" spans="1:21" ht="15.75" customHeight="1" x14ac:dyDescent="0.15">
      <c r="A13" s="170" t="s">
        <v>206</v>
      </c>
      <c r="B13" s="242" t="s">
        <v>207</v>
      </c>
      <c r="C13" s="171"/>
      <c r="D13" s="172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>
        <f t="shared" si="0"/>
        <v>0</v>
      </c>
      <c r="R13" s="168"/>
      <c r="S13" s="168">
        <f t="shared" ref="S13:S35" si="1">Q13-R13</f>
        <v>0</v>
      </c>
      <c r="T13" s="274"/>
    </row>
    <row r="14" spans="1:21" ht="15.75" customHeight="1" x14ac:dyDescent="0.15">
      <c r="A14" s="170"/>
      <c r="B14" s="242" t="s">
        <v>692</v>
      </c>
      <c r="C14" s="171"/>
      <c r="D14" s="172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>
        <f t="shared" si="0"/>
        <v>0</v>
      </c>
      <c r="R14" s="168"/>
      <c r="S14" s="168">
        <f t="shared" si="1"/>
        <v>0</v>
      </c>
      <c r="T14" s="274"/>
    </row>
    <row r="15" spans="1:21" ht="15.75" customHeight="1" x14ac:dyDescent="0.15">
      <c r="A15" s="170"/>
      <c r="B15" s="242" t="s">
        <v>693</v>
      </c>
      <c r="C15" s="171"/>
      <c r="D15" s="172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>
        <f t="shared" si="0"/>
        <v>0</v>
      </c>
      <c r="R15" s="168"/>
      <c r="S15" s="168">
        <f t="shared" si="1"/>
        <v>0</v>
      </c>
      <c r="T15" s="274"/>
    </row>
    <row r="16" spans="1:21" ht="15.75" customHeight="1" x14ac:dyDescent="0.15">
      <c r="A16" s="170" t="s">
        <v>209</v>
      </c>
      <c r="B16" s="242" t="s">
        <v>694</v>
      </c>
      <c r="C16" s="171"/>
      <c r="D16" s="172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>
        <f t="shared" si="0"/>
        <v>0</v>
      </c>
      <c r="R16" s="168"/>
      <c r="S16" s="168">
        <f t="shared" si="1"/>
        <v>0</v>
      </c>
      <c r="T16" s="274"/>
    </row>
    <row r="17" spans="1:26" ht="15.75" customHeight="1" x14ac:dyDescent="0.15">
      <c r="A17" s="170"/>
      <c r="B17" s="242" t="s">
        <v>695</v>
      </c>
      <c r="C17" s="171"/>
      <c r="D17" s="172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>
        <f t="shared" si="0"/>
        <v>0</v>
      </c>
      <c r="R17" s="168"/>
      <c r="S17" s="168">
        <f t="shared" si="1"/>
        <v>0</v>
      </c>
      <c r="T17" s="274"/>
    </row>
    <row r="18" spans="1:26" ht="15.75" customHeight="1" x14ac:dyDescent="0.15">
      <c r="A18" s="170"/>
      <c r="B18" s="242" t="s">
        <v>696</v>
      </c>
      <c r="C18" s="171"/>
      <c r="D18" s="172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>
        <f t="shared" si="0"/>
        <v>0</v>
      </c>
      <c r="R18" s="168"/>
      <c r="S18" s="168">
        <f t="shared" si="1"/>
        <v>0</v>
      </c>
      <c r="T18" s="274"/>
    </row>
    <row r="19" spans="1:26" ht="15.75" customHeight="1" x14ac:dyDescent="0.15">
      <c r="A19" s="170"/>
      <c r="B19" s="242" t="s">
        <v>697</v>
      </c>
      <c r="C19" s="171"/>
      <c r="D19" s="172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>
        <f t="shared" si="0"/>
        <v>0</v>
      </c>
      <c r="R19" s="168"/>
      <c r="S19" s="168">
        <f t="shared" si="1"/>
        <v>0</v>
      </c>
      <c r="T19" s="274"/>
    </row>
    <row r="20" spans="1:26" ht="15.75" customHeight="1" x14ac:dyDescent="0.15">
      <c r="A20" s="170"/>
      <c r="B20" s="242" t="s">
        <v>698</v>
      </c>
      <c r="C20" s="171"/>
      <c r="D20" s="172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>
        <f t="shared" si="0"/>
        <v>0</v>
      </c>
      <c r="R20" s="168"/>
      <c r="S20" s="168">
        <f t="shared" si="1"/>
        <v>0</v>
      </c>
      <c r="T20" s="274"/>
    </row>
    <row r="21" spans="1:26" ht="15.75" customHeight="1" x14ac:dyDescent="0.15">
      <c r="A21" s="170"/>
      <c r="B21" s="242" t="s">
        <v>699</v>
      </c>
      <c r="C21" s="171"/>
      <c r="D21" s="172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>
        <f t="shared" si="0"/>
        <v>0</v>
      </c>
      <c r="R21" s="168"/>
      <c r="S21" s="168">
        <f t="shared" si="1"/>
        <v>0</v>
      </c>
      <c r="T21" s="274"/>
    </row>
    <row r="22" spans="1:26" ht="15.75" customHeight="1" x14ac:dyDescent="0.15">
      <c r="A22" s="170" t="s">
        <v>212</v>
      </c>
      <c r="B22" s="242" t="s">
        <v>485</v>
      </c>
      <c r="C22" s="171"/>
      <c r="D22" s="172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>
        <f t="shared" si="0"/>
        <v>0</v>
      </c>
      <c r="R22" s="168"/>
      <c r="S22" s="168">
        <f t="shared" si="1"/>
        <v>0</v>
      </c>
      <c r="T22" s="274"/>
    </row>
    <row r="23" spans="1:26" ht="15.75" customHeight="1" x14ac:dyDescent="0.15">
      <c r="A23" s="170" t="s">
        <v>215</v>
      </c>
      <c r="B23" s="242" t="s">
        <v>700</v>
      </c>
      <c r="C23" s="171"/>
      <c r="D23" s="172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>
        <f t="shared" si="0"/>
        <v>0</v>
      </c>
      <c r="R23" s="168"/>
      <c r="S23" s="168">
        <f t="shared" si="1"/>
        <v>0</v>
      </c>
      <c r="T23" s="274"/>
    </row>
    <row r="24" spans="1:26" ht="15.75" customHeight="1" x14ac:dyDescent="0.15">
      <c r="A24" s="170" t="s">
        <v>488</v>
      </c>
      <c r="B24" s="242" t="s">
        <v>701</v>
      </c>
      <c r="C24" s="171"/>
      <c r="D24" s="172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>
        <f t="shared" si="0"/>
        <v>0</v>
      </c>
      <c r="R24" s="168"/>
      <c r="S24" s="168">
        <f t="shared" si="1"/>
        <v>0</v>
      </c>
      <c r="T24" s="274"/>
    </row>
    <row r="25" spans="1:26" ht="15.75" customHeight="1" x14ac:dyDescent="0.15">
      <c r="A25" s="170" t="s">
        <v>224</v>
      </c>
      <c r="B25" s="242" t="s">
        <v>210</v>
      </c>
      <c r="C25" s="171"/>
      <c r="D25" s="172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>
        <f t="shared" si="0"/>
        <v>0</v>
      </c>
      <c r="R25" s="168"/>
      <c r="S25" s="168">
        <f t="shared" si="1"/>
        <v>0</v>
      </c>
      <c r="T25" s="274"/>
    </row>
    <row r="26" spans="1:26" ht="15.75" customHeight="1" x14ac:dyDescent="0.15">
      <c r="A26" s="170"/>
      <c r="B26" s="242"/>
      <c r="C26" s="171" t="s">
        <v>422</v>
      </c>
      <c r="D26" s="172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>
        <f t="shared" si="0"/>
        <v>0</v>
      </c>
      <c r="S26" s="168"/>
      <c r="T26" s="274"/>
      <c r="U26" s="392" t="s">
        <v>702</v>
      </c>
    </row>
    <row r="27" spans="1:26" ht="15.75" customHeight="1" x14ac:dyDescent="0.15">
      <c r="A27" s="170"/>
      <c r="B27" s="242"/>
      <c r="C27" s="171" t="s">
        <v>423</v>
      </c>
      <c r="D27" s="172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>
        <f t="shared" si="0"/>
        <v>0</v>
      </c>
      <c r="R27" s="168"/>
      <c r="S27" s="168"/>
      <c r="T27" s="420"/>
      <c r="U27" s="417"/>
      <c r="Z27" s="178">
        <f>Q28-S28</f>
        <v>0</v>
      </c>
    </row>
    <row r="28" spans="1:26" s="253" customFormat="1" ht="15.75" customHeight="1" x14ac:dyDescent="0.15">
      <c r="A28" s="197"/>
      <c r="B28" s="198"/>
      <c r="C28" s="192" t="s">
        <v>435</v>
      </c>
      <c r="D28" s="193"/>
      <c r="E28" s="177">
        <f>SUM(E26:E27)</f>
        <v>0</v>
      </c>
      <c r="F28" s="177">
        <f t="shared" ref="F28:P28" si="2">SUM(F26:F27)</f>
        <v>0</v>
      </c>
      <c r="G28" s="177">
        <f t="shared" si="2"/>
        <v>0</v>
      </c>
      <c r="H28" s="177">
        <f t="shared" si="2"/>
        <v>0</v>
      </c>
      <c r="I28" s="177">
        <f t="shared" si="2"/>
        <v>0</v>
      </c>
      <c r="J28" s="177">
        <f t="shared" si="2"/>
        <v>0</v>
      </c>
      <c r="K28" s="177">
        <f t="shared" si="2"/>
        <v>0</v>
      </c>
      <c r="L28" s="177">
        <f t="shared" si="2"/>
        <v>0</v>
      </c>
      <c r="M28" s="177">
        <f t="shared" si="2"/>
        <v>0</v>
      </c>
      <c r="N28" s="177">
        <f t="shared" si="2"/>
        <v>0</v>
      </c>
      <c r="O28" s="177">
        <f t="shared" si="2"/>
        <v>0</v>
      </c>
      <c r="P28" s="177">
        <f t="shared" si="2"/>
        <v>0</v>
      </c>
      <c r="Q28" s="177">
        <f>SUM(Q26:Q27)</f>
        <v>0</v>
      </c>
      <c r="R28" s="168">
        <f>'RINCIAN B. LANGSUNG USAHA'!Q18</f>
        <v>0</v>
      </c>
      <c r="S28" s="168">
        <f t="shared" si="1"/>
        <v>0</v>
      </c>
      <c r="T28" s="274"/>
      <c r="U28" s="393"/>
      <c r="V28" s="435"/>
      <c r="Z28" s="178">
        <f t="shared" ref="Z28:Z91" si="3">Q29-S29</f>
        <v>0</v>
      </c>
    </row>
    <row r="29" spans="1:26" ht="15.75" customHeight="1" x14ac:dyDescent="0.15">
      <c r="A29" s="170" t="s">
        <v>489</v>
      </c>
      <c r="B29" s="242" t="s">
        <v>213</v>
      </c>
      <c r="C29" s="171"/>
      <c r="D29" s="172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>
        <f>SUM(E29:P29)</f>
        <v>0</v>
      </c>
      <c r="R29" s="168"/>
      <c r="S29" s="168">
        <f t="shared" si="1"/>
        <v>0</v>
      </c>
      <c r="T29" s="274"/>
      <c r="Z29" s="178">
        <f t="shared" si="3"/>
        <v>0</v>
      </c>
    </row>
    <row r="30" spans="1:26" ht="15.75" customHeight="1" x14ac:dyDescent="0.15">
      <c r="A30" s="170"/>
      <c r="B30" s="242"/>
      <c r="C30" s="171" t="s">
        <v>436</v>
      </c>
      <c r="D30" s="172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>
        <f>SUM(E30:P30)</f>
        <v>0</v>
      </c>
      <c r="R30" s="168"/>
      <c r="S30" s="168"/>
      <c r="T30" s="274"/>
      <c r="Z30" s="178">
        <f t="shared" si="3"/>
        <v>0</v>
      </c>
    </row>
    <row r="31" spans="1:26" ht="15.75" customHeight="1" x14ac:dyDescent="0.15">
      <c r="A31" s="170"/>
      <c r="B31" s="242"/>
      <c r="C31" s="171" t="s">
        <v>437</v>
      </c>
      <c r="D31" s="172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>
        <f>SUM(E31:P31)</f>
        <v>0</v>
      </c>
      <c r="R31" s="168"/>
      <c r="S31" s="168"/>
      <c r="T31" s="274"/>
      <c r="Z31" s="178">
        <f t="shared" si="3"/>
        <v>0</v>
      </c>
    </row>
    <row r="32" spans="1:26" ht="15.75" customHeight="1" x14ac:dyDescent="0.15">
      <c r="A32" s="170"/>
      <c r="B32" s="242"/>
      <c r="C32" s="171" t="s">
        <v>438</v>
      </c>
      <c r="D32" s="172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>
        <f>SUM(E32:P32)</f>
        <v>0</v>
      </c>
      <c r="R32" s="168"/>
      <c r="S32" s="168"/>
      <c r="T32" s="274"/>
      <c r="Z32" s="178">
        <f t="shared" si="3"/>
        <v>0</v>
      </c>
    </row>
    <row r="33" spans="1:26" s="253" customFormat="1" ht="15.75" customHeight="1" x14ac:dyDescent="0.15">
      <c r="A33" s="197"/>
      <c r="B33" s="198"/>
      <c r="C33" s="192" t="s">
        <v>439</v>
      </c>
      <c r="D33" s="193"/>
      <c r="E33" s="177">
        <f>SUM(E30:E32)</f>
        <v>0</v>
      </c>
      <c r="F33" s="177">
        <f t="shared" ref="F33:P33" si="4">SUM(F30:F32)</f>
        <v>0</v>
      </c>
      <c r="G33" s="177">
        <f t="shared" si="4"/>
        <v>0</v>
      </c>
      <c r="H33" s="177">
        <f t="shared" si="4"/>
        <v>0</v>
      </c>
      <c r="I33" s="177">
        <f t="shared" si="4"/>
        <v>0</v>
      </c>
      <c r="J33" s="177">
        <f t="shared" si="4"/>
        <v>0</v>
      </c>
      <c r="K33" s="177">
        <f t="shared" si="4"/>
        <v>0</v>
      </c>
      <c r="L33" s="177">
        <f t="shared" si="4"/>
        <v>0</v>
      </c>
      <c r="M33" s="177">
        <f t="shared" si="4"/>
        <v>0</v>
      </c>
      <c r="N33" s="177">
        <f t="shared" si="4"/>
        <v>0</v>
      </c>
      <c r="O33" s="177">
        <f t="shared" si="4"/>
        <v>0</v>
      </c>
      <c r="P33" s="177">
        <f t="shared" si="4"/>
        <v>0</v>
      </c>
      <c r="Q33" s="177">
        <f>SUM(Q30:Q32)</f>
        <v>0</v>
      </c>
      <c r="R33" s="177">
        <f>'RINCIAN B. LANGSUNG USAHA'!Q19</f>
        <v>0</v>
      </c>
      <c r="S33" s="168">
        <f t="shared" si="1"/>
        <v>0</v>
      </c>
      <c r="T33" s="274"/>
      <c r="U33" s="393"/>
      <c r="Z33" s="178">
        <f t="shared" si="3"/>
        <v>0</v>
      </c>
    </row>
    <row r="34" spans="1:26" ht="15.75" customHeight="1" x14ac:dyDescent="0.15">
      <c r="A34" s="170" t="s">
        <v>490</v>
      </c>
      <c r="B34" s="176" t="s">
        <v>424</v>
      </c>
      <c r="C34" s="171"/>
      <c r="D34" s="172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>
        <f>SUM(E34:P34)</f>
        <v>0</v>
      </c>
      <c r="R34" s="168">
        <f>'RINCIAN B. LANGSUNG USAHA'!Q20</f>
        <v>0</v>
      </c>
      <c r="S34" s="168">
        <f t="shared" si="1"/>
        <v>0</v>
      </c>
      <c r="T34" s="274"/>
      <c r="Z34" s="178">
        <f t="shared" si="3"/>
        <v>0</v>
      </c>
    </row>
    <row r="35" spans="1:26" ht="15.75" customHeight="1" x14ac:dyDescent="0.15">
      <c r="A35" s="170" t="s">
        <v>227</v>
      </c>
      <c r="B35" s="176" t="s">
        <v>703</v>
      </c>
      <c r="C35" s="171"/>
      <c r="D35" s="172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>
        <f>SUM(E35:P35)</f>
        <v>0</v>
      </c>
      <c r="R35" s="168">
        <f>'RINCIAN B. LANGSUNG USAHA'!Q21</f>
        <v>0</v>
      </c>
      <c r="S35" s="168">
        <f t="shared" si="1"/>
        <v>0</v>
      </c>
      <c r="T35" s="274"/>
      <c r="Z35" s="178">
        <f t="shared" si="3"/>
        <v>0</v>
      </c>
    </row>
    <row r="36" spans="1:26" ht="17.25" customHeight="1" x14ac:dyDescent="0.15">
      <c r="A36" s="179"/>
      <c r="B36" s="539" t="s">
        <v>704</v>
      </c>
      <c r="C36" s="540"/>
      <c r="D36" s="541"/>
      <c r="E36" s="212">
        <f>SUM(E13:E24)+E28+E33+E34+E35</f>
        <v>0</v>
      </c>
      <c r="F36" s="212">
        <f t="shared" ref="F36:P36" si="5">SUM(F13:F24)+F28+F33+F34+F35</f>
        <v>0</v>
      </c>
      <c r="G36" s="212">
        <f t="shared" si="5"/>
        <v>0</v>
      </c>
      <c r="H36" s="212">
        <f t="shared" si="5"/>
        <v>0</v>
      </c>
      <c r="I36" s="212">
        <f t="shared" si="5"/>
        <v>0</v>
      </c>
      <c r="J36" s="212">
        <f t="shared" si="5"/>
        <v>0</v>
      </c>
      <c r="K36" s="212">
        <f t="shared" si="5"/>
        <v>0</v>
      </c>
      <c r="L36" s="212">
        <f t="shared" si="5"/>
        <v>0</v>
      </c>
      <c r="M36" s="212">
        <f t="shared" si="5"/>
        <v>0</v>
      </c>
      <c r="N36" s="212">
        <f t="shared" si="5"/>
        <v>0</v>
      </c>
      <c r="O36" s="212">
        <f t="shared" si="5"/>
        <v>0</v>
      </c>
      <c r="P36" s="212">
        <f t="shared" si="5"/>
        <v>0</v>
      </c>
      <c r="Q36" s="212">
        <f>SUM(E36:P36)</f>
        <v>0</v>
      </c>
      <c r="R36" s="212">
        <f>SUM(R11:R35)</f>
        <v>0</v>
      </c>
      <c r="S36" s="212">
        <f>SUM(S11:S35)</f>
        <v>0</v>
      </c>
      <c r="T36" s="416">
        <f>'RINCIAN B. LANGSUNG USAHA'!Q22</f>
        <v>0</v>
      </c>
      <c r="Z36" s="178">
        <f t="shared" si="3"/>
        <v>0</v>
      </c>
    </row>
    <row r="37" spans="1:26" ht="15.75" customHeight="1" x14ac:dyDescent="0.15">
      <c r="A37" s="170" t="s">
        <v>238</v>
      </c>
      <c r="B37" s="242" t="s">
        <v>495</v>
      </c>
      <c r="C37" s="171"/>
      <c r="D37" s="172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274"/>
      <c r="Z37" s="178">
        <f t="shared" si="3"/>
        <v>0</v>
      </c>
    </row>
    <row r="38" spans="1:26" ht="15.75" customHeight="1" x14ac:dyDescent="0.15">
      <c r="A38" s="170" t="s">
        <v>496</v>
      </c>
      <c r="B38" s="242" t="s">
        <v>225</v>
      </c>
      <c r="C38" s="171"/>
      <c r="D38" s="172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>
        <f t="shared" ref="Q38:Q49" si="6">SUM(E38:P38)</f>
        <v>0</v>
      </c>
      <c r="R38" s="168">
        <f>'RINCIAN B. LANGSUNG USAHA'!Q24</f>
        <v>0</v>
      </c>
      <c r="S38" s="168">
        <f>Q38-R38</f>
        <v>0</v>
      </c>
      <c r="T38" s="274"/>
      <c r="U38" s="392" t="s">
        <v>705</v>
      </c>
      <c r="Z38" s="178">
        <f t="shared" si="3"/>
        <v>0</v>
      </c>
    </row>
    <row r="39" spans="1:26" ht="15.75" customHeight="1" x14ac:dyDescent="0.15">
      <c r="A39" s="170" t="s">
        <v>497</v>
      </c>
      <c r="B39" s="242" t="s">
        <v>228</v>
      </c>
      <c r="C39" s="171"/>
      <c r="D39" s="172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>
        <f t="shared" si="6"/>
        <v>0</v>
      </c>
      <c r="R39" s="168">
        <f>'RINCIAN B. LANGSUNG USAHA'!Q25</f>
        <v>0</v>
      </c>
      <c r="S39" s="168">
        <f t="shared" ref="S39:S43" si="7">Q39-R39</f>
        <v>0</v>
      </c>
      <c r="T39" s="274"/>
      <c r="Z39" s="178">
        <f t="shared" si="3"/>
        <v>0</v>
      </c>
    </row>
    <row r="40" spans="1:26" ht="15.75" customHeight="1" x14ac:dyDescent="0.15">
      <c r="A40" s="170" t="s">
        <v>498</v>
      </c>
      <c r="B40" s="242" t="s">
        <v>230</v>
      </c>
      <c r="C40" s="171"/>
      <c r="D40" s="172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>
        <f t="shared" si="6"/>
        <v>0</v>
      </c>
      <c r="R40" s="168">
        <f>'RINCIAN B. LANGSUNG USAHA'!Q26</f>
        <v>0</v>
      </c>
      <c r="S40" s="168">
        <f t="shared" si="7"/>
        <v>0</v>
      </c>
      <c r="T40" s="274"/>
      <c r="Z40" s="178">
        <f t="shared" si="3"/>
        <v>0</v>
      </c>
    </row>
    <row r="41" spans="1:26" ht="15.75" customHeight="1" x14ac:dyDescent="0.15">
      <c r="A41" s="170" t="s">
        <v>499</v>
      </c>
      <c r="B41" s="242" t="s">
        <v>232</v>
      </c>
      <c r="C41" s="171"/>
      <c r="D41" s="172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>
        <f t="shared" si="6"/>
        <v>0</v>
      </c>
      <c r="R41" s="168">
        <f>'RINCIAN B. LANGSUNG USAHA'!Q27</f>
        <v>0</v>
      </c>
      <c r="S41" s="168">
        <f t="shared" si="7"/>
        <v>0</v>
      </c>
      <c r="T41" s="274"/>
      <c r="Z41" s="178">
        <f t="shared" si="3"/>
        <v>0</v>
      </c>
    </row>
    <row r="42" spans="1:26" ht="15.75" customHeight="1" x14ac:dyDescent="0.15">
      <c r="A42" s="170" t="s">
        <v>500</v>
      </c>
      <c r="B42" s="242" t="s">
        <v>234</v>
      </c>
      <c r="C42" s="171"/>
      <c r="D42" s="172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>
        <f t="shared" si="6"/>
        <v>0</v>
      </c>
      <c r="R42" s="168">
        <f>'RINCIAN B. LANGSUNG USAHA'!Q28</f>
        <v>0</v>
      </c>
      <c r="S42" s="168">
        <f t="shared" si="7"/>
        <v>0</v>
      </c>
      <c r="T42" s="274"/>
      <c r="Z42" s="178">
        <f t="shared" si="3"/>
        <v>0</v>
      </c>
    </row>
    <row r="43" spans="1:26" ht="15.75" customHeight="1" x14ac:dyDescent="0.15">
      <c r="A43" s="170" t="s">
        <v>501</v>
      </c>
      <c r="B43" s="242" t="s">
        <v>236</v>
      </c>
      <c r="C43" s="171"/>
      <c r="D43" s="172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>
        <f t="shared" si="6"/>
        <v>0</v>
      </c>
      <c r="R43" s="168">
        <f>'RINCIAN B. LANGSUNG USAHA'!Q29</f>
        <v>0</v>
      </c>
      <c r="S43" s="168">
        <f t="shared" si="7"/>
        <v>0</v>
      </c>
      <c r="T43" s="274"/>
      <c r="Z43" s="178">
        <f t="shared" si="3"/>
        <v>0</v>
      </c>
    </row>
    <row r="44" spans="1:26" ht="15.75" customHeight="1" x14ac:dyDescent="0.15">
      <c r="A44" s="179"/>
      <c r="B44" s="539" t="s">
        <v>237</v>
      </c>
      <c r="C44" s="540"/>
      <c r="D44" s="541"/>
      <c r="E44" s="212">
        <f>SUM(E38:E43)</f>
        <v>0</v>
      </c>
      <c r="F44" s="212">
        <f t="shared" ref="F44:P44" si="8">SUM(F38:F43)</f>
        <v>0</v>
      </c>
      <c r="G44" s="212">
        <f t="shared" si="8"/>
        <v>0</v>
      </c>
      <c r="H44" s="212">
        <f t="shared" si="8"/>
        <v>0</v>
      </c>
      <c r="I44" s="212">
        <f t="shared" si="8"/>
        <v>0</v>
      </c>
      <c r="J44" s="212">
        <f t="shared" si="8"/>
        <v>0</v>
      </c>
      <c r="K44" s="212">
        <f t="shared" si="8"/>
        <v>0</v>
      </c>
      <c r="L44" s="212">
        <f t="shared" si="8"/>
        <v>0</v>
      </c>
      <c r="M44" s="212">
        <f t="shared" si="8"/>
        <v>0</v>
      </c>
      <c r="N44" s="212">
        <f t="shared" si="8"/>
        <v>0</v>
      </c>
      <c r="O44" s="212">
        <f t="shared" si="8"/>
        <v>0</v>
      </c>
      <c r="P44" s="212">
        <f t="shared" si="8"/>
        <v>0</v>
      </c>
      <c r="Q44" s="212">
        <f t="shared" si="6"/>
        <v>0</v>
      </c>
      <c r="R44" s="212">
        <f>SUM(R38:R43)</f>
        <v>0</v>
      </c>
      <c r="S44" s="212">
        <f>SUM(S38:S43)</f>
        <v>0</v>
      </c>
      <c r="T44" s="416">
        <f>'RINCIAN B. LANGSUNG USAHA'!Q30</f>
        <v>0</v>
      </c>
      <c r="Z44" s="178">
        <f t="shared" si="3"/>
        <v>0</v>
      </c>
    </row>
    <row r="45" spans="1:26" ht="16.5" customHeight="1" x14ac:dyDescent="0.15">
      <c r="A45" s="170" t="s">
        <v>706</v>
      </c>
      <c r="B45" s="242" t="s">
        <v>503</v>
      </c>
      <c r="C45" s="171"/>
      <c r="D45" s="172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80">
        <f t="shared" si="6"/>
        <v>0</v>
      </c>
      <c r="R45" s="180">
        <f>'RINCIAN B. LANGSUNG USAHA'!Q31</f>
        <v>0</v>
      </c>
      <c r="S45" s="180">
        <f>Q45-R45</f>
        <v>0</v>
      </c>
      <c r="T45" s="274">
        <f>'RINCIAN B. LANGSUNG USAHA'!Q31</f>
        <v>0</v>
      </c>
      <c r="Z45" s="178">
        <f t="shared" si="3"/>
        <v>0</v>
      </c>
    </row>
    <row r="46" spans="1:26" ht="16.5" customHeight="1" x14ac:dyDescent="0.15">
      <c r="A46" s="179"/>
      <c r="B46" s="528" t="s">
        <v>240</v>
      </c>
      <c r="C46" s="529"/>
      <c r="D46" s="530"/>
      <c r="E46" s="180">
        <f>E44+E36+E45</f>
        <v>0</v>
      </c>
      <c r="F46" s="180">
        <f t="shared" ref="F46:P46" si="9">F44+F36+F45</f>
        <v>0</v>
      </c>
      <c r="G46" s="180">
        <f t="shared" si="9"/>
        <v>0</v>
      </c>
      <c r="H46" s="180">
        <f t="shared" si="9"/>
        <v>0</v>
      </c>
      <c r="I46" s="180">
        <f t="shared" si="9"/>
        <v>0</v>
      </c>
      <c r="J46" s="180">
        <f t="shared" si="9"/>
        <v>0</v>
      </c>
      <c r="K46" s="180">
        <f t="shared" si="9"/>
        <v>0</v>
      </c>
      <c r="L46" s="180">
        <f>L44+L36+L45</f>
        <v>0</v>
      </c>
      <c r="M46" s="180">
        <f t="shared" si="9"/>
        <v>0</v>
      </c>
      <c r="N46" s="180">
        <f t="shared" si="9"/>
        <v>0</v>
      </c>
      <c r="O46" s="180">
        <f t="shared" si="9"/>
        <v>0</v>
      </c>
      <c r="P46" s="180">
        <f t="shared" si="9"/>
        <v>0</v>
      </c>
      <c r="Q46" s="168">
        <f>SUM(E46:P46)</f>
        <v>0</v>
      </c>
      <c r="R46" s="436">
        <f>'RINCIAN B. LANGSUNG USAHA'!Q32</f>
        <v>0</v>
      </c>
      <c r="S46" s="436">
        <f>Q46-R46</f>
        <v>0</v>
      </c>
      <c r="T46" s="274"/>
      <c r="Z46" s="178">
        <f t="shared" si="3"/>
        <v>0</v>
      </c>
    </row>
    <row r="47" spans="1:26" ht="18" customHeight="1" x14ac:dyDescent="0.15">
      <c r="A47" s="179" t="s">
        <v>531</v>
      </c>
      <c r="B47" s="252" t="s">
        <v>504</v>
      </c>
      <c r="C47" s="184"/>
      <c r="D47" s="185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>
        <f t="shared" si="6"/>
        <v>0</v>
      </c>
      <c r="R47" s="439">
        <f>'RINCIAN B. LANGSUNG USAHA'!Q33</f>
        <v>0</v>
      </c>
      <c r="S47" s="439">
        <f t="shared" ref="S47" si="10">Q47-R47</f>
        <v>0</v>
      </c>
      <c r="T47" s="274"/>
      <c r="Z47" s="178">
        <f t="shared" si="3"/>
        <v>0</v>
      </c>
    </row>
    <row r="48" spans="1:26" ht="20.25" customHeight="1" x14ac:dyDescent="0.15">
      <c r="A48" s="179"/>
      <c r="B48" s="545" t="s">
        <v>243</v>
      </c>
      <c r="C48" s="546"/>
      <c r="D48" s="547"/>
      <c r="E48" s="180">
        <f>SUM(E46:E47)</f>
        <v>0</v>
      </c>
      <c r="F48" s="180">
        <f t="shared" ref="F48:P48" si="11">SUM(F46:F47)</f>
        <v>0</v>
      </c>
      <c r="G48" s="180">
        <f t="shared" si="11"/>
        <v>0</v>
      </c>
      <c r="H48" s="180">
        <f t="shared" si="11"/>
        <v>0</v>
      </c>
      <c r="I48" s="180">
        <f t="shared" si="11"/>
        <v>0</v>
      </c>
      <c r="J48" s="180">
        <f t="shared" si="11"/>
        <v>0</v>
      </c>
      <c r="K48" s="180">
        <f t="shared" si="11"/>
        <v>0</v>
      </c>
      <c r="L48" s="180">
        <f t="shared" si="11"/>
        <v>0</v>
      </c>
      <c r="M48" s="180">
        <f t="shared" si="11"/>
        <v>0</v>
      </c>
      <c r="N48" s="180">
        <f t="shared" si="11"/>
        <v>0</v>
      </c>
      <c r="O48" s="180">
        <f t="shared" si="11"/>
        <v>0</v>
      </c>
      <c r="P48" s="180">
        <f t="shared" si="11"/>
        <v>0</v>
      </c>
      <c r="Q48" s="180">
        <f t="shared" si="6"/>
        <v>0</v>
      </c>
      <c r="R48" s="212">
        <f>SUM(R46:R47)</f>
        <v>0</v>
      </c>
      <c r="S48" s="212">
        <f>SUM(S46:S47)</f>
        <v>0</v>
      </c>
      <c r="T48" s="416">
        <f>'RINCIAN B. LANGSUNG USAHA'!Q34</f>
        <v>0</v>
      </c>
      <c r="Z48" s="178">
        <f t="shared" si="3"/>
        <v>0</v>
      </c>
    </row>
    <row r="49" spans="1:26" ht="12" customHeight="1" x14ac:dyDescent="0.15">
      <c r="A49" s="163" t="s">
        <v>188</v>
      </c>
      <c r="B49" s="164" t="s">
        <v>506</v>
      </c>
      <c r="C49" s="394"/>
      <c r="D49" s="166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>
        <f t="shared" si="6"/>
        <v>0</v>
      </c>
      <c r="R49" s="168"/>
      <c r="S49" s="168"/>
      <c r="T49" s="274"/>
      <c r="Z49" s="178">
        <f t="shared" si="3"/>
        <v>0</v>
      </c>
    </row>
    <row r="50" spans="1:26" ht="15.75" customHeight="1" x14ac:dyDescent="0.15">
      <c r="A50" s="170" t="s">
        <v>245</v>
      </c>
      <c r="B50" s="242" t="s">
        <v>707</v>
      </c>
      <c r="C50" s="171"/>
      <c r="D50" s="172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274"/>
      <c r="Z50" s="178">
        <f t="shared" si="3"/>
        <v>0</v>
      </c>
    </row>
    <row r="51" spans="1:26" ht="15.75" customHeight="1" x14ac:dyDescent="0.15">
      <c r="A51" s="170"/>
      <c r="B51" s="242" t="s">
        <v>708</v>
      </c>
      <c r="C51" s="171"/>
      <c r="D51" s="172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>
        <f>'RINCIAN B. LANGSUNG USAHA'!Q37+'RINCIAN B. LANGSUNG USAHA'!Q48-R56</f>
        <v>0</v>
      </c>
      <c r="S51" s="168">
        <f>SUM(Q52:Q55)-R51</f>
        <v>0</v>
      </c>
      <c r="T51" s="274"/>
      <c r="Z51" s="178">
        <f t="shared" si="3"/>
        <v>0</v>
      </c>
    </row>
    <row r="52" spans="1:26" ht="15.75" customHeight="1" x14ac:dyDescent="0.15">
      <c r="A52" s="170"/>
      <c r="B52" s="242"/>
      <c r="C52" s="171" t="s">
        <v>436</v>
      </c>
      <c r="D52" s="172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>
        <f t="shared" ref="Q52:Q65" si="12">SUM(E52:P52)</f>
        <v>0</v>
      </c>
      <c r="R52" s="168"/>
      <c r="S52" s="168"/>
      <c r="T52" s="274"/>
      <c r="Z52" s="178">
        <f t="shared" si="3"/>
        <v>0</v>
      </c>
    </row>
    <row r="53" spans="1:26" ht="15.75" customHeight="1" x14ac:dyDescent="0.15">
      <c r="A53" s="170"/>
      <c r="B53" s="242"/>
      <c r="C53" s="171" t="s">
        <v>437</v>
      </c>
      <c r="D53" s="172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>
        <f t="shared" si="12"/>
        <v>0</v>
      </c>
      <c r="R53" s="168"/>
      <c r="S53" s="168"/>
      <c r="T53" s="274"/>
      <c r="Z53" s="178">
        <f t="shared" si="3"/>
        <v>0</v>
      </c>
    </row>
    <row r="54" spans="1:26" ht="15.75" customHeight="1" x14ac:dyDescent="0.15">
      <c r="A54" s="170"/>
      <c r="B54" s="242"/>
      <c r="C54" s="171" t="s">
        <v>438</v>
      </c>
      <c r="D54" s="172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>
        <f t="shared" si="12"/>
        <v>0</v>
      </c>
      <c r="R54" s="168"/>
      <c r="S54" s="168"/>
      <c r="T54" s="274"/>
      <c r="Z54" s="178">
        <f t="shared" si="3"/>
        <v>0</v>
      </c>
    </row>
    <row r="55" spans="1:26" s="232" customFormat="1" ht="15.75" customHeight="1" x14ac:dyDescent="0.15">
      <c r="A55" s="170"/>
      <c r="B55" s="242" t="s">
        <v>709</v>
      </c>
      <c r="C55" s="171"/>
      <c r="D55" s="172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433"/>
      <c r="U55" s="434"/>
      <c r="Z55" s="178">
        <f t="shared" si="3"/>
        <v>0</v>
      </c>
    </row>
    <row r="56" spans="1:26" ht="15.75" customHeight="1" x14ac:dyDescent="0.15">
      <c r="A56" s="170"/>
      <c r="B56" s="242" t="s">
        <v>693</v>
      </c>
      <c r="C56" s="171"/>
      <c r="D56" s="172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>
        <f t="shared" si="12"/>
        <v>0</v>
      </c>
      <c r="R56" s="168">
        <f>'RINCIAN B. LANGSUNG USAHA'!Q43</f>
        <v>0</v>
      </c>
      <c r="S56" s="168">
        <f>SUM(Q57:Q60)-R56</f>
        <v>0</v>
      </c>
      <c r="T56" s="274"/>
      <c r="Z56" s="178">
        <f t="shared" si="3"/>
        <v>0</v>
      </c>
    </row>
    <row r="57" spans="1:26" ht="15.75" customHeight="1" x14ac:dyDescent="0.15">
      <c r="A57" s="170" t="s">
        <v>247</v>
      </c>
      <c r="B57" s="242" t="s">
        <v>512</v>
      </c>
      <c r="C57" s="171"/>
      <c r="D57" s="172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>
        <f t="shared" si="12"/>
        <v>0</v>
      </c>
      <c r="R57" s="168"/>
      <c r="S57" s="168"/>
      <c r="T57" s="274"/>
      <c r="Z57" s="178">
        <f t="shared" si="3"/>
        <v>0</v>
      </c>
    </row>
    <row r="58" spans="1:26" ht="15.75" customHeight="1" x14ac:dyDescent="0.15">
      <c r="A58" s="170"/>
      <c r="B58" s="242" t="s">
        <v>710</v>
      </c>
      <c r="C58" s="171"/>
      <c r="D58" s="172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>
        <f t="shared" si="12"/>
        <v>0</v>
      </c>
      <c r="R58" s="168">
        <f>'RINCIAN B. LANGSUNG USAHA'!Q45</f>
        <v>0</v>
      </c>
      <c r="S58" s="168">
        <f>Q58-R58</f>
        <v>0</v>
      </c>
      <c r="T58" s="274"/>
      <c r="Z58" s="178">
        <f t="shared" si="3"/>
        <v>0</v>
      </c>
    </row>
    <row r="59" spans="1:26" ht="15.75" customHeight="1" x14ac:dyDescent="0.15">
      <c r="A59" s="170"/>
      <c r="B59" s="242" t="s">
        <v>711</v>
      </c>
      <c r="C59" s="171"/>
      <c r="D59" s="172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>
        <f t="shared" si="12"/>
        <v>0</v>
      </c>
      <c r="R59" s="168">
        <f>'RINCIAN B. LANGSUNG USAHA'!Q46</f>
        <v>0</v>
      </c>
      <c r="S59" s="168">
        <f t="shared" ref="S59:S64" si="13">Q59-R59</f>
        <v>0</v>
      </c>
      <c r="T59" s="274"/>
      <c r="Z59" s="178">
        <f t="shared" si="3"/>
        <v>0</v>
      </c>
    </row>
    <row r="60" spans="1:26" ht="15.75" customHeight="1" x14ac:dyDescent="0.15">
      <c r="A60" s="170"/>
      <c r="B60" s="242" t="s">
        <v>712</v>
      </c>
      <c r="C60" s="171"/>
      <c r="D60" s="172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>
        <f t="shared" si="12"/>
        <v>0</v>
      </c>
      <c r="R60" s="168">
        <f>'RINCIAN B. LANGSUNG USAHA'!Q47</f>
        <v>0</v>
      </c>
      <c r="S60" s="168">
        <f t="shared" si="13"/>
        <v>0</v>
      </c>
      <c r="T60" s="274"/>
      <c r="Z60" s="178">
        <f t="shared" si="3"/>
        <v>0</v>
      </c>
    </row>
    <row r="61" spans="1:26" ht="15.75" customHeight="1" x14ac:dyDescent="0.15">
      <c r="A61" s="170"/>
      <c r="B61" s="242" t="s">
        <v>713</v>
      </c>
      <c r="C61" s="171"/>
      <c r="D61" s="172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>
        <f t="shared" si="12"/>
        <v>0</v>
      </c>
      <c r="R61" s="168"/>
      <c r="S61" s="168">
        <f t="shared" si="13"/>
        <v>0</v>
      </c>
      <c r="T61" s="274"/>
      <c r="U61" s="437"/>
      <c r="Z61" s="178">
        <f t="shared" si="3"/>
        <v>0</v>
      </c>
    </row>
    <row r="62" spans="1:26" ht="12.75" customHeight="1" x14ac:dyDescent="0.15">
      <c r="A62" s="170"/>
      <c r="B62" s="242" t="s">
        <v>699</v>
      </c>
      <c r="C62" s="171"/>
      <c r="D62" s="172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>
        <f t="shared" si="12"/>
        <v>0</v>
      </c>
      <c r="R62" s="168">
        <f>'RINCIAN B. LANGSUNG USAHA'!Q49</f>
        <v>0</v>
      </c>
      <c r="S62" s="168">
        <f t="shared" si="13"/>
        <v>0</v>
      </c>
      <c r="T62" s="274"/>
      <c r="Z62" s="178">
        <f t="shared" si="3"/>
        <v>0</v>
      </c>
    </row>
    <row r="63" spans="1:26" ht="14.25" customHeight="1" x14ac:dyDescent="0.15">
      <c r="A63" s="170" t="s">
        <v>418</v>
      </c>
      <c r="B63" s="242" t="s">
        <v>485</v>
      </c>
      <c r="C63" s="171"/>
      <c r="D63" s="172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>
        <f t="shared" si="12"/>
        <v>0</v>
      </c>
      <c r="R63" s="168">
        <f>'RINCIAN B. LANGSUNG USAHA'!Q50</f>
        <v>0</v>
      </c>
      <c r="S63" s="168">
        <f t="shared" si="13"/>
        <v>0</v>
      </c>
      <c r="T63" s="274"/>
      <c r="Z63" s="178">
        <f t="shared" si="3"/>
        <v>0</v>
      </c>
    </row>
    <row r="64" spans="1:26" ht="15.75" customHeight="1" x14ac:dyDescent="0.15">
      <c r="A64" s="170" t="s">
        <v>518</v>
      </c>
      <c r="B64" s="242" t="s">
        <v>714</v>
      </c>
      <c r="C64" s="171"/>
      <c r="D64" s="172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>
        <f t="shared" si="12"/>
        <v>0</v>
      </c>
      <c r="R64" s="168">
        <f>'RINCIAN B. LANGSUNG USAHA'!Q51</f>
        <v>0</v>
      </c>
      <c r="S64" s="168">
        <f t="shared" si="13"/>
        <v>0</v>
      </c>
      <c r="T64" s="274"/>
      <c r="U64" s="392" t="s">
        <v>715</v>
      </c>
      <c r="Z64" s="178">
        <f t="shared" si="3"/>
        <v>0</v>
      </c>
    </row>
    <row r="65" spans="1:26" ht="12" customHeight="1" x14ac:dyDescent="0.15">
      <c r="A65" s="170" t="s">
        <v>519</v>
      </c>
      <c r="B65" s="242" t="s">
        <v>716</v>
      </c>
      <c r="C65" s="171"/>
      <c r="D65" s="172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>
        <f t="shared" si="12"/>
        <v>0</v>
      </c>
      <c r="R65" s="168"/>
      <c r="S65" s="168"/>
      <c r="T65" s="274"/>
      <c r="U65" s="392">
        <f>214100000/12</f>
        <v>17841666.666666668</v>
      </c>
      <c r="V65" s="158" t="s">
        <v>717</v>
      </c>
      <c r="Z65" s="178">
        <f t="shared" si="3"/>
        <v>0</v>
      </c>
    </row>
    <row r="66" spans="1:26" ht="15.75" customHeight="1" x14ac:dyDescent="0.15">
      <c r="A66" s="170" t="s">
        <v>254</v>
      </c>
      <c r="B66" s="242" t="s">
        <v>409</v>
      </c>
      <c r="C66" s="171"/>
      <c r="D66" s="172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274"/>
      <c r="Z66" s="178">
        <f t="shared" si="3"/>
        <v>0</v>
      </c>
    </row>
    <row r="67" spans="1:26" ht="11.25" customHeight="1" x14ac:dyDescent="0.15">
      <c r="A67" s="170"/>
      <c r="B67" s="242" t="s">
        <v>157</v>
      </c>
      <c r="C67" s="171"/>
      <c r="D67" s="172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S67" s="168"/>
      <c r="T67" s="274"/>
      <c r="V67" s="395" t="s">
        <v>718</v>
      </c>
      <c r="W67" s="395" t="s">
        <v>719</v>
      </c>
      <c r="Z67" s="178">
        <f t="shared" si="3"/>
        <v>0</v>
      </c>
    </row>
    <row r="68" spans="1:26" ht="14.25" customHeight="1" x14ac:dyDescent="0.15">
      <c r="A68" s="170"/>
      <c r="B68" s="242"/>
      <c r="C68" s="171" t="s">
        <v>436</v>
      </c>
      <c r="D68" s="172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>
        <f>SUM(E68:P68)</f>
        <v>0</v>
      </c>
      <c r="R68" s="168"/>
      <c r="S68" s="168"/>
      <c r="T68" s="274"/>
      <c r="U68" s="392" t="s">
        <v>720</v>
      </c>
      <c r="V68" s="395">
        <v>7200</v>
      </c>
      <c r="W68" s="395">
        <f>40300/12</f>
        <v>3358.3333333333335</v>
      </c>
      <c r="Z68" s="178">
        <f t="shared" si="3"/>
        <v>0</v>
      </c>
    </row>
    <row r="69" spans="1:26" ht="15.75" customHeight="1" x14ac:dyDescent="0.15">
      <c r="A69" s="170"/>
      <c r="B69" s="242"/>
      <c r="C69" s="171" t="s">
        <v>437</v>
      </c>
      <c r="D69" s="172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>
        <f>SUM(E69:P69)</f>
        <v>0</v>
      </c>
      <c r="R69" s="168"/>
      <c r="S69" s="168"/>
      <c r="T69" s="274"/>
      <c r="U69" s="392" t="s">
        <v>721</v>
      </c>
      <c r="V69" s="395"/>
      <c r="W69" s="395"/>
      <c r="Z69" s="178">
        <f t="shared" si="3"/>
        <v>0</v>
      </c>
    </row>
    <row r="70" spans="1:26" ht="15.75" customHeight="1" x14ac:dyDescent="0.15">
      <c r="A70" s="170"/>
      <c r="B70" s="242"/>
      <c r="C70" s="171" t="s">
        <v>438</v>
      </c>
      <c r="D70" s="172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>
        <f>SUM(E70:P70)</f>
        <v>0</v>
      </c>
      <c r="R70" s="168"/>
      <c r="S70" s="168"/>
      <c r="T70" s="274"/>
      <c r="U70" s="392" t="s">
        <v>722</v>
      </c>
      <c r="V70" s="395"/>
      <c r="W70" s="395"/>
      <c r="Z70" s="178">
        <f t="shared" si="3"/>
        <v>0</v>
      </c>
    </row>
    <row r="71" spans="1:26" ht="14.25" customHeight="1" x14ac:dyDescent="0.15">
      <c r="A71" s="170"/>
      <c r="B71" s="242"/>
      <c r="C71" s="192" t="s">
        <v>440</v>
      </c>
      <c r="D71" s="193"/>
      <c r="E71" s="177">
        <f>SUM(E68:E70)</f>
        <v>0</v>
      </c>
      <c r="F71" s="177">
        <f t="shared" ref="F71:P71" si="14">SUM(F68:F70)</f>
        <v>0</v>
      </c>
      <c r="G71" s="177">
        <f t="shared" si="14"/>
        <v>0</v>
      </c>
      <c r="H71" s="177">
        <f t="shared" si="14"/>
        <v>0</v>
      </c>
      <c r="I71" s="177">
        <f t="shared" si="14"/>
        <v>0</v>
      </c>
      <c r="J71" s="177">
        <f t="shared" si="14"/>
        <v>0</v>
      </c>
      <c r="K71" s="177">
        <f t="shared" si="14"/>
        <v>0</v>
      </c>
      <c r="L71" s="177">
        <f t="shared" si="14"/>
        <v>0</v>
      </c>
      <c r="M71" s="177">
        <f t="shared" si="14"/>
        <v>0</v>
      </c>
      <c r="N71" s="177">
        <f t="shared" si="14"/>
        <v>0</v>
      </c>
      <c r="O71" s="177">
        <f t="shared" si="14"/>
        <v>0</v>
      </c>
      <c r="P71" s="177">
        <f t="shared" si="14"/>
        <v>0</v>
      </c>
      <c r="Q71" s="177">
        <f>SUM(Q68:Q70)</f>
        <v>0</v>
      </c>
      <c r="R71" s="168">
        <f>'RINCIAN B. LANGSUNG USAHA'!Q54</f>
        <v>0</v>
      </c>
      <c r="S71" s="168">
        <f t="shared" ref="S71" si="15">Q71-R71</f>
        <v>0</v>
      </c>
      <c r="T71" s="274"/>
      <c r="V71" s="395"/>
      <c r="W71" s="395"/>
      <c r="Z71" s="178">
        <f t="shared" si="3"/>
        <v>0</v>
      </c>
    </row>
    <row r="72" spans="1:26" ht="15.75" customHeight="1" x14ac:dyDescent="0.15">
      <c r="A72" s="170"/>
      <c r="B72" s="242" t="s">
        <v>159</v>
      </c>
      <c r="C72" s="171"/>
      <c r="D72" s="172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274"/>
      <c r="V72" s="395"/>
      <c r="W72" s="395"/>
      <c r="Z72" s="178">
        <f t="shared" si="3"/>
        <v>0</v>
      </c>
    </row>
    <row r="73" spans="1:26" ht="15.75" customHeight="1" x14ac:dyDescent="0.15">
      <c r="A73" s="170"/>
      <c r="B73" s="242"/>
      <c r="C73" s="171" t="s">
        <v>436</v>
      </c>
      <c r="D73" s="172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>
        <f>SUM(E73:P73)</f>
        <v>0</v>
      </c>
      <c r="R73" s="168"/>
      <c r="S73" s="168"/>
      <c r="T73" s="274"/>
      <c r="U73" s="392" t="s">
        <v>723</v>
      </c>
      <c r="V73" s="395">
        <v>16950</v>
      </c>
      <c r="W73" s="395">
        <f>4500/12</f>
        <v>375</v>
      </c>
      <c r="Z73" s="178">
        <f t="shared" si="3"/>
        <v>0</v>
      </c>
    </row>
    <row r="74" spans="1:26" ht="15.75" customHeight="1" x14ac:dyDescent="0.15">
      <c r="A74" s="170"/>
      <c r="B74" s="242"/>
      <c r="C74" s="171" t="s">
        <v>437</v>
      </c>
      <c r="D74" s="172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>
        <f>SUM(E74:P74)</f>
        <v>0</v>
      </c>
      <c r="R74" s="168"/>
      <c r="S74" s="168"/>
      <c r="T74" s="274"/>
      <c r="U74" s="392" t="s">
        <v>723</v>
      </c>
      <c r="V74" s="395"/>
      <c r="W74" s="395"/>
      <c r="Z74" s="178">
        <f t="shared" si="3"/>
        <v>0</v>
      </c>
    </row>
    <row r="75" spans="1:26" ht="15.75" customHeight="1" x14ac:dyDescent="0.15">
      <c r="A75" s="170"/>
      <c r="B75" s="242"/>
      <c r="C75" s="171" t="s">
        <v>438</v>
      </c>
      <c r="D75" s="172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>
        <f>SUM(E75:P75)</f>
        <v>0</v>
      </c>
      <c r="R75" s="168"/>
      <c r="S75" s="168"/>
      <c r="T75" s="274"/>
      <c r="U75" s="392" t="s">
        <v>724</v>
      </c>
      <c r="V75" s="395"/>
      <c r="W75" s="395"/>
      <c r="Z75" s="178">
        <f t="shared" si="3"/>
        <v>0</v>
      </c>
    </row>
    <row r="76" spans="1:26" ht="15.75" customHeight="1" x14ac:dyDescent="0.15">
      <c r="A76" s="170"/>
      <c r="B76" s="242"/>
      <c r="C76" s="192" t="s">
        <v>441</v>
      </c>
      <c r="D76" s="193"/>
      <c r="E76" s="177">
        <f>SUM(E73:E75)</f>
        <v>0</v>
      </c>
      <c r="F76" s="177">
        <f t="shared" ref="F76" si="16">SUM(F73:F75)</f>
        <v>0</v>
      </c>
      <c r="G76" s="177">
        <f>SUM(G73:G75)</f>
        <v>0</v>
      </c>
      <c r="H76" s="177">
        <f t="shared" ref="H76:P76" si="17">SUM(H73:H75)</f>
        <v>0</v>
      </c>
      <c r="I76" s="177">
        <f t="shared" si="17"/>
        <v>0</v>
      </c>
      <c r="J76" s="177">
        <f t="shared" si="17"/>
        <v>0</v>
      </c>
      <c r="K76" s="177">
        <f t="shared" si="17"/>
        <v>0</v>
      </c>
      <c r="L76" s="177">
        <f t="shared" si="17"/>
        <v>0</v>
      </c>
      <c r="M76" s="177">
        <f t="shared" si="17"/>
        <v>0</v>
      </c>
      <c r="N76" s="177">
        <f t="shared" si="17"/>
        <v>0</v>
      </c>
      <c r="O76" s="177">
        <f t="shared" si="17"/>
        <v>0</v>
      </c>
      <c r="P76" s="177">
        <f t="shared" si="17"/>
        <v>0</v>
      </c>
      <c r="Q76" s="177">
        <f>SUM(Q73:Q75)</f>
        <v>0</v>
      </c>
      <c r="R76" s="177">
        <f>'RINCIAN B. LANGSUNG USAHA'!Q55</f>
        <v>0</v>
      </c>
      <c r="S76" s="168">
        <f t="shared" ref="S76" si="18">Q76-R76</f>
        <v>0</v>
      </c>
      <c r="T76" s="274"/>
      <c r="V76" s="395"/>
      <c r="W76" s="395"/>
      <c r="Z76" s="178">
        <f t="shared" si="3"/>
        <v>0</v>
      </c>
    </row>
    <row r="77" spans="1:26" ht="15.75" customHeight="1" x14ac:dyDescent="0.15">
      <c r="A77" s="170"/>
      <c r="B77" s="242" t="s">
        <v>158</v>
      </c>
      <c r="C77" s="192"/>
      <c r="D77" s="193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274"/>
      <c r="V77" s="395"/>
      <c r="W77" s="395"/>
      <c r="Z77" s="178">
        <f t="shared" si="3"/>
        <v>0</v>
      </c>
    </row>
    <row r="78" spans="1:26" ht="15.75" customHeight="1" x14ac:dyDescent="0.15">
      <c r="A78" s="170"/>
      <c r="B78" s="242"/>
      <c r="C78" s="171" t="s">
        <v>436</v>
      </c>
      <c r="D78" s="172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274"/>
      <c r="U78" s="392" t="s">
        <v>725</v>
      </c>
      <c r="V78" s="395">
        <v>40200</v>
      </c>
      <c r="W78" s="395">
        <f>900/12</f>
        <v>75</v>
      </c>
      <c r="Z78" s="178">
        <f t="shared" si="3"/>
        <v>0</v>
      </c>
    </row>
    <row r="79" spans="1:26" ht="15.75" customHeight="1" x14ac:dyDescent="0.15">
      <c r="A79" s="170"/>
      <c r="B79" s="242"/>
      <c r="C79" s="171" t="s">
        <v>437</v>
      </c>
      <c r="D79" s="172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274"/>
      <c r="U79" s="392" t="s">
        <v>726</v>
      </c>
      <c r="V79" s="395"/>
      <c r="W79" s="395"/>
      <c r="Z79" s="178">
        <f t="shared" si="3"/>
        <v>0</v>
      </c>
    </row>
    <row r="80" spans="1:26" ht="15.75" customHeight="1" x14ac:dyDescent="0.15">
      <c r="A80" s="170"/>
      <c r="B80" s="242"/>
      <c r="C80" s="171" t="s">
        <v>438</v>
      </c>
      <c r="D80" s="172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274"/>
      <c r="U80" s="392" t="s">
        <v>726</v>
      </c>
      <c r="V80" s="395"/>
      <c r="W80" s="395"/>
      <c r="Z80" s="178">
        <f t="shared" si="3"/>
        <v>0</v>
      </c>
    </row>
    <row r="81" spans="1:26" ht="15.75" customHeight="1" x14ac:dyDescent="0.15">
      <c r="A81" s="170"/>
      <c r="B81" s="242"/>
      <c r="C81" s="192" t="s">
        <v>442</v>
      </c>
      <c r="D81" s="193"/>
      <c r="E81" s="177">
        <f>SUM(E78:E80)</f>
        <v>0</v>
      </c>
      <c r="F81" s="177">
        <f t="shared" ref="F81:P81" si="19">SUM(F78:F80)</f>
        <v>0</v>
      </c>
      <c r="G81" s="177">
        <f t="shared" si="19"/>
        <v>0</v>
      </c>
      <c r="H81" s="177">
        <f t="shared" si="19"/>
        <v>0</v>
      </c>
      <c r="I81" s="177">
        <f t="shared" si="19"/>
        <v>0</v>
      </c>
      <c r="J81" s="177">
        <f t="shared" si="19"/>
        <v>0</v>
      </c>
      <c r="K81" s="177">
        <f t="shared" si="19"/>
        <v>0</v>
      </c>
      <c r="L81" s="177">
        <f t="shared" si="19"/>
        <v>0</v>
      </c>
      <c r="M81" s="177">
        <f t="shared" si="19"/>
        <v>0</v>
      </c>
      <c r="N81" s="177">
        <f t="shared" si="19"/>
        <v>0</v>
      </c>
      <c r="O81" s="177">
        <f t="shared" si="19"/>
        <v>0</v>
      </c>
      <c r="P81" s="177">
        <f t="shared" si="19"/>
        <v>0</v>
      </c>
      <c r="Q81" s="177">
        <f>SUM(Q78:Q80)</f>
        <v>0</v>
      </c>
      <c r="R81" s="177">
        <f>'RINCIAN B. LANGSUNG USAHA'!Q56</f>
        <v>0</v>
      </c>
      <c r="S81" s="168">
        <f t="shared" ref="S81" si="20">Q81-R81</f>
        <v>0</v>
      </c>
      <c r="T81" s="274"/>
      <c r="V81" s="395"/>
      <c r="W81" s="395"/>
      <c r="Z81" s="178">
        <f t="shared" si="3"/>
        <v>0</v>
      </c>
    </row>
    <row r="82" spans="1:26" ht="15.75" customHeight="1" x14ac:dyDescent="0.15">
      <c r="A82" s="170"/>
      <c r="B82" s="396" t="s">
        <v>479</v>
      </c>
      <c r="C82" s="397"/>
      <c r="D82" s="398"/>
      <c r="E82" s="177"/>
      <c r="F82" s="177"/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416"/>
      <c r="V82" s="395"/>
      <c r="W82" s="395"/>
      <c r="Z82" s="178">
        <f t="shared" si="3"/>
        <v>0</v>
      </c>
    </row>
    <row r="83" spans="1:26" ht="15.75" customHeight="1" x14ac:dyDescent="0.15">
      <c r="A83" s="170"/>
      <c r="B83" s="396"/>
      <c r="C83" s="399" t="s">
        <v>436</v>
      </c>
      <c r="D83" s="400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68">
        <f>SUM(E83:P83)</f>
        <v>0</v>
      </c>
      <c r="R83" s="168"/>
      <c r="S83" s="168"/>
      <c r="T83" s="274"/>
      <c r="U83" s="392" t="s">
        <v>727</v>
      </c>
      <c r="V83" s="395">
        <v>125600</v>
      </c>
      <c r="W83" s="395">
        <f>900/12</f>
        <v>75</v>
      </c>
      <c r="Z83" s="178">
        <f t="shared" si="3"/>
        <v>0</v>
      </c>
    </row>
    <row r="84" spans="1:26" ht="15.75" customHeight="1" x14ac:dyDescent="0.15">
      <c r="A84" s="170"/>
      <c r="B84" s="396"/>
      <c r="C84" s="399" t="s">
        <v>437</v>
      </c>
      <c r="D84" s="400"/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68">
        <f>SUM(E84:P84)</f>
        <v>0</v>
      </c>
      <c r="R84" s="168"/>
      <c r="S84" s="168"/>
      <c r="T84" s="274"/>
      <c r="U84" s="392" t="s">
        <v>728</v>
      </c>
      <c r="V84" s="395"/>
      <c r="W84" s="395"/>
      <c r="Z84" s="178">
        <f t="shared" si="3"/>
        <v>0</v>
      </c>
    </row>
    <row r="85" spans="1:26" ht="15.75" customHeight="1" x14ac:dyDescent="0.15">
      <c r="A85" s="170"/>
      <c r="B85" s="396"/>
      <c r="C85" s="399" t="s">
        <v>438</v>
      </c>
      <c r="D85" s="400"/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68">
        <f>SUM(E85:P85)</f>
        <v>0</v>
      </c>
      <c r="R85" s="168"/>
      <c r="S85" s="168"/>
      <c r="T85" s="274"/>
      <c r="U85" s="392" t="s">
        <v>729</v>
      </c>
      <c r="Z85" s="178">
        <f t="shared" si="3"/>
        <v>0</v>
      </c>
    </row>
    <row r="86" spans="1:26" ht="15.75" customHeight="1" x14ac:dyDescent="0.15">
      <c r="A86" s="170"/>
      <c r="B86" s="396"/>
      <c r="C86" s="397" t="s">
        <v>730</v>
      </c>
      <c r="D86" s="398"/>
      <c r="E86" s="177">
        <f>SUM(E83:E85)</f>
        <v>0</v>
      </c>
      <c r="F86" s="177">
        <f t="shared" ref="F86:P86" si="21">SUM(F83:F85)</f>
        <v>0</v>
      </c>
      <c r="G86" s="177">
        <f t="shared" si="21"/>
        <v>0</v>
      </c>
      <c r="H86" s="177">
        <f t="shared" si="21"/>
        <v>0</v>
      </c>
      <c r="I86" s="177">
        <f t="shared" si="21"/>
        <v>0</v>
      </c>
      <c r="J86" s="177">
        <f t="shared" si="21"/>
        <v>0</v>
      </c>
      <c r="K86" s="177">
        <f t="shared" si="21"/>
        <v>0</v>
      </c>
      <c r="L86" s="177">
        <f t="shared" si="21"/>
        <v>0</v>
      </c>
      <c r="M86" s="177">
        <f t="shared" si="21"/>
        <v>0</v>
      </c>
      <c r="N86" s="177">
        <f t="shared" si="21"/>
        <v>0</v>
      </c>
      <c r="O86" s="177">
        <f t="shared" si="21"/>
        <v>0</v>
      </c>
      <c r="P86" s="177">
        <f t="shared" si="21"/>
        <v>0</v>
      </c>
      <c r="Q86" s="177">
        <f>SUM(Q83:Q85)</f>
        <v>0</v>
      </c>
      <c r="R86" s="177">
        <f>'RINCIAN B. LANGSUNG USAHA'!Q57</f>
        <v>0</v>
      </c>
      <c r="S86" s="168">
        <f t="shared" ref="S86:S89" si="22">Q86-R86</f>
        <v>0</v>
      </c>
      <c r="T86" s="274"/>
      <c r="Z86" s="178">
        <f t="shared" si="3"/>
        <v>0</v>
      </c>
    </row>
    <row r="87" spans="1:26" ht="15.75" customHeight="1" x14ac:dyDescent="0.15">
      <c r="A87" s="170"/>
      <c r="B87" s="548" t="s">
        <v>250</v>
      </c>
      <c r="C87" s="549"/>
      <c r="D87" s="550"/>
      <c r="E87" s="168">
        <f>E71+E76+E81+E86</f>
        <v>0</v>
      </c>
      <c r="F87" s="168">
        <f t="shared" ref="F87:P87" si="23">F71+F76+F81+F86</f>
        <v>0</v>
      </c>
      <c r="G87" s="168">
        <f t="shared" si="23"/>
        <v>0</v>
      </c>
      <c r="H87" s="168">
        <f t="shared" si="23"/>
        <v>0</v>
      </c>
      <c r="I87" s="168">
        <f t="shared" si="23"/>
        <v>0</v>
      </c>
      <c r="J87" s="168">
        <f t="shared" si="23"/>
        <v>0</v>
      </c>
      <c r="K87" s="168">
        <f t="shared" si="23"/>
        <v>0</v>
      </c>
      <c r="L87" s="168">
        <f t="shared" si="23"/>
        <v>0</v>
      </c>
      <c r="M87" s="168">
        <f t="shared" si="23"/>
        <v>0</v>
      </c>
      <c r="N87" s="168">
        <f t="shared" si="23"/>
        <v>0</v>
      </c>
      <c r="O87" s="168">
        <f t="shared" si="23"/>
        <v>0</v>
      </c>
      <c r="P87" s="168">
        <f t="shared" si="23"/>
        <v>0</v>
      </c>
      <c r="Q87" s="168">
        <f>SUM(E87:P87)</f>
        <v>0</v>
      </c>
      <c r="R87" s="168"/>
      <c r="S87" s="168"/>
      <c r="T87" s="274"/>
      <c r="U87" s="392">
        <v>1012407840</v>
      </c>
      <c r="V87" s="158" t="s">
        <v>731</v>
      </c>
      <c r="Z87" s="178">
        <f t="shared" si="3"/>
        <v>0</v>
      </c>
    </row>
    <row r="88" spans="1:26" ht="15.75" customHeight="1" x14ac:dyDescent="0.15">
      <c r="A88" s="170" t="s">
        <v>256</v>
      </c>
      <c r="B88" s="551" t="s">
        <v>732</v>
      </c>
      <c r="C88" s="552"/>
      <c r="D88" s="553"/>
      <c r="E88" s="432"/>
      <c r="F88" s="432"/>
      <c r="G88" s="432"/>
      <c r="H88" s="432"/>
      <c r="I88" s="432"/>
      <c r="J88" s="432"/>
      <c r="K88" s="432"/>
      <c r="L88" s="432"/>
      <c r="M88" s="432"/>
      <c r="N88" s="432"/>
      <c r="O88" s="432"/>
      <c r="P88" s="432"/>
      <c r="Q88" s="168">
        <f>SUM(E88:P88)</f>
        <v>0</v>
      </c>
      <c r="R88" s="168">
        <f>'RINCIAN B. LANGSUNG USAHA'!Q58</f>
        <v>0</v>
      </c>
      <c r="S88" s="168">
        <f t="shared" si="22"/>
        <v>0</v>
      </c>
      <c r="T88" s="274"/>
      <c r="Z88" s="178">
        <f t="shared" si="3"/>
        <v>0</v>
      </c>
    </row>
    <row r="89" spans="1:26" ht="15.75" customHeight="1" x14ac:dyDescent="0.15">
      <c r="A89" s="170" t="s">
        <v>521</v>
      </c>
      <c r="B89" s="242" t="s">
        <v>425</v>
      </c>
      <c r="C89" s="171"/>
      <c r="D89" s="172"/>
      <c r="E89" s="432"/>
      <c r="F89" s="432"/>
      <c r="G89" s="432"/>
      <c r="H89" s="432"/>
      <c r="I89" s="432"/>
      <c r="J89" s="432"/>
      <c r="K89" s="432"/>
      <c r="L89" s="432"/>
      <c r="M89" s="432"/>
      <c r="N89" s="432"/>
      <c r="O89" s="432"/>
      <c r="P89" s="432"/>
      <c r="Q89" s="168">
        <f>SUM(E89:P89)</f>
        <v>0</v>
      </c>
      <c r="R89" s="168">
        <f>'RINCIAN B. LANGSUNG USAHA'!Q59</f>
        <v>0</v>
      </c>
      <c r="S89" s="168">
        <f t="shared" si="22"/>
        <v>0</v>
      </c>
      <c r="T89" s="274"/>
      <c r="Z89" s="178">
        <f t="shared" si="3"/>
        <v>0</v>
      </c>
    </row>
    <row r="90" spans="1:26" ht="15.75" customHeight="1" x14ac:dyDescent="0.15">
      <c r="A90" s="161"/>
      <c r="B90" s="539" t="s">
        <v>522</v>
      </c>
      <c r="C90" s="540"/>
      <c r="D90" s="541"/>
      <c r="E90" s="212">
        <f>SUM(E52:E65)+E87+E88+E89</f>
        <v>0</v>
      </c>
      <c r="F90" s="212">
        <f t="shared" ref="F90:P90" si="24">SUM(F52:F65)+F87+F88+F89</f>
        <v>0</v>
      </c>
      <c r="G90" s="212">
        <f t="shared" si="24"/>
        <v>0</v>
      </c>
      <c r="H90" s="212">
        <f t="shared" si="24"/>
        <v>0</v>
      </c>
      <c r="I90" s="212">
        <f t="shared" si="24"/>
        <v>0</v>
      </c>
      <c r="J90" s="212">
        <f t="shared" si="24"/>
        <v>0</v>
      </c>
      <c r="K90" s="212">
        <f t="shared" si="24"/>
        <v>0</v>
      </c>
      <c r="L90" s="212">
        <f t="shared" si="24"/>
        <v>0</v>
      </c>
      <c r="M90" s="212">
        <f t="shared" si="24"/>
        <v>0</v>
      </c>
      <c r="N90" s="212">
        <f t="shared" si="24"/>
        <v>0</v>
      </c>
      <c r="O90" s="212">
        <f t="shared" si="24"/>
        <v>0</v>
      </c>
      <c r="P90" s="212">
        <f t="shared" si="24"/>
        <v>0</v>
      </c>
      <c r="Q90" s="212">
        <f>SUM(E90:P90)</f>
        <v>0</v>
      </c>
      <c r="R90" s="212">
        <f>SUM(R49:R89)</f>
        <v>0</v>
      </c>
      <c r="S90" s="212">
        <f>SUM(S49:S89)</f>
        <v>0</v>
      </c>
      <c r="T90" s="416">
        <f>'RINCIAN B. LANGSUNG USAHA'!Q60</f>
        <v>0</v>
      </c>
      <c r="Z90" s="178">
        <f t="shared" si="3"/>
        <v>0</v>
      </c>
    </row>
    <row r="91" spans="1:26" ht="15.75" customHeight="1" x14ac:dyDescent="0.15">
      <c r="A91" s="170" t="s">
        <v>523</v>
      </c>
      <c r="B91" s="242" t="s">
        <v>733</v>
      </c>
      <c r="C91" s="171"/>
      <c r="D91" s="172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274">
        <f>R90-T90</f>
        <v>0</v>
      </c>
      <c r="Z91" s="178">
        <f t="shared" si="3"/>
        <v>0</v>
      </c>
    </row>
    <row r="92" spans="1:26" ht="15.75" customHeight="1" x14ac:dyDescent="0.15">
      <c r="A92" s="170" t="s">
        <v>525</v>
      </c>
      <c r="B92" s="242" t="s">
        <v>255</v>
      </c>
      <c r="C92" s="171"/>
      <c r="D92" s="172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>
        <f>SUM(E92:P92)</f>
        <v>0</v>
      </c>
      <c r="R92" s="168">
        <f>'RINCIAN B. LANGSUNG USAHA'!Q62</f>
        <v>0</v>
      </c>
      <c r="S92" s="168">
        <f>Q92-R92</f>
        <v>0</v>
      </c>
      <c r="T92" s="274"/>
      <c r="Z92" s="178">
        <f t="shared" ref="Z92:Z134" si="25">Q93-S93</f>
        <v>0</v>
      </c>
    </row>
    <row r="93" spans="1:26" ht="15.75" customHeight="1" x14ac:dyDescent="0.15">
      <c r="A93" s="170" t="s">
        <v>526</v>
      </c>
      <c r="B93" s="242" t="s">
        <v>257</v>
      </c>
      <c r="C93" s="192"/>
      <c r="D93" s="193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>
        <f>SUM(E93:P93)</f>
        <v>0</v>
      </c>
      <c r="R93" s="168">
        <f>'RINCIAN B. LANGSUNG USAHA'!Q63</f>
        <v>0</v>
      </c>
      <c r="S93" s="168">
        <f t="shared" ref="S93:S95" si="26">Q93-R93</f>
        <v>0</v>
      </c>
      <c r="T93" s="274"/>
      <c r="U93" s="401"/>
      <c r="Z93" s="178">
        <f t="shared" si="25"/>
        <v>0</v>
      </c>
    </row>
    <row r="94" spans="1:26" ht="15.75" customHeight="1" x14ac:dyDescent="0.15">
      <c r="A94" s="170" t="s">
        <v>527</v>
      </c>
      <c r="B94" s="242" t="s">
        <v>259</v>
      </c>
      <c r="C94" s="171"/>
      <c r="D94" s="172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>
        <f>SUM(E94:P94)</f>
        <v>0</v>
      </c>
      <c r="R94" s="168">
        <f>'RINCIAN B. LANGSUNG USAHA'!Q64</f>
        <v>0</v>
      </c>
      <c r="S94" s="168">
        <f t="shared" si="26"/>
        <v>0</v>
      </c>
      <c r="T94" s="274"/>
      <c r="Z94" s="178">
        <f t="shared" si="25"/>
        <v>0</v>
      </c>
    </row>
    <row r="95" spans="1:26" ht="15.75" customHeight="1" x14ac:dyDescent="0.15">
      <c r="A95" s="170" t="s">
        <v>528</v>
      </c>
      <c r="B95" s="242" t="s">
        <v>261</v>
      </c>
      <c r="C95" s="171"/>
      <c r="D95" s="172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>
        <f>SUM(E95:P95)</f>
        <v>0</v>
      </c>
      <c r="R95" s="168">
        <f>'RINCIAN B. LANGSUNG USAHA'!Q65</f>
        <v>0</v>
      </c>
      <c r="S95" s="168">
        <f t="shared" si="26"/>
        <v>0</v>
      </c>
      <c r="T95" s="274"/>
      <c r="Z95" s="178">
        <f t="shared" si="25"/>
        <v>0</v>
      </c>
    </row>
    <row r="96" spans="1:26" ht="15.75" customHeight="1" x14ac:dyDescent="0.15">
      <c r="A96" s="161"/>
      <c r="B96" s="539" t="s">
        <v>734</v>
      </c>
      <c r="C96" s="540"/>
      <c r="D96" s="541"/>
      <c r="E96" s="212">
        <f>SUM(E92:E95)</f>
        <v>0</v>
      </c>
      <c r="F96" s="212">
        <f t="shared" ref="F96:P96" si="27">SUM(F92:F95)</f>
        <v>0</v>
      </c>
      <c r="G96" s="212">
        <f t="shared" si="27"/>
        <v>0</v>
      </c>
      <c r="H96" s="212">
        <f t="shared" si="27"/>
        <v>0</v>
      </c>
      <c r="I96" s="212">
        <f t="shared" si="27"/>
        <v>0</v>
      </c>
      <c r="J96" s="212">
        <f t="shared" si="27"/>
        <v>0</v>
      </c>
      <c r="K96" s="212">
        <f t="shared" si="27"/>
        <v>0</v>
      </c>
      <c r="L96" s="212">
        <f t="shared" si="27"/>
        <v>0</v>
      </c>
      <c r="M96" s="212">
        <f t="shared" si="27"/>
        <v>0</v>
      </c>
      <c r="N96" s="212">
        <f t="shared" si="27"/>
        <v>0</v>
      </c>
      <c r="O96" s="212">
        <f t="shared" si="27"/>
        <v>0</v>
      </c>
      <c r="P96" s="212">
        <f t="shared" si="27"/>
        <v>0</v>
      </c>
      <c r="Q96" s="212">
        <f>SUM(Q93:Q95)</f>
        <v>0</v>
      </c>
      <c r="R96" s="212">
        <f>SUM(R92:R95)</f>
        <v>0</v>
      </c>
      <c r="S96" s="212">
        <f>SUM(S92:S95)</f>
        <v>0</v>
      </c>
      <c r="T96" s="416">
        <f>'RINCIAN B. LANGSUNG USAHA'!Q66</f>
        <v>0</v>
      </c>
      <c r="Z96" s="178">
        <f t="shared" si="25"/>
        <v>0</v>
      </c>
    </row>
    <row r="97" spans="1:26" ht="15.75" customHeight="1" x14ac:dyDescent="0.15">
      <c r="A97" s="179"/>
      <c r="B97" s="252" t="s">
        <v>240</v>
      </c>
      <c r="C97" s="184"/>
      <c r="D97" s="185"/>
      <c r="E97" s="180">
        <f>E96+E90</f>
        <v>0</v>
      </c>
      <c r="F97" s="180">
        <f t="shared" ref="F97:P97" si="28">F96+F90</f>
        <v>0</v>
      </c>
      <c r="G97" s="180">
        <f t="shared" si="28"/>
        <v>0</v>
      </c>
      <c r="H97" s="180">
        <f t="shared" si="28"/>
        <v>0</v>
      </c>
      <c r="I97" s="180">
        <f t="shared" si="28"/>
        <v>0</v>
      </c>
      <c r="J97" s="180">
        <f t="shared" si="28"/>
        <v>0</v>
      </c>
      <c r="K97" s="180">
        <f t="shared" si="28"/>
        <v>0</v>
      </c>
      <c r="L97" s="180">
        <f>L96+L90</f>
        <v>0</v>
      </c>
      <c r="M97" s="180">
        <f t="shared" si="28"/>
        <v>0</v>
      </c>
      <c r="N97" s="180">
        <f t="shared" si="28"/>
        <v>0</v>
      </c>
      <c r="O97" s="180">
        <f t="shared" si="28"/>
        <v>0</v>
      </c>
      <c r="P97" s="180">
        <f t="shared" si="28"/>
        <v>0</v>
      </c>
      <c r="Q97" s="180">
        <f>SUM(E97:P97)</f>
        <v>0</v>
      </c>
      <c r="R97" s="302">
        <f>'RINCIAN B. LANGSUNG USAHA'!Q67</f>
        <v>0</v>
      </c>
      <c r="S97" s="302">
        <f>Q97-R97</f>
        <v>0</v>
      </c>
      <c r="T97" s="274"/>
      <c r="Z97" s="178">
        <f t="shared" si="25"/>
        <v>0</v>
      </c>
    </row>
    <row r="98" spans="1:26" ht="15.75" customHeight="1" x14ac:dyDescent="0.15">
      <c r="A98" s="179" t="s">
        <v>530</v>
      </c>
      <c r="B98" s="252" t="s">
        <v>735</v>
      </c>
      <c r="C98" s="195"/>
      <c r="D98" s="196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68">
        <f>SUM(E98:P98)</f>
        <v>0</v>
      </c>
      <c r="R98" s="438">
        <f>'RINCIAN B. LANGSUNG USAHA'!Q68</f>
        <v>0</v>
      </c>
      <c r="S98" s="438">
        <f>Q98-R98</f>
        <v>0</v>
      </c>
      <c r="T98" s="274"/>
      <c r="Z98" s="178">
        <f t="shared" si="25"/>
        <v>0</v>
      </c>
    </row>
    <row r="99" spans="1:26" ht="15.75" customHeight="1" x14ac:dyDescent="0.15">
      <c r="A99" s="179"/>
      <c r="B99" s="545" t="s">
        <v>264</v>
      </c>
      <c r="C99" s="546"/>
      <c r="D99" s="547"/>
      <c r="E99" s="180">
        <f>SUM(E97:E98)</f>
        <v>0</v>
      </c>
      <c r="F99" s="180">
        <f t="shared" ref="F99:P99" si="29">SUM(F97:F98)</f>
        <v>0</v>
      </c>
      <c r="G99" s="180">
        <f t="shared" si="29"/>
        <v>0</v>
      </c>
      <c r="H99" s="180">
        <f t="shared" si="29"/>
        <v>0</v>
      </c>
      <c r="I99" s="180">
        <f t="shared" si="29"/>
        <v>0</v>
      </c>
      <c r="J99" s="180">
        <f t="shared" si="29"/>
        <v>0</v>
      </c>
      <c r="K99" s="180">
        <f t="shared" si="29"/>
        <v>0</v>
      </c>
      <c r="L99" s="180">
        <f t="shared" si="29"/>
        <v>0</v>
      </c>
      <c r="M99" s="180">
        <f t="shared" si="29"/>
        <v>0</v>
      </c>
      <c r="N99" s="180">
        <f t="shared" si="29"/>
        <v>0</v>
      </c>
      <c r="O99" s="180">
        <f t="shared" si="29"/>
        <v>0</v>
      </c>
      <c r="P99" s="180">
        <f t="shared" si="29"/>
        <v>0</v>
      </c>
      <c r="Q99" s="180">
        <f>SUM(E99:P99)</f>
        <v>0</v>
      </c>
      <c r="R99" s="180">
        <f>SUM(R97:R98)</f>
        <v>0</v>
      </c>
      <c r="S99" s="180">
        <f>SUM(S97:S98)</f>
        <v>0</v>
      </c>
      <c r="T99" s="274">
        <f>'RINCIAN B. LANGSUNG USAHA'!Q69</f>
        <v>0</v>
      </c>
      <c r="Z99" s="178">
        <f t="shared" si="25"/>
        <v>0</v>
      </c>
    </row>
    <row r="100" spans="1:26" ht="15.75" customHeight="1" x14ac:dyDescent="0.15">
      <c r="A100" s="163" t="s">
        <v>189</v>
      </c>
      <c r="B100" s="164" t="s">
        <v>534</v>
      </c>
      <c r="C100" s="165"/>
      <c r="D100" s="166"/>
      <c r="E100" s="167"/>
      <c r="F100" s="167"/>
      <c r="G100" s="167"/>
      <c r="H100" s="167"/>
      <c r="I100" s="167"/>
      <c r="J100" s="167"/>
      <c r="K100" s="167"/>
      <c r="L100" s="167"/>
      <c r="M100" s="167"/>
      <c r="N100" s="167"/>
      <c r="O100" s="167"/>
      <c r="P100" s="167"/>
      <c r="Q100" s="167"/>
      <c r="R100" s="168"/>
      <c r="S100" s="168"/>
      <c r="T100" s="274"/>
      <c r="Z100" s="178">
        <f t="shared" si="25"/>
        <v>0</v>
      </c>
    </row>
    <row r="101" spans="1:26" ht="15.75" customHeight="1" x14ac:dyDescent="0.15">
      <c r="A101" s="170" t="s">
        <v>266</v>
      </c>
      <c r="B101" s="242" t="s">
        <v>736</v>
      </c>
      <c r="C101" s="171"/>
      <c r="D101" s="172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274"/>
      <c r="Z101" s="178">
        <f t="shared" si="25"/>
        <v>0</v>
      </c>
    </row>
    <row r="102" spans="1:26" ht="15.75" customHeight="1" x14ac:dyDescent="0.15">
      <c r="A102" s="170" t="s">
        <v>268</v>
      </c>
      <c r="B102" s="242" t="s">
        <v>207</v>
      </c>
      <c r="C102" s="171"/>
      <c r="D102" s="172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>
        <f t="shared" ref="Q102:Q118" si="30">SUM(E102:P102)</f>
        <v>0</v>
      </c>
      <c r="R102" s="168"/>
      <c r="S102" s="168"/>
      <c r="T102" s="274"/>
      <c r="Z102" s="178">
        <f t="shared" si="25"/>
        <v>0</v>
      </c>
    </row>
    <row r="103" spans="1:26" ht="15.75" customHeight="1" x14ac:dyDescent="0.15">
      <c r="A103" s="170"/>
      <c r="B103" s="242" t="s">
        <v>737</v>
      </c>
      <c r="C103" s="171"/>
      <c r="D103" s="172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>
        <f t="shared" si="30"/>
        <v>0</v>
      </c>
      <c r="R103" s="168">
        <f>'RINCIAN B. LANGSUNG USAHA'!Q73+'RINCIAN B. LANGSUNG USAHA'!Q81-R105</f>
        <v>0</v>
      </c>
      <c r="S103" s="168">
        <f>Q103+Q104-R103</f>
        <v>0</v>
      </c>
      <c r="T103" s="274"/>
      <c r="Z103" s="178">
        <f t="shared" si="25"/>
        <v>0</v>
      </c>
    </row>
    <row r="104" spans="1:26" ht="15.75" customHeight="1" x14ac:dyDescent="0.15">
      <c r="A104" s="170"/>
      <c r="B104" s="242" t="s">
        <v>738</v>
      </c>
      <c r="C104" s="171"/>
      <c r="D104" s="172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274"/>
      <c r="U104" s="437"/>
      <c r="Z104" s="178">
        <f t="shared" si="25"/>
        <v>0</v>
      </c>
    </row>
    <row r="105" spans="1:26" ht="15.75" customHeight="1" x14ac:dyDescent="0.15">
      <c r="A105" s="170"/>
      <c r="B105" s="242" t="s">
        <v>693</v>
      </c>
      <c r="C105" s="171"/>
      <c r="D105" s="172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>
        <f t="shared" si="30"/>
        <v>0</v>
      </c>
      <c r="R105" s="168">
        <f>'RINCIAN B. LANGSUNG USAHA'!Q76</f>
        <v>0</v>
      </c>
      <c r="S105" s="168">
        <f>Q105-R105</f>
        <v>0</v>
      </c>
      <c r="T105" s="274"/>
      <c r="U105" s="392">
        <f>G105+K105+P105</f>
        <v>0</v>
      </c>
      <c r="Z105" s="178">
        <f t="shared" si="25"/>
        <v>0</v>
      </c>
    </row>
    <row r="106" spans="1:26" ht="15.75" customHeight="1" x14ac:dyDescent="0.15">
      <c r="A106" s="170" t="s">
        <v>269</v>
      </c>
      <c r="B106" s="242" t="s">
        <v>739</v>
      </c>
      <c r="C106" s="171"/>
      <c r="D106" s="172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>
        <f t="shared" si="30"/>
        <v>0</v>
      </c>
      <c r="R106" s="168"/>
      <c r="S106" s="168"/>
      <c r="T106" s="274"/>
      <c r="Z106" s="178">
        <f t="shared" si="25"/>
        <v>0</v>
      </c>
    </row>
    <row r="107" spans="1:26" ht="15.75" customHeight="1" x14ac:dyDescent="0.15">
      <c r="A107" s="170"/>
      <c r="B107" s="242" t="s">
        <v>740</v>
      </c>
      <c r="C107" s="171"/>
      <c r="D107" s="172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>
        <f t="shared" si="30"/>
        <v>0</v>
      </c>
      <c r="R107" s="168">
        <f>'RINCIAN B. LANGSUNG USAHA'!Q78</f>
        <v>0</v>
      </c>
      <c r="S107" s="168">
        <f>Q107-R107</f>
        <v>0</v>
      </c>
      <c r="T107" s="274"/>
      <c r="Z107" s="178">
        <f t="shared" si="25"/>
        <v>0</v>
      </c>
    </row>
    <row r="108" spans="1:26" ht="15.75" customHeight="1" x14ac:dyDescent="0.15">
      <c r="A108" s="170"/>
      <c r="B108" s="242" t="s">
        <v>741</v>
      </c>
      <c r="C108" s="171"/>
      <c r="D108" s="172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>
        <f t="shared" si="30"/>
        <v>0</v>
      </c>
      <c r="R108" s="168">
        <f>'RINCIAN B. LANGSUNG USAHA'!Q79</f>
        <v>0</v>
      </c>
      <c r="S108" s="168">
        <f>Q108-R108</f>
        <v>0</v>
      </c>
      <c r="T108" s="274"/>
      <c r="Z108" s="178">
        <f t="shared" si="25"/>
        <v>0</v>
      </c>
    </row>
    <row r="109" spans="1:26" ht="15.75" customHeight="1" x14ac:dyDescent="0.15">
      <c r="A109" s="170"/>
      <c r="B109" s="242" t="s">
        <v>742</v>
      </c>
      <c r="C109" s="171"/>
      <c r="D109" s="172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>
        <f t="shared" si="30"/>
        <v>0</v>
      </c>
      <c r="R109" s="168">
        <f>'RINCIAN B. LANGSUNG USAHA'!Q80</f>
        <v>0</v>
      </c>
      <c r="S109" s="168">
        <f t="shared" ref="S109:S117" si="31">Q109-R109</f>
        <v>0</v>
      </c>
      <c r="T109" s="274"/>
      <c r="Z109" s="178">
        <f t="shared" si="25"/>
        <v>0</v>
      </c>
    </row>
    <row r="110" spans="1:26" ht="15.75" customHeight="1" x14ac:dyDescent="0.15">
      <c r="A110" s="170"/>
      <c r="B110" s="242" t="s">
        <v>743</v>
      </c>
      <c r="C110" s="171"/>
      <c r="D110" s="172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>
        <f t="shared" si="30"/>
        <v>0</v>
      </c>
      <c r="R110" s="168"/>
      <c r="S110" s="168">
        <f t="shared" si="31"/>
        <v>0</v>
      </c>
      <c r="T110" s="274"/>
      <c r="Z110" s="178">
        <f t="shared" si="25"/>
        <v>0</v>
      </c>
    </row>
    <row r="111" spans="1:26" ht="15.75" customHeight="1" x14ac:dyDescent="0.15">
      <c r="A111" s="170"/>
      <c r="B111" s="242" t="s">
        <v>699</v>
      </c>
      <c r="C111" s="171"/>
      <c r="D111" s="172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>
        <f t="shared" si="30"/>
        <v>0</v>
      </c>
      <c r="R111" s="168">
        <f>'RINCIAN B. LANGSUNG USAHA'!Q82</f>
        <v>0</v>
      </c>
      <c r="S111" s="168">
        <f t="shared" si="31"/>
        <v>0</v>
      </c>
      <c r="T111" s="274"/>
      <c r="Z111" s="178">
        <f t="shared" si="25"/>
        <v>0</v>
      </c>
    </row>
    <row r="112" spans="1:26" ht="15.75" customHeight="1" x14ac:dyDescent="0.15">
      <c r="A112" s="170" t="s">
        <v>414</v>
      </c>
      <c r="B112" s="242" t="s">
        <v>485</v>
      </c>
      <c r="C112" s="171"/>
      <c r="D112" s="172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>
        <f t="shared" si="30"/>
        <v>0</v>
      </c>
      <c r="R112" s="168">
        <f>'RINCIAN B. LANGSUNG USAHA'!Q83</f>
        <v>0</v>
      </c>
      <c r="S112" s="168">
        <f t="shared" si="31"/>
        <v>0</v>
      </c>
      <c r="T112" s="274"/>
      <c r="Z112" s="178">
        <f t="shared" si="25"/>
        <v>0</v>
      </c>
    </row>
    <row r="113" spans="1:26" ht="15.75" customHeight="1" x14ac:dyDescent="0.15">
      <c r="A113" s="170" t="s">
        <v>536</v>
      </c>
      <c r="B113" s="242" t="s">
        <v>744</v>
      </c>
      <c r="C113" s="171"/>
      <c r="D113" s="172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>
        <f t="shared" si="30"/>
        <v>0</v>
      </c>
      <c r="R113" s="168">
        <f>'RINCIAN B. LANGSUNG USAHA'!Q84</f>
        <v>0</v>
      </c>
      <c r="S113" s="168">
        <f t="shared" si="31"/>
        <v>0</v>
      </c>
      <c r="T113" s="274"/>
      <c r="Z113" s="178">
        <f t="shared" si="25"/>
        <v>0</v>
      </c>
    </row>
    <row r="114" spans="1:26" ht="15.75" customHeight="1" x14ac:dyDescent="0.15">
      <c r="A114" s="170" t="s">
        <v>537</v>
      </c>
      <c r="B114" s="242" t="s">
        <v>539</v>
      </c>
      <c r="C114" s="171"/>
      <c r="D114" s="172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>
        <f t="shared" si="30"/>
        <v>0</v>
      </c>
      <c r="R114" s="168">
        <f>'RINCIAN B. LANGSUNG USAHA'!Q85</f>
        <v>0</v>
      </c>
      <c r="S114" s="168">
        <f t="shared" si="31"/>
        <v>0</v>
      </c>
      <c r="T114" s="274"/>
      <c r="Z114" s="178">
        <f t="shared" si="25"/>
        <v>0</v>
      </c>
    </row>
    <row r="115" spans="1:26" ht="15.75" customHeight="1" x14ac:dyDescent="0.15">
      <c r="A115" s="170" t="s">
        <v>540</v>
      </c>
      <c r="B115" s="242" t="s">
        <v>542</v>
      </c>
      <c r="C115" s="171"/>
      <c r="D115" s="172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>
        <f t="shared" si="30"/>
        <v>0</v>
      </c>
      <c r="R115" s="168">
        <f>'RINCIAN B. LANGSUNG USAHA'!Q86</f>
        <v>0</v>
      </c>
      <c r="S115" s="168">
        <f t="shared" si="31"/>
        <v>0</v>
      </c>
      <c r="T115" s="274"/>
      <c r="Z115" s="178">
        <f t="shared" si="25"/>
        <v>0</v>
      </c>
    </row>
    <row r="116" spans="1:26" ht="15.75" customHeight="1" x14ac:dyDescent="0.15">
      <c r="A116" s="170" t="s">
        <v>541</v>
      </c>
      <c r="B116" s="551" t="s">
        <v>415</v>
      </c>
      <c r="C116" s="552"/>
      <c r="D116" s="553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>
        <f t="shared" si="30"/>
        <v>0</v>
      </c>
      <c r="R116" s="168">
        <f>'RINCIAN B. LANGSUNG USAHA'!Q87</f>
        <v>0</v>
      </c>
      <c r="S116" s="168">
        <f t="shared" si="31"/>
        <v>0</v>
      </c>
      <c r="T116" s="274"/>
      <c r="Z116" s="178">
        <f t="shared" si="25"/>
        <v>0</v>
      </c>
    </row>
    <row r="117" spans="1:26" ht="15.75" customHeight="1" x14ac:dyDescent="0.15">
      <c r="A117" s="170" t="s">
        <v>271</v>
      </c>
      <c r="B117" s="242" t="s">
        <v>219</v>
      </c>
      <c r="C117" s="171"/>
      <c r="D117" s="172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>
        <f t="shared" si="30"/>
        <v>0</v>
      </c>
      <c r="R117" s="168">
        <f>'RINCIAN B. LANGSUNG USAHA'!Q88</f>
        <v>0</v>
      </c>
      <c r="S117" s="168">
        <f t="shared" si="31"/>
        <v>0</v>
      </c>
      <c r="T117" s="274"/>
      <c r="Z117" s="178">
        <f t="shared" si="25"/>
        <v>0</v>
      </c>
    </row>
    <row r="118" spans="1:26" ht="15.75" customHeight="1" x14ac:dyDescent="0.15">
      <c r="A118" s="179"/>
      <c r="B118" s="545" t="s">
        <v>272</v>
      </c>
      <c r="C118" s="546"/>
      <c r="D118" s="547"/>
      <c r="E118" s="180">
        <f t="shared" ref="E118:P118" si="32">SUM(E102:E117)</f>
        <v>0</v>
      </c>
      <c r="F118" s="180">
        <f t="shared" si="32"/>
        <v>0</v>
      </c>
      <c r="G118" s="180">
        <f t="shared" si="32"/>
        <v>0</v>
      </c>
      <c r="H118" s="180">
        <f t="shared" si="32"/>
        <v>0</v>
      </c>
      <c r="I118" s="180">
        <f t="shared" si="32"/>
        <v>0</v>
      </c>
      <c r="J118" s="180">
        <f t="shared" si="32"/>
        <v>0</v>
      </c>
      <c r="K118" s="180">
        <f t="shared" si="32"/>
        <v>0</v>
      </c>
      <c r="L118" s="180">
        <f t="shared" si="32"/>
        <v>0</v>
      </c>
      <c r="M118" s="180">
        <f t="shared" si="32"/>
        <v>0</v>
      </c>
      <c r="N118" s="180">
        <f t="shared" si="32"/>
        <v>0</v>
      </c>
      <c r="O118" s="180">
        <f t="shared" si="32"/>
        <v>0</v>
      </c>
      <c r="P118" s="180">
        <f t="shared" si="32"/>
        <v>0</v>
      </c>
      <c r="Q118" s="180">
        <f t="shared" si="30"/>
        <v>0</v>
      </c>
      <c r="R118" s="180">
        <f>SUM(R100:R117)</f>
        <v>0</v>
      </c>
      <c r="S118" s="180">
        <f>SUM(S100:S117)</f>
        <v>0</v>
      </c>
      <c r="T118" s="274">
        <f>'RINCIAN B. LANGSUNG USAHA'!Q89</f>
        <v>0</v>
      </c>
      <c r="Z118" s="178">
        <f t="shared" si="25"/>
        <v>0</v>
      </c>
    </row>
    <row r="119" spans="1:26" ht="15.75" customHeight="1" x14ac:dyDescent="0.15">
      <c r="A119" s="170" t="s">
        <v>273</v>
      </c>
      <c r="B119" s="242" t="s">
        <v>544</v>
      </c>
      <c r="C119" s="171"/>
      <c r="D119" s="172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274"/>
      <c r="Z119" s="178">
        <f t="shared" si="25"/>
        <v>0</v>
      </c>
    </row>
    <row r="120" spans="1:26" ht="15.75" customHeight="1" x14ac:dyDescent="0.15">
      <c r="A120" s="170" t="s">
        <v>275</v>
      </c>
      <c r="B120" s="242" t="s">
        <v>276</v>
      </c>
      <c r="C120" s="171"/>
      <c r="D120" s="172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>
        <f t="shared" ref="Q120:Q128" si="33">SUM(E120:P120)</f>
        <v>0</v>
      </c>
      <c r="R120" s="168">
        <f>'RINCIAN B. LANGSUNG USAHA'!Q91</f>
        <v>0</v>
      </c>
      <c r="S120" s="168">
        <f>Q120-R120</f>
        <v>0</v>
      </c>
      <c r="T120" s="274"/>
      <c r="Z120" s="178">
        <f t="shared" si="25"/>
        <v>0</v>
      </c>
    </row>
    <row r="121" spans="1:26" ht="15.75" customHeight="1" x14ac:dyDescent="0.15">
      <c r="A121" s="170" t="s">
        <v>277</v>
      </c>
      <c r="B121" s="242" t="s">
        <v>278</v>
      </c>
      <c r="C121" s="171"/>
      <c r="D121" s="172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>
        <f t="shared" si="33"/>
        <v>0</v>
      </c>
      <c r="R121" s="168">
        <f>'RINCIAN B. LANGSUNG USAHA'!Q92</f>
        <v>0</v>
      </c>
      <c r="S121" s="168">
        <f t="shared" ref="S121:S125" si="34">Q121-R121</f>
        <v>0</v>
      </c>
      <c r="T121" s="274"/>
      <c r="Z121" s="178">
        <f t="shared" si="25"/>
        <v>0</v>
      </c>
    </row>
    <row r="122" spans="1:26" ht="15.75" customHeight="1" x14ac:dyDescent="0.15">
      <c r="A122" s="170" t="s">
        <v>279</v>
      </c>
      <c r="B122" s="242" t="s">
        <v>280</v>
      </c>
      <c r="C122" s="171"/>
      <c r="D122" s="172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>
        <f t="shared" si="33"/>
        <v>0</v>
      </c>
      <c r="R122" s="168">
        <f>'RINCIAN B. LANGSUNG USAHA'!Q93</f>
        <v>0</v>
      </c>
      <c r="S122" s="168">
        <f t="shared" si="34"/>
        <v>0</v>
      </c>
      <c r="T122" s="274"/>
      <c r="Z122" s="178">
        <f t="shared" si="25"/>
        <v>0</v>
      </c>
    </row>
    <row r="123" spans="1:26" ht="15.75" customHeight="1" x14ac:dyDescent="0.15">
      <c r="A123" s="170" t="s">
        <v>281</v>
      </c>
      <c r="B123" s="242" t="s">
        <v>259</v>
      </c>
      <c r="C123" s="192"/>
      <c r="D123" s="193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>
        <f t="shared" si="33"/>
        <v>0</v>
      </c>
      <c r="R123" s="168">
        <f>'RINCIAN B. LANGSUNG USAHA'!Q94</f>
        <v>0</v>
      </c>
      <c r="S123" s="168">
        <f t="shared" si="34"/>
        <v>0</v>
      </c>
      <c r="T123" s="274"/>
      <c r="Z123" s="178">
        <f t="shared" si="25"/>
        <v>0</v>
      </c>
    </row>
    <row r="124" spans="1:26" ht="15.75" customHeight="1" x14ac:dyDescent="0.15">
      <c r="A124" s="170" t="s">
        <v>282</v>
      </c>
      <c r="B124" s="242" t="s">
        <v>283</v>
      </c>
      <c r="C124" s="171"/>
      <c r="D124" s="172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>
        <f t="shared" si="33"/>
        <v>0</v>
      </c>
      <c r="R124" s="168">
        <f>'RINCIAN B. LANGSUNG USAHA'!Q95</f>
        <v>0</v>
      </c>
      <c r="S124" s="168">
        <f t="shared" si="34"/>
        <v>0</v>
      </c>
      <c r="T124" s="274"/>
      <c r="Z124" s="178">
        <f t="shared" si="25"/>
        <v>0</v>
      </c>
    </row>
    <row r="125" spans="1:26" ht="15.75" customHeight="1" x14ac:dyDescent="0.15">
      <c r="A125" s="170" t="s">
        <v>284</v>
      </c>
      <c r="B125" s="242" t="s">
        <v>285</v>
      </c>
      <c r="C125" s="171"/>
      <c r="D125" s="172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>
        <f t="shared" si="33"/>
        <v>0</v>
      </c>
      <c r="R125" s="168">
        <f>'RINCIAN B. LANGSUNG USAHA'!Q96</f>
        <v>0</v>
      </c>
      <c r="S125" s="168">
        <f t="shared" si="34"/>
        <v>0</v>
      </c>
      <c r="T125" s="274"/>
      <c r="Z125" s="178">
        <f t="shared" si="25"/>
        <v>0</v>
      </c>
    </row>
    <row r="126" spans="1:26" ht="15.75" customHeight="1" x14ac:dyDescent="0.15">
      <c r="A126" s="179"/>
      <c r="B126" s="545" t="s">
        <v>745</v>
      </c>
      <c r="C126" s="546"/>
      <c r="D126" s="547"/>
      <c r="E126" s="180">
        <f>SUM(E120:E125)</f>
        <v>0</v>
      </c>
      <c r="F126" s="180">
        <f t="shared" ref="F126:P126" si="35">SUM(F120:F125)</f>
        <v>0</v>
      </c>
      <c r="G126" s="180">
        <f t="shared" si="35"/>
        <v>0</v>
      </c>
      <c r="H126" s="180">
        <f t="shared" si="35"/>
        <v>0</v>
      </c>
      <c r="I126" s="180">
        <f t="shared" si="35"/>
        <v>0</v>
      </c>
      <c r="J126" s="180">
        <f t="shared" si="35"/>
        <v>0</v>
      </c>
      <c r="K126" s="180">
        <f t="shared" si="35"/>
        <v>0</v>
      </c>
      <c r="L126" s="180">
        <f t="shared" si="35"/>
        <v>0</v>
      </c>
      <c r="M126" s="180">
        <f t="shared" si="35"/>
        <v>0</v>
      </c>
      <c r="N126" s="180">
        <f t="shared" si="35"/>
        <v>0</v>
      </c>
      <c r="O126" s="180">
        <f t="shared" si="35"/>
        <v>0</v>
      </c>
      <c r="P126" s="180">
        <f t="shared" si="35"/>
        <v>0</v>
      </c>
      <c r="Q126" s="180">
        <f t="shared" si="33"/>
        <v>0</v>
      </c>
      <c r="R126" s="180">
        <f>SUM(R119:R125)</f>
        <v>0</v>
      </c>
      <c r="S126" s="180">
        <f>SUM(S119:S125)</f>
        <v>0</v>
      </c>
      <c r="T126" s="274">
        <f>'RINCIAN B. LANGSUNG USAHA'!Q97</f>
        <v>0</v>
      </c>
      <c r="Z126" s="178">
        <f t="shared" si="25"/>
        <v>0</v>
      </c>
    </row>
    <row r="127" spans="1:26" ht="15.75" customHeight="1" x14ac:dyDescent="0.15">
      <c r="A127" s="179"/>
      <c r="B127" s="252" t="s">
        <v>240</v>
      </c>
      <c r="C127" s="184"/>
      <c r="D127" s="185"/>
      <c r="E127" s="180">
        <f>E126+E118</f>
        <v>0</v>
      </c>
      <c r="F127" s="180">
        <f t="shared" ref="F127:P127" si="36">F126+F118</f>
        <v>0</v>
      </c>
      <c r="G127" s="180">
        <f t="shared" si="36"/>
        <v>0</v>
      </c>
      <c r="H127" s="180">
        <f t="shared" si="36"/>
        <v>0</v>
      </c>
      <c r="I127" s="180">
        <f t="shared" si="36"/>
        <v>0</v>
      </c>
      <c r="J127" s="180">
        <f t="shared" si="36"/>
        <v>0</v>
      </c>
      <c r="K127" s="180">
        <f t="shared" si="36"/>
        <v>0</v>
      </c>
      <c r="L127" s="180">
        <f t="shared" si="36"/>
        <v>0</v>
      </c>
      <c r="M127" s="180">
        <f t="shared" si="36"/>
        <v>0</v>
      </c>
      <c r="N127" s="180">
        <f t="shared" si="36"/>
        <v>0</v>
      </c>
      <c r="O127" s="180">
        <f t="shared" si="36"/>
        <v>0</v>
      </c>
      <c r="P127" s="180">
        <f t="shared" si="36"/>
        <v>0</v>
      </c>
      <c r="Q127" s="180">
        <f>SUM(E127:P127)</f>
        <v>0</v>
      </c>
      <c r="R127" s="180">
        <f>R126+R118</f>
        <v>0</v>
      </c>
      <c r="S127" s="180">
        <f>S126+S118</f>
        <v>0</v>
      </c>
      <c r="T127" s="274"/>
      <c r="Z127" s="178">
        <f t="shared" si="25"/>
        <v>0</v>
      </c>
    </row>
    <row r="128" spans="1:26" ht="15.75" customHeight="1" x14ac:dyDescent="0.15">
      <c r="A128" s="179" t="s">
        <v>545</v>
      </c>
      <c r="B128" s="252" t="s">
        <v>546</v>
      </c>
      <c r="C128" s="184"/>
      <c r="D128" s="185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>
        <f t="shared" si="33"/>
        <v>0</v>
      </c>
      <c r="R128" s="180">
        <f>'RINCIAN B. LANGSUNG USAHA'!Q99</f>
        <v>0</v>
      </c>
      <c r="S128" s="180">
        <f t="shared" ref="S128" si="37">Q128-R128</f>
        <v>0</v>
      </c>
      <c r="T128" s="274"/>
      <c r="Z128" s="178">
        <f t="shared" si="25"/>
        <v>0</v>
      </c>
    </row>
    <row r="129" spans="1:26" ht="15.75" customHeight="1" x14ac:dyDescent="0.15">
      <c r="A129" s="179"/>
      <c r="B129" s="539" t="s">
        <v>746</v>
      </c>
      <c r="C129" s="540"/>
      <c r="D129" s="541"/>
      <c r="E129" s="180">
        <f>SUM(E127:E128)</f>
        <v>0</v>
      </c>
      <c r="F129" s="180">
        <f t="shared" ref="F129:P129" si="38">SUM(F127:F128)</f>
        <v>0</v>
      </c>
      <c r="G129" s="180">
        <f>SUM(G127:G128)</f>
        <v>0</v>
      </c>
      <c r="H129" s="180">
        <f t="shared" si="38"/>
        <v>0</v>
      </c>
      <c r="I129" s="180">
        <f t="shared" si="38"/>
        <v>0</v>
      </c>
      <c r="J129" s="180">
        <f t="shared" si="38"/>
        <v>0</v>
      </c>
      <c r="K129" s="180">
        <f t="shared" si="38"/>
        <v>0</v>
      </c>
      <c r="L129" s="180">
        <f t="shared" si="38"/>
        <v>0</v>
      </c>
      <c r="M129" s="180">
        <f t="shared" si="38"/>
        <v>0</v>
      </c>
      <c r="N129" s="180">
        <f t="shared" si="38"/>
        <v>0</v>
      </c>
      <c r="O129" s="180">
        <f t="shared" si="38"/>
        <v>0</v>
      </c>
      <c r="P129" s="180">
        <f t="shared" si="38"/>
        <v>0</v>
      </c>
      <c r="Q129" s="180">
        <f>SUM(Q127:Q128)</f>
        <v>0</v>
      </c>
      <c r="R129" s="180">
        <f>SUM(R127:R128)</f>
        <v>0</v>
      </c>
      <c r="S129" s="180">
        <f>SUM(S127:S128)</f>
        <v>0</v>
      </c>
      <c r="T129" s="274">
        <f>'RINCIAN B. LANGSUNG USAHA'!Q100</f>
        <v>0</v>
      </c>
      <c r="Z129" s="178">
        <f t="shared" si="25"/>
        <v>0</v>
      </c>
    </row>
    <row r="130" spans="1:26" ht="15.75" customHeight="1" x14ac:dyDescent="0.15">
      <c r="A130" s="161" t="s">
        <v>195</v>
      </c>
      <c r="B130" s="402" t="s">
        <v>747</v>
      </c>
      <c r="C130" s="387"/>
      <c r="D130" s="388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>
        <f>SUM(E130:P130)</f>
        <v>0</v>
      </c>
      <c r="R130" s="180">
        <f>'RINCIAN B. LANGSUNG USAHA'!Q101</f>
        <v>0</v>
      </c>
      <c r="S130" s="180">
        <f>Q130-R130</f>
        <v>0</v>
      </c>
      <c r="T130" s="274"/>
      <c r="Z130" s="178">
        <f t="shared" si="25"/>
        <v>0</v>
      </c>
    </row>
    <row r="131" spans="1:26" ht="15.75" customHeight="1" x14ac:dyDescent="0.15">
      <c r="A131" s="197"/>
      <c r="B131" s="198" t="s">
        <v>748</v>
      </c>
      <c r="C131" s="171"/>
      <c r="D131" s="172"/>
      <c r="E131" s="221">
        <f>E130+E127+E97+E46</f>
        <v>0</v>
      </c>
      <c r="F131" s="221">
        <f t="shared" ref="F131:R131" si="39">F130+F127+F97+F46</f>
        <v>0</v>
      </c>
      <c r="G131" s="221">
        <f t="shared" si="39"/>
        <v>0</v>
      </c>
      <c r="H131" s="221">
        <f t="shared" si="39"/>
        <v>0</v>
      </c>
      <c r="I131" s="221">
        <f t="shared" si="39"/>
        <v>0</v>
      </c>
      <c r="J131" s="221">
        <f t="shared" si="39"/>
        <v>0</v>
      </c>
      <c r="K131" s="221">
        <f t="shared" si="39"/>
        <v>0</v>
      </c>
      <c r="L131" s="221">
        <f t="shared" si="39"/>
        <v>0</v>
      </c>
      <c r="M131" s="221">
        <f t="shared" si="39"/>
        <v>0</v>
      </c>
      <c r="N131" s="221">
        <f t="shared" si="39"/>
        <v>0</v>
      </c>
      <c r="O131" s="221">
        <f t="shared" si="39"/>
        <v>0</v>
      </c>
      <c r="P131" s="221">
        <f t="shared" si="39"/>
        <v>0</v>
      </c>
      <c r="Q131" s="180">
        <f>SUM(E131:P131)</f>
        <v>0</v>
      </c>
      <c r="R131" s="180">
        <f t="shared" si="39"/>
        <v>0</v>
      </c>
      <c r="S131" s="180">
        <f>S130+S127+S97+S46</f>
        <v>0</v>
      </c>
      <c r="T131" s="274"/>
      <c r="Z131" s="178">
        <f t="shared" si="25"/>
        <v>0</v>
      </c>
    </row>
    <row r="132" spans="1:26" ht="15.75" customHeight="1" x14ac:dyDescent="0.15">
      <c r="A132" s="179"/>
      <c r="B132" s="252" t="s">
        <v>547</v>
      </c>
      <c r="C132" s="184"/>
      <c r="D132" s="185"/>
      <c r="E132" s="168">
        <f t="shared" ref="E132:S132" si="40">E128+E98+E47</f>
        <v>0</v>
      </c>
      <c r="F132" s="168">
        <f t="shared" si="40"/>
        <v>0</v>
      </c>
      <c r="G132" s="168">
        <f t="shared" si="40"/>
        <v>0</v>
      </c>
      <c r="H132" s="168">
        <f t="shared" si="40"/>
        <v>0</v>
      </c>
      <c r="I132" s="168">
        <f t="shared" si="40"/>
        <v>0</v>
      </c>
      <c r="J132" s="168">
        <f t="shared" si="40"/>
        <v>0</v>
      </c>
      <c r="K132" s="168">
        <f t="shared" si="40"/>
        <v>0</v>
      </c>
      <c r="L132" s="168">
        <f t="shared" si="40"/>
        <v>0</v>
      </c>
      <c r="M132" s="168">
        <f t="shared" si="40"/>
        <v>0</v>
      </c>
      <c r="N132" s="168">
        <f t="shared" si="40"/>
        <v>0</v>
      </c>
      <c r="O132" s="168">
        <f t="shared" si="40"/>
        <v>0</v>
      </c>
      <c r="P132" s="168">
        <f t="shared" si="40"/>
        <v>0</v>
      </c>
      <c r="Q132" s="168">
        <f>SUM(E132:P132)</f>
        <v>0</v>
      </c>
      <c r="R132" s="168">
        <f>R128+R98+R47</f>
        <v>0</v>
      </c>
      <c r="S132" s="168">
        <f t="shared" si="40"/>
        <v>0</v>
      </c>
      <c r="T132" s="274"/>
      <c r="Z132" s="178">
        <f t="shared" si="25"/>
        <v>0</v>
      </c>
    </row>
    <row r="133" spans="1:26" ht="15.75" customHeight="1" thickBot="1" x14ac:dyDescent="0.2">
      <c r="A133" s="199"/>
      <c r="B133" s="554" t="s">
        <v>749</v>
      </c>
      <c r="C133" s="555"/>
      <c r="D133" s="556"/>
      <c r="E133" s="200">
        <f>SUM(E131:E132)</f>
        <v>0</v>
      </c>
      <c r="F133" s="200">
        <f t="shared" ref="F133:P133" si="41">SUM(F131:F132)</f>
        <v>0</v>
      </c>
      <c r="G133" s="200">
        <f t="shared" si="41"/>
        <v>0</v>
      </c>
      <c r="H133" s="200">
        <f t="shared" si="41"/>
        <v>0</v>
      </c>
      <c r="I133" s="200">
        <f t="shared" si="41"/>
        <v>0</v>
      </c>
      <c r="J133" s="200">
        <f t="shared" si="41"/>
        <v>0</v>
      </c>
      <c r="K133" s="200">
        <f t="shared" si="41"/>
        <v>0</v>
      </c>
      <c r="L133" s="200">
        <f t="shared" si="41"/>
        <v>0</v>
      </c>
      <c r="M133" s="200">
        <f t="shared" si="41"/>
        <v>0</v>
      </c>
      <c r="N133" s="200">
        <f t="shared" si="41"/>
        <v>0</v>
      </c>
      <c r="O133" s="200">
        <f t="shared" si="41"/>
        <v>0</v>
      </c>
      <c r="P133" s="200">
        <f t="shared" si="41"/>
        <v>0</v>
      </c>
      <c r="Q133" s="200">
        <f>SUM(Q131:Q132)</f>
        <v>0</v>
      </c>
      <c r="R133" s="200">
        <f>SUM(R131:R132)</f>
        <v>0</v>
      </c>
      <c r="S133" s="200">
        <f>SUM(S131:S132)</f>
        <v>0</v>
      </c>
      <c r="T133" s="416">
        <f>S133-S134</f>
        <v>0</v>
      </c>
      <c r="Z133" s="178">
        <f t="shared" si="25"/>
        <v>0</v>
      </c>
    </row>
    <row r="134" spans="1:26" ht="12.75" customHeight="1" thickTop="1" x14ac:dyDescent="0.15">
      <c r="A134" s="202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>
        <f>'RINCIAN B. LANGSUNG USAHA'!Q104</f>
        <v>0</v>
      </c>
      <c r="S134" s="204">
        <f>Q133-R134</f>
        <v>0</v>
      </c>
      <c r="T134" s="204"/>
      <c r="Z134" s="178">
        <f t="shared" si="25"/>
        <v>0</v>
      </c>
    </row>
    <row r="135" spans="1:26" ht="12.75" customHeight="1" x14ac:dyDescent="0.15">
      <c r="A135" s="202"/>
      <c r="E135" s="204">
        <f>E55+E61+E104+E110</f>
        <v>0</v>
      </c>
      <c r="F135" s="204">
        <f>F55+F61+F104+F110</f>
        <v>0</v>
      </c>
      <c r="G135" s="204">
        <f>G55+G61+G104+G110</f>
        <v>0</v>
      </c>
      <c r="H135" s="204">
        <f t="shared" ref="H135:P135" si="42">H55+H61+H104+H110</f>
        <v>0</v>
      </c>
      <c r="I135" s="204">
        <f t="shared" si="42"/>
        <v>0</v>
      </c>
      <c r="J135" s="204">
        <f t="shared" si="42"/>
        <v>0</v>
      </c>
      <c r="K135" s="204">
        <f t="shared" si="42"/>
        <v>0</v>
      </c>
      <c r="L135" s="204">
        <f t="shared" si="42"/>
        <v>0</v>
      </c>
      <c r="M135" s="204">
        <f t="shared" si="42"/>
        <v>0</v>
      </c>
      <c r="N135" s="204">
        <f t="shared" si="42"/>
        <v>0</v>
      </c>
      <c r="O135" s="204">
        <f t="shared" si="42"/>
        <v>0</v>
      </c>
      <c r="P135" s="204">
        <f t="shared" si="42"/>
        <v>0</v>
      </c>
      <c r="Q135" s="403"/>
      <c r="R135" s="403"/>
      <c r="S135" s="403">
        <f>R133-R134</f>
        <v>0</v>
      </c>
      <c r="T135" s="403"/>
    </row>
    <row r="136" spans="1:26" ht="12.75" customHeight="1" x14ac:dyDescent="0.15">
      <c r="A136" s="202"/>
      <c r="E136" s="206">
        <f>E133-E135</f>
        <v>0</v>
      </c>
      <c r="F136" s="206">
        <f>F133-F135</f>
        <v>0</v>
      </c>
      <c r="G136" s="206">
        <f>G133-G135</f>
        <v>0</v>
      </c>
      <c r="H136" s="206">
        <f t="shared" ref="H136:P136" si="43">H133-H135</f>
        <v>0</v>
      </c>
      <c r="I136" s="206">
        <f t="shared" si="43"/>
        <v>0</v>
      </c>
      <c r="J136" s="206">
        <f t="shared" si="43"/>
        <v>0</v>
      </c>
      <c r="K136" s="206">
        <f t="shared" si="43"/>
        <v>0</v>
      </c>
      <c r="L136" s="206">
        <f t="shared" si="43"/>
        <v>0</v>
      </c>
      <c r="M136" s="206">
        <f t="shared" si="43"/>
        <v>0</v>
      </c>
      <c r="N136" s="206">
        <f t="shared" si="43"/>
        <v>0</v>
      </c>
      <c r="O136" s="206">
        <f t="shared" si="43"/>
        <v>0</v>
      </c>
      <c r="P136" s="206">
        <f t="shared" si="43"/>
        <v>0</v>
      </c>
      <c r="Q136" s="206"/>
      <c r="R136" s="206"/>
      <c r="S136" s="206"/>
      <c r="T136" s="206"/>
    </row>
    <row r="137" spans="1:26" ht="12.75" customHeight="1" x14ac:dyDescent="0.15">
      <c r="A137" s="202"/>
      <c r="K137" s="178"/>
      <c r="Q137" s="178"/>
      <c r="R137" s="178"/>
      <c r="S137" s="178"/>
      <c r="T137" s="178"/>
    </row>
    <row r="138" spans="1:26" ht="12.75" customHeight="1" x14ac:dyDescent="0.15">
      <c r="A138" s="202"/>
      <c r="K138" s="178"/>
    </row>
    <row r="139" spans="1:26" ht="12.75" customHeight="1" x14ac:dyDescent="0.15">
      <c r="A139" s="202"/>
      <c r="K139" s="544"/>
      <c r="L139" s="544"/>
    </row>
    <row r="140" spans="1:26" ht="12.75" customHeight="1" x14ac:dyDescent="0.15">
      <c r="A140" s="202"/>
      <c r="B140" s="158"/>
    </row>
    <row r="141" spans="1:26" ht="12.75" customHeight="1" x14ac:dyDescent="0.15">
      <c r="A141" s="202"/>
      <c r="B141" s="158"/>
    </row>
    <row r="142" spans="1:26" ht="12.75" customHeight="1" x14ac:dyDescent="0.15">
      <c r="A142" s="202"/>
      <c r="B142" s="158"/>
    </row>
    <row r="143" spans="1:26" ht="12.75" customHeight="1" x14ac:dyDescent="0.15">
      <c r="A143" s="202"/>
      <c r="B143" s="158"/>
    </row>
    <row r="144" spans="1:26" ht="12.75" customHeight="1" x14ac:dyDescent="0.15">
      <c r="A144" s="202"/>
      <c r="B144" s="158"/>
    </row>
    <row r="145" spans="1:2" ht="12.75" customHeight="1" x14ac:dyDescent="0.15">
      <c r="A145" s="202"/>
      <c r="B145" s="158"/>
    </row>
    <row r="146" spans="1:2" ht="12.75" customHeight="1" x14ac:dyDescent="0.15">
      <c r="A146" s="202"/>
      <c r="B146" s="158"/>
    </row>
    <row r="147" spans="1:2" ht="12.75" customHeight="1" x14ac:dyDescent="0.15">
      <c r="A147" s="202"/>
      <c r="B147" s="158"/>
    </row>
    <row r="148" spans="1:2" ht="12.75" customHeight="1" x14ac:dyDescent="0.15">
      <c r="A148" s="202"/>
      <c r="B148" s="158"/>
    </row>
    <row r="149" spans="1:2" ht="12.75" customHeight="1" x14ac:dyDescent="0.15">
      <c r="A149" s="202"/>
      <c r="B149" s="158"/>
    </row>
    <row r="150" spans="1:2" ht="12.75" customHeight="1" x14ac:dyDescent="0.15">
      <c r="A150" s="202"/>
      <c r="B150" s="158"/>
    </row>
    <row r="151" spans="1:2" ht="12.75" customHeight="1" x14ac:dyDescent="0.15">
      <c r="A151" s="202"/>
      <c r="B151" s="158"/>
    </row>
    <row r="152" spans="1:2" ht="12.75" customHeight="1" x14ac:dyDescent="0.15">
      <c r="A152" s="202"/>
      <c r="B152" s="158"/>
    </row>
    <row r="153" spans="1:2" ht="12.75" customHeight="1" x14ac:dyDescent="0.15">
      <c r="A153" s="202"/>
      <c r="B153" s="158"/>
    </row>
    <row r="154" spans="1:2" ht="12.75" customHeight="1" x14ac:dyDescent="0.15">
      <c r="A154" s="202"/>
      <c r="B154" s="158"/>
    </row>
    <row r="155" spans="1:2" ht="12.75" customHeight="1" x14ac:dyDescent="0.15">
      <c r="A155" s="202"/>
      <c r="B155" s="158"/>
    </row>
    <row r="156" spans="1:2" ht="12.75" customHeight="1" x14ac:dyDescent="0.15">
      <c r="A156" s="202"/>
      <c r="B156" s="158"/>
    </row>
    <row r="157" spans="1:2" ht="12.75" customHeight="1" x14ac:dyDescent="0.15">
      <c r="A157" s="202"/>
      <c r="B157" s="158"/>
    </row>
    <row r="158" spans="1:2" ht="12.75" customHeight="1" x14ac:dyDescent="0.15">
      <c r="A158" s="202"/>
      <c r="B158" s="158"/>
    </row>
    <row r="159" spans="1:2" ht="12.75" customHeight="1" x14ac:dyDescent="0.15">
      <c r="A159" s="202"/>
      <c r="B159" s="158"/>
    </row>
    <row r="160" spans="1:2" ht="12.75" customHeight="1" x14ac:dyDescent="0.15">
      <c r="A160" s="202"/>
      <c r="B160" s="158"/>
    </row>
    <row r="161" spans="1:2" ht="12.75" customHeight="1" x14ac:dyDescent="0.15">
      <c r="A161" s="202"/>
      <c r="B161" s="158"/>
    </row>
    <row r="162" spans="1:2" ht="12.75" customHeight="1" x14ac:dyDescent="0.15">
      <c r="A162" s="202"/>
      <c r="B162" s="158"/>
    </row>
    <row r="163" spans="1:2" ht="12.75" customHeight="1" x14ac:dyDescent="0.15">
      <c r="A163" s="202"/>
      <c r="B163" s="158"/>
    </row>
    <row r="164" spans="1:2" ht="12.75" customHeight="1" x14ac:dyDescent="0.15">
      <c r="A164" s="202"/>
      <c r="B164" s="158"/>
    </row>
    <row r="165" spans="1:2" ht="12.75" customHeight="1" x14ac:dyDescent="0.15">
      <c r="A165" s="202"/>
      <c r="B165" s="158"/>
    </row>
    <row r="166" spans="1:2" ht="12.75" customHeight="1" x14ac:dyDescent="0.15">
      <c r="A166" s="202"/>
      <c r="B166" s="158"/>
    </row>
    <row r="167" spans="1:2" ht="12.75" customHeight="1" x14ac:dyDescent="0.15">
      <c r="A167" s="202"/>
      <c r="B167" s="158"/>
    </row>
    <row r="168" spans="1:2" ht="12.75" customHeight="1" x14ac:dyDescent="0.15">
      <c r="A168" s="202"/>
      <c r="B168" s="158"/>
    </row>
    <row r="169" spans="1:2" ht="12.75" customHeight="1" x14ac:dyDescent="0.15">
      <c r="A169" s="202"/>
      <c r="B169" s="158"/>
    </row>
    <row r="170" spans="1:2" ht="12.75" customHeight="1" x14ac:dyDescent="0.15">
      <c r="A170" s="202"/>
      <c r="B170" s="158"/>
    </row>
    <row r="171" spans="1:2" ht="12.75" customHeight="1" x14ac:dyDescent="0.15">
      <c r="A171" s="202"/>
      <c r="B171" s="158"/>
    </row>
    <row r="172" spans="1:2" ht="12.75" customHeight="1" x14ac:dyDescent="0.15">
      <c r="A172" s="202"/>
      <c r="B172" s="158"/>
    </row>
    <row r="173" spans="1:2" ht="12.75" customHeight="1" x14ac:dyDescent="0.15">
      <c r="A173" s="202"/>
      <c r="B173" s="158"/>
    </row>
    <row r="174" spans="1:2" ht="12.75" customHeight="1" x14ac:dyDescent="0.15">
      <c r="A174" s="202"/>
      <c r="B174" s="158"/>
    </row>
    <row r="175" spans="1:2" ht="12.75" customHeight="1" x14ac:dyDescent="0.15">
      <c r="A175" s="202"/>
      <c r="B175" s="158"/>
    </row>
    <row r="176" spans="1:2" ht="12.75" customHeight="1" x14ac:dyDescent="0.15">
      <c r="A176" s="202"/>
      <c r="B176" s="158"/>
    </row>
    <row r="177" spans="1:2" ht="12.75" customHeight="1" x14ac:dyDescent="0.15">
      <c r="A177" s="202"/>
      <c r="B177" s="158"/>
    </row>
    <row r="178" spans="1:2" ht="12.75" customHeight="1" x14ac:dyDescent="0.15">
      <c r="A178" s="202"/>
      <c r="B178" s="158"/>
    </row>
    <row r="179" spans="1:2" ht="12.75" customHeight="1" x14ac:dyDescent="0.15">
      <c r="A179" s="202"/>
      <c r="B179" s="158"/>
    </row>
    <row r="180" spans="1:2" ht="12.75" customHeight="1" x14ac:dyDescent="0.15">
      <c r="A180" s="202"/>
      <c r="B180" s="158"/>
    </row>
    <row r="181" spans="1:2" ht="12.75" customHeight="1" x14ac:dyDescent="0.15">
      <c r="A181" s="202"/>
      <c r="B181" s="158"/>
    </row>
    <row r="182" spans="1:2" ht="12.75" customHeight="1" x14ac:dyDescent="0.15">
      <c r="A182" s="202"/>
      <c r="B182" s="158"/>
    </row>
    <row r="183" spans="1:2" ht="12.75" customHeight="1" x14ac:dyDescent="0.15">
      <c r="A183" s="202"/>
      <c r="B183" s="158"/>
    </row>
    <row r="184" spans="1:2" ht="12.75" customHeight="1" x14ac:dyDescent="0.15">
      <c r="A184" s="202"/>
      <c r="B184" s="158"/>
    </row>
    <row r="185" spans="1:2" ht="12.75" customHeight="1" x14ac:dyDescent="0.15">
      <c r="A185" s="202"/>
      <c r="B185" s="158"/>
    </row>
    <row r="186" spans="1:2" ht="12.75" customHeight="1" x14ac:dyDescent="0.15">
      <c r="A186" s="202"/>
      <c r="B186" s="158"/>
    </row>
    <row r="187" spans="1:2" ht="12.75" customHeight="1" x14ac:dyDescent="0.15">
      <c r="A187" s="202"/>
      <c r="B187" s="158"/>
    </row>
  </sheetData>
  <mergeCells count="24">
    <mergeCell ref="K139:L139"/>
    <mergeCell ref="B48:D48"/>
    <mergeCell ref="B87:D87"/>
    <mergeCell ref="B88:D88"/>
    <mergeCell ref="B90:D90"/>
    <mergeCell ref="B96:D96"/>
    <mergeCell ref="B99:D99"/>
    <mergeCell ref="B116:D116"/>
    <mergeCell ref="B118:D118"/>
    <mergeCell ref="B126:D126"/>
    <mergeCell ref="B129:D129"/>
    <mergeCell ref="B133:D133"/>
    <mergeCell ref="B46:D46"/>
    <mergeCell ref="K2:L2"/>
    <mergeCell ref="N2:O2"/>
    <mergeCell ref="P2:Q2"/>
    <mergeCell ref="A4:Q4"/>
    <mergeCell ref="A5:Q5"/>
    <mergeCell ref="P7:Q7"/>
    <mergeCell ref="B8:D9"/>
    <mergeCell ref="B10:D10"/>
    <mergeCell ref="B36:D36"/>
    <mergeCell ref="B44:D44"/>
    <mergeCell ref="E8:P8"/>
  </mergeCells>
  <pageMargins left="0.39370078740157483" right="0.31496062992125984" top="0.78740157480314965" bottom="0.59055118110236227" header="0.31496062992125984" footer="0.31496062992125984"/>
  <pageSetup paperSize="9" scale="78" firstPageNumber="31" orientation="landscape" useFirstPageNumber="1" horizontalDpi="4294967293" verticalDpi="300" r:id="rId1"/>
  <headerFooter>
    <oddFooter>&amp;C&amp;"Times New Roman,Regular"&amp;10~ &amp;P ~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FD70B-166C-428F-87F2-723EC1D36AF1}">
  <sheetPr>
    <tabColor rgb="FFFF0000"/>
  </sheetPr>
  <dimension ref="A1:V139"/>
  <sheetViews>
    <sheetView showGridLines="0" showWhiteSpace="0" view="pageBreakPreview" zoomScale="145" zoomScaleSheetLayoutView="145" zoomScalePageLayoutView="110" workbookViewId="0">
      <pane ySplit="11" topLeftCell="A12" activePane="bottomLeft" state="frozen"/>
      <selection activeCell="B1" sqref="B1"/>
      <selection pane="bottomLeft" activeCell="V26" sqref="V26"/>
    </sheetView>
  </sheetViews>
  <sheetFormatPr defaultColWidth="9.140625" defaultRowHeight="12.75" customHeight="1" x14ac:dyDescent="0.15"/>
  <cols>
    <col min="1" max="1" width="5.42578125" style="158" customWidth="1"/>
    <col min="2" max="2" width="2.85546875" style="203" customWidth="1"/>
    <col min="3" max="3" width="3.140625" style="158" customWidth="1"/>
    <col min="4" max="4" width="20.5703125" style="158" customWidth="1"/>
    <col min="5" max="16" width="8.5703125" style="158" customWidth="1"/>
    <col min="17" max="17" width="12.140625" style="158" customWidth="1"/>
    <col min="18" max="18" width="10.85546875" style="158" customWidth="1"/>
    <col min="19" max="20" width="9.7109375" style="158" customWidth="1"/>
    <col min="21" max="21" width="15.140625" style="392" customWidth="1"/>
    <col min="22" max="16384" width="9.140625" style="158"/>
  </cols>
  <sheetData>
    <row r="1" spans="1:21" s="407" customFormat="1" ht="12.75" customHeight="1" thickBot="1" x14ac:dyDescent="0.3">
      <c r="A1" s="404" t="s">
        <v>11</v>
      </c>
      <c r="B1" s="405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404"/>
      <c r="N1" s="404"/>
      <c r="O1" s="404"/>
      <c r="P1" s="404"/>
      <c r="Q1" s="404"/>
      <c r="R1" s="404"/>
      <c r="S1" s="404"/>
      <c r="T1" s="404"/>
      <c r="U1" s="406"/>
    </row>
    <row r="2" spans="1:21" s="407" customFormat="1" ht="13.5" customHeight="1" thickBot="1" x14ac:dyDescent="0.3">
      <c r="A2" s="404" t="s">
        <v>689</v>
      </c>
      <c r="B2" s="405"/>
      <c r="C2" s="404"/>
      <c r="D2" s="404"/>
      <c r="E2" s="404"/>
      <c r="F2" s="404"/>
      <c r="G2" s="404"/>
      <c r="H2" s="404"/>
      <c r="I2" s="404"/>
      <c r="J2" s="404"/>
      <c r="K2" s="404"/>
      <c r="L2" s="558"/>
      <c r="M2" s="558"/>
      <c r="N2" s="404"/>
      <c r="O2" s="404"/>
      <c r="P2" s="533" t="s">
        <v>750</v>
      </c>
      <c r="Q2" s="534"/>
      <c r="R2" s="155"/>
      <c r="S2" s="155"/>
      <c r="T2" s="155"/>
      <c r="U2" s="406"/>
    </row>
    <row r="3" spans="1:21" s="407" customFormat="1" ht="12.75" customHeight="1" x14ac:dyDescent="0.25">
      <c r="A3" s="404" t="s">
        <v>691</v>
      </c>
      <c r="B3" s="405"/>
      <c r="C3" s="404"/>
      <c r="D3" s="404"/>
      <c r="E3" s="404"/>
      <c r="F3" s="404"/>
      <c r="G3" s="404"/>
      <c r="H3" s="404"/>
      <c r="I3" s="404"/>
      <c r="J3" s="404"/>
      <c r="K3" s="404"/>
      <c r="L3" s="389"/>
      <c r="M3" s="389"/>
      <c r="N3" s="404"/>
      <c r="O3" s="404"/>
      <c r="P3" s="404"/>
      <c r="Q3" s="155"/>
      <c r="R3" s="155"/>
      <c r="S3" s="155"/>
      <c r="T3" s="155"/>
      <c r="U3" s="406"/>
    </row>
    <row r="4" spans="1:21" s="150" customFormat="1" ht="3.75" customHeight="1" x14ac:dyDescent="0.2">
      <c r="A4" s="267"/>
      <c r="B4" s="268"/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  <c r="Q4" s="267"/>
      <c r="R4" s="267"/>
      <c r="S4" s="267"/>
      <c r="T4" s="267"/>
      <c r="U4" s="408"/>
    </row>
    <row r="5" spans="1:21" s="150" customFormat="1" ht="12.75" customHeight="1" x14ac:dyDescent="0.2">
      <c r="A5" s="558" t="s">
        <v>426</v>
      </c>
      <c r="B5" s="558"/>
      <c r="C5" s="558"/>
      <c r="D5" s="558"/>
      <c r="E5" s="558"/>
      <c r="F5" s="558"/>
      <c r="G5" s="558"/>
      <c r="H5" s="558"/>
      <c r="I5" s="558"/>
      <c r="J5" s="558"/>
      <c r="K5" s="558"/>
      <c r="L5" s="558"/>
      <c r="M5" s="558"/>
      <c r="N5" s="558"/>
      <c r="O5" s="558"/>
      <c r="P5" s="558"/>
      <c r="Q5" s="558"/>
      <c r="R5" s="389"/>
      <c r="S5" s="389"/>
      <c r="T5" s="389"/>
      <c r="U5" s="408"/>
    </row>
    <row r="6" spans="1:21" s="150" customFormat="1" ht="14.25" customHeight="1" x14ac:dyDescent="0.2">
      <c r="A6" s="558" t="s">
        <v>771</v>
      </c>
      <c r="B6" s="558"/>
      <c r="C6" s="558"/>
      <c r="D6" s="558"/>
      <c r="E6" s="558"/>
      <c r="F6" s="558"/>
      <c r="G6" s="558"/>
      <c r="H6" s="558"/>
      <c r="I6" s="558"/>
      <c r="J6" s="558"/>
      <c r="K6" s="558"/>
      <c r="L6" s="558"/>
      <c r="M6" s="558"/>
      <c r="N6" s="558"/>
      <c r="O6" s="558"/>
      <c r="P6" s="558"/>
      <c r="Q6" s="558"/>
      <c r="R6" s="389"/>
      <c r="S6" s="389"/>
      <c r="T6" s="389"/>
      <c r="U6" s="408"/>
    </row>
    <row r="7" spans="1:21" s="150" customFormat="1" ht="9" customHeight="1" x14ac:dyDescent="0.2">
      <c r="A7" s="248"/>
      <c r="B7" s="26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77"/>
      <c r="N7" s="248"/>
      <c r="O7" s="248"/>
      <c r="P7" s="248"/>
      <c r="Q7" s="248"/>
      <c r="R7" s="248"/>
      <c r="S7" s="248"/>
      <c r="T7" s="248"/>
      <c r="U7" s="408"/>
    </row>
    <row r="8" spans="1:21" s="150" customFormat="1" ht="15.75" customHeight="1" thickBot="1" x14ac:dyDescent="0.25">
      <c r="A8" s="409" t="s">
        <v>462</v>
      </c>
      <c r="B8" s="268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78"/>
      <c r="P8" s="559"/>
      <c r="Q8" s="559"/>
      <c r="R8" s="390"/>
      <c r="S8" s="390"/>
      <c r="T8" s="390"/>
      <c r="U8" s="408"/>
    </row>
    <row r="9" spans="1:21" ht="15.75" customHeight="1" thickTop="1" x14ac:dyDescent="0.15">
      <c r="A9" s="157" t="s">
        <v>199</v>
      </c>
      <c r="B9" s="536" t="s">
        <v>10</v>
      </c>
      <c r="C9" s="536"/>
      <c r="D9" s="536"/>
      <c r="E9" s="557" t="s">
        <v>200</v>
      </c>
      <c r="F9" s="557"/>
      <c r="G9" s="557"/>
      <c r="H9" s="557"/>
      <c r="I9" s="557"/>
      <c r="J9" s="557"/>
      <c r="K9" s="557"/>
      <c r="L9" s="557"/>
      <c r="M9" s="557"/>
      <c r="N9" s="557"/>
      <c r="O9" s="557"/>
      <c r="P9" s="557"/>
      <c r="Q9" s="249" t="s">
        <v>4</v>
      </c>
      <c r="R9" s="418" t="s">
        <v>434</v>
      </c>
      <c r="S9" s="418" t="s">
        <v>769</v>
      </c>
      <c r="T9" s="215"/>
    </row>
    <row r="10" spans="1:21" ht="15.75" customHeight="1" x14ac:dyDescent="0.15">
      <c r="A10" s="159" t="s">
        <v>202</v>
      </c>
      <c r="B10" s="537"/>
      <c r="C10" s="537"/>
      <c r="D10" s="537"/>
      <c r="E10" s="250">
        <v>1</v>
      </c>
      <c r="F10" s="250">
        <v>2</v>
      </c>
      <c r="G10" s="250">
        <v>3</v>
      </c>
      <c r="H10" s="250">
        <v>4</v>
      </c>
      <c r="I10" s="250">
        <v>5</v>
      </c>
      <c r="J10" s="250">
        <v>6</v>
      </c>
      <c r="K10" s="250">
        <v>7</v>
      </c>
      <c r="L10" s="250">
        <v>8</v>
      </c>
      <c r="M10" s="250">
        <v>9</v>
      </c>
      <c r="N10" s="250">
        <v>10</v>
      </c>
      <c r="O10" s="250">
        <v>11</v>
      </c>
      <c r="P10" s="250">
        <v>12</v>
      </c>
      <c r="Q10" s="160">
        <v>2026</v>
      </c>
      <c r="R10" s="419">
        <v>2026</v>
      </c>
      <c r="S10" s="419">
        <v>2026</v>
      </c>
      <c r="T10" s="415"/>
    </row>
    <row r="11" spans="1:21" ht="15.75" customHeight="1" x14ac:dyDescent="0.15">
      <c r="A11" s="161">
        <v>1</v>
      </c>
      <c r="B11" s="538">
        <v>2</v>
      </c>
      <c r="C11" s="538"/>
      <c r="D11" s="538"/>
      <c r="E11" s="251">
        <v>3</v>
      </c>
      <c r="F11" s="251">
        <v>4</v>
      </c>
      <c r="G11" s="251">
        <v>5</v>
      </c>
      <c r="H11" s="251">
        <v>6</v>
      </c>
      <c r="I11" s="251">
        <v>7</v>
      </c>
      <c r="J11" s="251">
        <v>8</v>
      </c>
      <c r="K11" s="251">
        <v>9</v>
      </c>
      <c r="L11" s="251">
        <v>10</v>
      </c>
      <c r="M11" s="251">
        <v>11</v>
      </c>
      <c r="N11" s="251">
        <v>12</v>
      </c>
      <c r="O11" s="251">
        <v>13</v>
      </c>
      <c r="P11" s="251">
        <v>14</v>
      </c>
      <c r="Q11" s="251">
        <v>15</v>
      </c>
      <c r="R11" s="418"/>
      <c r="S11" s="418"/>
      <c r="T11" s="215"/>
    </row>
    <row r="12" spans="1:21" ht="15.75" customHeight="1" x14ac:dyDescent="0.15">
      <c r="A12" s="163" t="s">
        <v>477</v>
      </c>
      <c r="B12" s="164" t="s">
        <v>631</v>
      </c>
      <c r="C12" s="165"/>
      <c r="D12" s="166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8"/>
      <c r="S12" s="168"/>
      <c r="T12" s="274"/>
    </row>
    <row r="13" spans="1:21" ht="15.75" customHeight="1" x14ac:dyDescent="0.15">
      <c r="A13" s="170" t="s">
        <v>550</v>
      </c>
      <c r="B13" s="242" t="s">
        <v>751</v>
      </c>
      <c r="C13" s="171"/>
      <c r="D13" s="172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>
        <f>'RINCIAN B. TDK LANGSUNG'!Q12</f>
        <v>0</v>
      </c>
      <c r="S13" s="168">
        <f>SUM(Q14:Q17)-R13</f>
        <v>0</v>
      </c>
      <c r="T13" s="274"/>
    </row>
    <row r="14" spans="1:21" ht="15.75" customHeight="1" x14ac:dyDescent="0.15">
      <c r="A14" s="170"/>
      <c r="B14" s="242" t="s">
        <v>427</v>
      </c>
      <c r="C14" s="171"/>
      <c r="D14" s="172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>
        <f t="shared" ref="Q14:Q29" si="0">SUM(E14:P14)</f>
        <v>0</v>
      </c>
      <c r="R14" s="168"/>
      <c r="S14" s="168"/>
      <c r="T14" s="274"/>
    </row>
    <row r="15" spans="1:21" ht="15.75" customHeight="1" x14ac:dyDescent="0.15">
      <c r="A15" s="170"/>
      <c r="B15" s="242" t="s">
        <v>752</v>
      </c>
      <c r="C15" s="171"/>
      <c r="D15" s="172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>
        <f t="shared" si="0"/>
        <v>0</v>
      </c>
      <c r="R15" s="168"/>
      <c r="S15" s="168"/>
      <c r="T15" s="274"/>
    </row>
    <row r="16" spans="1:21" ht="15.75" customHeight="1" x14ac:dyDescent="0.15">
      <c r="A16" s="170"/>
      <c r="B16" s="242" t="s">
        <v>753</v>
      </c>
      <c r="C16" s="171"/>
      <c r="D16" s="172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>
        <f t="shared" si="0"/>
        <v>0</v>
      </c>
      <c r="R16" s="168"/>
      <c r="S16" s="168"/>
      <c r="T16" s="274"/>
    </row>
    <row r="17" spans="1:22" ht="15.75" customHeight="1" x14ac:dyDescent="0.15">
      <c r="A17" s="170"/>
      <c r="B17" s="560" t="s">
        <v>754</v>
      </c>
      <c r="C17" s="561"/>
      <c r="D17" s="562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>
        <f t="shared" si="0"/>
        <v>0</v>
      </c>
      <c r="R17" s="168"/>
      <c r="S17" s="168"/>
      <c r="T17" s="274"/>
    </row>
    <row r="18" spans="1:22" ht="15.75" customHeight="1" x14ac:dyDescent="0.15">
      <c r="A18" s="170" t="s">
        <v>556</v>
      </c>
      <c r="B18" s="242" t="s">
        <v>755</v>
      </c>
      <c r="C18" s="171"/>
      <c r="D18" s="172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>
        <f t="shared" si="0"/>
        <v>0</v>
      </c>
      <c r="R18" s="168"/>
      <c r="S18" s="168"/>
      <c r="T18" s="274"/>
    </row>
    <row r="19" spans="1:22" ht="15.75" customHeight="1" x14ac:dyDescent="0.15">
      <c r="A19" s="170"/>
      <c r="B19" s="242" t="s">
        <v>756</v>
      </c>
      <c r="C19" s="171"/>
      <c r="D19" s="172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>
        <f t="shared" si="0"/>
        <v>0</v>
      </c>
      <c r="R19" s="168">
        <f>'RINCIAN B. TDK LANGSUNG'!Q18</f>
        <v>0</v>
      </c>
      <c r="S19" s="168">
        <f>Q19-R19</f>
        <v>0</v>
      </c>
      <c r="T19" s="274"/>
    </row>
    <row r="20" spans="1:22" ht="15.75" customHeight="1" x14ac:dyDescent="0.15">
      <c r="A20" s="170"/>
      <c r="B20" s="242" t="s">
        <v>757</v>
      </c>
      <c r="C20" s="171"/>
      <c r="D20" s="172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>
        <f t="shared" si="0"/>
        <v>0</v>
      </c>
      <c r="R20" s="168">
        <f>'RINCIAN B. TDK LANGSUNG'!Q19</f>
        <v>0</v>
      </c>
      <c r="S20" s="168">
        <f t="shared" ref="S20:S29" si="1">Q20-R20</f>
        <v>0</v>
      </c>
      <c r="T20" s="274"/>
    </row>
    <row r="21" spans="1:22" ht="15.75" customHeight="1" x14ac:dyDescent="0.15">
      <c r="A21" s="170"/>
      <c r="B21" s="242" t="s">
        <v>758</v>
      </c>
      <c r="C21" s="171"/>
      <c r="D21" s="172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>
        <f t="shared" si="0"/>
        <v>0</v>
      </c>
      <c r="R21" s="168">
        <f>'RINCIAN B. TDK LANGSUNG'!Q20</f>
        <v>0</v>
      </c>
      <c r="S21" s="168">
        <f t="shared" si="1"/>
        <v>0</v>
      </c>
      <c r="T21" s="274"/>
    </row>
    <row r="22" spans="1:22" ht="15.75" customHeight="1" x14ac:dyDescent="0.15">
      <c r="A22" s="170"/>
      <c r="B22" s="242" t="s">
        <v>467</v>
      </c>
      <c r="C22" s="171"/>
      <c r="D22" s="172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>
        <f t="shared" si="0"/>
        <v>0</v>
      </c>
      <c r="R22" s="168">
        <f>'RINCIAN B. TDK LANGSUNG'!Q21</f>
        <v>0</v>
      </c>
      <c r="S22" s="168">
        <f t="shared" si="1"/>
        <v>0</v>
      </c>
      <c r="T22" s="274"/>
    </row>
    <row r="23" spans="1:22" ht="15.75" customHeight="1" x14ac:dyDescent="0.15">
      <c r="A23" s="170"/>
      <c r="B23" s="242" t="s">
        <v>699</v>
      </c>
      <c r="C23" s="171"/>
      <c r="D23" s="172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>
        <f t="shared" si="0"/>
        <v>0</v>
      </c>
      <c r="R23" s="168">
        <f>'RINCIAN B. TDK LANGSUNG'!Q22</f>
        <v>0</v>
      </c>
      <c r="S23" s="168">
        <f t="shared" si="1"/>
        <v>0</v>
      </c>
      <c r="T23" s="274"/>
    </row>
    <row r="24" spans="1:22" ht="15.75" customHeight="1" x14ac:dyDescent="0.15">
      <c r="A24" s="170" t="s">
        <v>557</v>
      </c>
      <c r="B24" s="242" t="s">
        <v>485</v>
      </c>
      <c r="C24" s="171"/>
      <c r="D24" s="172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>
        <f t="shared" si="0"/>
        <v>0</v>
      </c>
      <c r="R24" s="168">
        <f>'RINCIAN B. TDK LANGSUNG'!Q23</f>
        <v>0</v>
      </c>
      <c r="S24" s="168">
        <f t="shared" si="1"/>
        <v>0</v>
      </c>
      <c r="T24" s="274"/>
    </row>
    <row r="25" spans="1:22" ht="15.75" customHeight="1" x14ac:dyDescent="0.15">
      <c r="A25" s="170" t="s">
        <v>561</v>
      </c>
      <c r="B25" s="242" t="s">
        <v>759</v>
      </c>
      <c r="C25" s="171"/>
      <c r="D25" s="172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>
        <f t="shared" si="0"/>
        <v>0</v>
      </c>
      <c r="R25" s="168">
        <f>'RINCIAN B. TDK LANGSUNG'!Q24</f>
        <v>0</v>
      </c>
      <c r="S25" s="168">
        <f t="shared" si="1"/>
        <v>0</v>
      </c>
      <c r="T25" s="274"/>
      <c r="V25" s="178">
        <f>U25/12</f>
        <v>0</v>
      </c>
    </row>
    <row r="26" spans="1:22" ht="15.75" customHeight="1" x14ac:dyDescent="0.15">
      <c r="A26" s="170" t="s">
        <v>562</v>
      </c>
      <c r="B26" s="242" t="s">
        <v>760</v>
      </c>
      <c r="C26" s="171"/>
      <c r="D26" s="172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>
        <f t="shared" si="0"/>
        <v>0</v>
      </c>
      <c r="R26" s="168">
        <f>'RINCIAN B. TDK LANGSUNG'!Q25</f>
        <v>0</v>
      </c>
      <c r="S26" s="168">
        <f t="shared" si="1"/>
        <v>0</v>
      </c>
      <c r="T26" s="274"/>
    </row>
    <row r="27" spans="1:22" ht="15.75" customHeight="1" x14ac:dyDescent="0.15">
      <c r="A27" s="170" t="s">
        <v>563</v>
      </c>
      <c r="B27" s="242" t="s">
        <v>761</v>
      </c>
      <c r="C27" s="171"/>
      <c r="D27" s="172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>
        <f t="shared" si="0"/>
        <v>0</v>
      </c>
      <c r="R27" s="168">
        <f>'RINCIAN B. TDK LANGSUNG'!Q26</f>
        <v>0</v>
      </c>
      <c r="S27" s="168">
        <f t="shared" si="1"/>
        <v>0</v>
      </c>
      <c r="T27" s="274"/>
    </row>
    <row r="28" spans="1:22" ht="15.75" customHeight="1" x14ac:dyDescent="0.15">
      <c r="A28" s="170" t="s">
        <v>564</v>
      </c>
      <c r="B28" s="242" t="s">
        <v>308</v>
      </c>
      <c r="C28" s="171"/>
      <c r="D28" s="172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>
        <f t="shared" si="0"/>
        <v>0</v>
      </c>
      <c r="R28" s="168">
        <f>'RINCIAN B. TDK LANGSUNG'!Q27</f>
        <v>0</v>
      </c>
      <c r="S28" s="168">
        <f t="shared" si="1"/>
        <v>0</v>
      </c>
      <c r="T28" s="274"/>
    </row>
    <row r="29" spans="1:22" ht="15.75" customHeight="1" x14ac:dyDescent="0.15">
      <c r="A29" s="170"/>
      <c r="B29" s="242" t="s">
        <v>472</v>
      </c>
      <c r="C29" s="192"/>
      <c r="D29" s="193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>
        <f t="shared" si="0"/>
        <v>0</v>
      </c>
      <c r="R29" s="168">
        <f>'RINCIAN B. TDK LANGSUNG'!Q28</f>
        <v>0</v>
      </c>
      <c r="S29" s="168">
        <f t="shared" si="1"/>
        <v>0</v>
      </c>
      <c r="T29" s="274"/>
    </row>
    <row r="30" spans="1:22" ht="16.5" customHeight="1" x14ac:dyDescent="0.15">
      <c r="A30" s="179"/>
      <c r="B30" s="545" t="s">
        <v>310</v>
      </c>
      <c r="C30" s="546"/>
      <c r="D30" s="547"/>
      <c r="E30" s="212">
        <f>SUM(E14:E29)</f>
        <v>0</v>
      </c>
      <c r="F30" s="212">
        <f t="shared" ref="F30:P30" si="2">SUM(F14:F29)</f>
        <v>0</v>
      </c>
      <c r="G30" s="212">
        <f t="shared" si="2"/>
        <v>0</v>
      </c>
      <c r="H30" s="212">
        <f t="shared" si="2"/>
        <v>0</v>
      </c>
      <c r="I30" s="212">
        <f t="shared" si="2"/>
        <v>0</v>
      </c>
      <c r="J30" s="212">
        <f t="shared" si="2"/>
        <v>0</v>
      </c>
      <c r="K30" s="212">
        <f t="shared" si="2"/>
        <v>0</v>
      </c>
      <c r="L30" s="212">
        <f t="shared" si="2"/>
        <v>0</v>
      </c>
      <c r="M30" s="212">
        <f t="shared" si="2"/>
        <v>0</v>
      </c>
      <c r="N30" s="212">
        <f t="shared" si="2"/>
        <v>0</v>
      </c>
      <c r="O30" s="212">
        <f t="shared" si="2"/>
        <v>0</v>
      </c>
      <c r="P30" s="212">
        <f t="shared" si="2"/>
        <v>0</v>
      </c>
      <c r="Q30" s="212">
        <f t="shared" ref="Q30:Q84" si="3">SUM(E30:P30)</f>
        <v>0</v>
      </c>
      <c r="R30" s="212">
        <f>SUM(R11:R29)</f>
        <v>0</v>
      </c>
      <c r="S30" s="212">
        <f>SUM(S11:S29)</f>
        <v>0</v>
      </c>
      <c r="T30" s="416">
        <f>'RINCIAN B. TDK LANGSUNG'!Q29</f>
        <v>0</v>
      </c>
    </row>
    <row r="31" spans="1:22" ht="15.75" customHeight="1" x14ac:dyDescent="0.15">
      <c r="A31" s="170" t="s">
        <v>565</v>
      </c>
      <c r="B31" s="198" t="s">
        <v>449</v>
      </c>
      <c r="C31" s="171"/>
      <c r="D31" s="172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274"/>
    </row>
    <row r="32" spans="1:22" ht="15.75" customHeight="1" x14ac:dyDescent="0.15">
      <c r="A32" s="170" t="s">
        <v>574</v>
      </c>
      <c r="B32" s="551" t="s">
        <v>567</v>
      </c>
      <c r="C32" s="552"/>
      <c r="D32" s="553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>
        <f t="shared" si="3"/>
        <v>0</v>
      </c>
      <c r="R32" s="168">
        <f>'RINCIAN B. TDK LANGSUNG'!Q31</f>
        <v>0</v>
      </c>
      <c r="S32" s="168">
        <f>Q32-R32</f>
        <v>0</v>
      </c>
      <c r="T32" s="274"/>
    </row>
    <row r="33" spans="1:20" ht="15.75" customHeight="1" x14ac:dyDescent="0.15">
      <c r="A33" s="170" t="s">
        <v>575</v>
      </c>
      <c r="B33" s="172" t="s">
        <v>316</v>
      </c>
      <c r="C33" s="171"/>
      <c r="D33" s="171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>
        <f t="shared" si="3"/>
        <v>0</v>
      </c>
      <c r="R33" s="168">
        <f>'RINCIAN B. TDK LANGSUNG'!Q32</f>
        <v>0</v>
      </c>
      <c r="S33" s="168">
        <f t="shared" ref="S33:S42" si="4">Q33-R33</f>
        <v>0</v>
      </c>
      <c r="T33" s="274"/>
    </row>
    <row r="34" spans="1:20" ht="15.75" customHeight="1" x14ac:dyDescent="0.15">
      <c r="A34" s="170" t="s">
        <v>576</v>
      </c>
      <c r="B34" s="242" t="s">
        <v>162</v>
      </c>
      <c r="C34" s="171"/>
      <c r="D34" s="172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>
        <f t="shared" si="3"/>
        <v>0</v>
      </c>
      <c r="R34" s="168">
        <f>'RINCIAN B. TDK LANGSUNG'!Q33</f>
        <v>0</v>
      </c>
      <c r="S34" s="168">
        <f t="shared" si="4"/>
        <v>0</v>
      </c>
      <c r="T34" s="274"/>
    </row>
    <row r="35" spans="1:20" ht="15.75" customHeight="1" x14ac:dyDescent="0.15">
      <c r="A35" s="170" t="s">
        <v>577</v>
      </c>
      <c r="B35" s="242" t="s">
        <v>568</v>
      </c>
      <c r="C35" s="192"/>
      <c r="D35" s="193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>
        <f t="shared" si="3"/>
        <v>0</v>
      </c>
      <c r="R35" s="168">
        <f>'RINCIAN B. TDK LANGSUNG'!Q34</f>
        <v>0</v>
      </c>
      <c r="S35" s="168">
        <f t="shared" si="4"/>
        <v>0</v>
      </c>
      <c r="T35" s="274"/>
    </row>
    <row r="36" spans="1:20" ht="15.75" customHeight="1" x14ac:dyDescent="0.15">
      <c r="A36" s="170" t="s">
        <v>578</v>
      </c>
      <c r="B36" s="242" t="s">
        <v>569</v>
      </c>
      <c r="C36" s="171"/>
      <c r="D36" s="172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>
        <f t="shared" si="3"/>
        <v>0</v>
      </c>
      <c r="R36" s="168">
        <f>'RINCIAN B. TDK LANGSUNG'!Q36+'RINCIAN B. TDK LANGSUNG'!Q37</f>
        <v>0</v>
      </c>
      <c r="S36" s="168">
        <f t="shared" si="4"/>
        <v>0</v>
      </c>
      <c r="T36" s="274"/>
    </row>
    <row r="37" spans="1:20" ht="18" customHeight="1" x14ac:dyDescent="0.15">
      <c r="A37" s="170" t="s">
        <v>579</v>
      </c>
      <c r="B37" s="242" t="s">
        <v>324</v>
      </c>
      <c r="C37" s="171"/>
      <c r="D37" s="172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>
        <f t="shared" si="3"/>
        <v>0</v>
      </c>
      <c r="R37" s="168">
        <f>'RINCIAN B. TDK LANGSUNG'!Q38</f>
        <v>0</v>
      </c>
      <c r="S37" s="168">
        <f t="shared" si="4"/>
        <v>0</v>
      </c>
      <c r="T37" s="274"/>
    </row>
    <row r="38" spans="1:20" ht="16.5" customHeight="1" x14ac:dyDescent="0.15">
      <c r="A38" s="170" t="s">
        <v>580</v>
      </c>
      <c r="B38" s="551" t="s">
        <v>570</v>
      </c>
      <c r="C38" s="552"/>
      <c r="D38" s="553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>
        <f t="shared" si="3"/>
        <v>0</v>
      </c>
      <c r="R38" s="168">
        <f>'RINCIAN B. TDK LANGSUNG'!Q39</f>
        <v>0</v>
      </c>
      <c r="S38" s="168">
        <f t="shared" si="4"/>
        <v>0</v>
      </c>
      <c r="T38" s="274"/>
    </row>
    <row r="39" spans="1:20" ht="17.25" customHeight="1" x14ac:dyDescent="0.15">
      <c r="A39" s="217" t="s">
        <v>581</v>
      </c>
      <c r="B39" s="563" t="s">
        <v>571</v>
      </c>
      <c r="C39" s="564"/>
      <c r="D39" s="565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221">
        <f t="shared" si="3"/>
        <v>0</v>
      </c>
      <c r="R39" s="168">
        <f>'RINCIAN B. TDK LANGSUNG'!Q40</f>
        <v>0</v>
      </c>
      <c r="S39" s="168">
        <f t="shared" si="4"/>
        <v>0</v>
      </c>
      <c r="T39" s="274"/>
    </row>
    <row r="40" spans="1:20" ht="15.75" customHeight="1" x14ac:dyDescent="0.15">
      <c r="A40" s="190" t="s">
        <v>582</v>
      </c>
      <c r="B40" s="245" t="s">
        <v>572</v>
      </c>
      <c r="C40" s="165"/>
      <c r="D40" s="166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7"/>
      <c r="R40" s="168"/>
      <c r="S40" s="168">
        <f t="shared" si="4"/>
        <v>0</v>
      </c>
      <c r="T40" s="274"/>
    </row>
    <row r="41" spans="1:20" ht="15.75" customHeight="1" x14ac:dyDescent="0.15">
      <c r="A41" s="197"/>
      <c r="B41" s="242" t="s">
        <v>332</v>
      </c>
      <c r="C41" s="171"/>
      <c r="D41" s="172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>
        <f t="shared" si="3"/>
        <v>0</v>
      </c>
      <c r="R41" s="168">
        <f>'RINCIAN B. TDK LANGSUNG'!Q42</f>
        <v>0</v>
      </c>
      <c r="S41" s="168">
        <f t="shared" si="4"/>
        <v>0</v>
      </c>
      <c r="T41" s="274"/>
    </row>
    <row r="42" spans="1:20" ht="15.75" customHeight="1" x14ac:dyDescent="0.15">
      <c r="A42" s="197"/>
      <c r="B42" s="242" t="s">
        <v>573</v>
      </c>
      <c r="C42" s="171"/>
      <c r="D42" s="172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>
        <f t="shared" si="3"/>
        <v>0</v>
      </c>
      <c r="R42" s="168">
        <f>'RINCIAN B. TDK LANGSUNG'!Q43</f>
        <v>0</v>
      </c>
      <c r="S42" s="168">
        <f t="shared" si="4"/>
        <v>0</v>
      </c>
      <c r="T42" s="274"/>
    </row>
    <row r="43" spans="1:20" ht="15.75" customHeight="1" x14ac:dyDescent="0.15">
      <c r="A43" s="161"/>
      <c r="B43" s="545" t="s">
        <v>583</v>
      </c>
      <c r="C43" s="546"/>
      <c r="D43" s="547"/>
      <c r="E43" s="180">
        <f>SUM(E32:E42)</f>
        <v>0</v>
      </c>
      <c r="F43" s="180">
        <f t="shared" ref="F43:P43" si="5">SUM(F32:F42)</f>
        <v>0</v>
      </c>
      <c r="G43" s="180">
        <f t="shared" si="5"/>
        <v>0</v>
      </c>
      <c r="H43" s="180">
        <f t="shared" si="5"/>
        <v>0</v>
      </c>
      <c r="I43" s="180">
        <f t="shared" si="5"/>
        <v>0</v>
      </c>
      <c r="J43" s="180">
        <f t="shared" si="5"/>
        <v>0</v>
      </c>
      <c r="K43" s="180">
        <f t="shared" si="5"/>
        <v>0</v>
      </c>
      <c r="L43" s="180">
        <f t="shared" si="5"/>
        <v>0</v>
      </c>
      <c r="M43" s="180">
        <f t="shared" si="5"/>
        <v>0</v>
      </c>
      <c r="N43" s="180">
        <f t="shared" si="5"/>
        <v>0</v>
      </c>
      <c r="O43" s="180">
        <f t="shared" si="5"/>
        <v>0</v>
      </c>
      <c r="P43" s="180">
        <f t="shared" si="5"/>
        <v>0</v>
      </c>
      <c r="Q43" s="180">
        <f>SUM(E43:P43)</f>
        <v>0</v>
      </c>
      <c r="R43" s="180">
        <f>SUM(R32:R42)</f>
        <v>0</v>
      </c>
      <c r="S43" s="180">
        <f>SUM(S32:S42)</f>
        <v>0</v>
      </c>
      <c r="T43" s="274">
        <f>'RINCIAN B. TDK LANGSUNG'!Q44</f>
        <v>0</v>
      </c>
    </row>
    <row r="44" spans="1:20" ht="15.75" customHeight="1" x14ac:dyDescent="0.15">
      <c r="A44" s="170" t="s">
        <v>587</v>
      </c>
      <c r="B44" s="242" t="s">
        <v>336</v>
      </c>
      <c r="C44" s="171"/>
      <c r="D44" s="172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>
        <f t="shared" si="3"/>
        <v>0</v>
      </c>
      <c r="R44" s="168"/>
      <c r="S44" s="168"/>
      <c r="T44" s="274"/>
    </row>
    <row r="45" spans="1:20" ht="15.75" customHeight="1" x14ac:dyDescent="0.15">
      <c r="A45" s="170" t="s">
        <v>588</v>
      </c>
      <c r="B45" s="242" t="s">
        <v>762</v>
      </c>
      <c r="C45" s="171"/>
      <c r="D45" s="172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>
        <f t="shared" si="3"/>
        <v>0</v>
      </c>
      <c r="R45" s="168">
        <f>'RINCIAN B. TDK LANGSUNG'!Q46</f>
        <v>0</v>
      </c>
      <c r="S45" s="168">
        <f>Q45-R45</f>
        <v>0</v>
      </c>
      <c r="T45" s="274"/>
    </row>
    <row r="46" spans="1:20" ht="15.75" customHeight="1" x14ac:dyDescent="0.15">
      <c r="A46" s="170" t="s">
        <v>589</v>
      </c>
      <c r="B46" s="242" t="s">
        <v>25</v>
      </c>
      <c r="C46" s="171"/>
      <c r="D46" s="172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>
        <f t="shared" si="3"/>
        <v>0</v>
      </c>
      <c r="R46" s="168">
        <f>'RINCIAN B. TDK LANGSUNG'!Q47</f>
        <v>0</v>
      </c>
      <c r="S46" s="168">
        <f t="shared" ref="S46:S47" si="6">Q46-R46</f>
        <v>0</v>
      </c>
      <c r="T46" s="274"/>
    </row>
    <row r="47" spans="1:20" ht="15.75" customHeight="1" x14ac:dyDescent="0.15">
      <c r="A47" s="170" t="s">
        <v>590</v>
      </c>
      <c r="B47" s="242" t="s">
        <v>341</v>
      </c>
      <c r="C47" s="171"/>
      <c r="D47" s="172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>
        <f t="shared" si="3"/>
        <v>0</v>
      </c>
      <c r="R47" s="168">
        <f>'RINCIAN B. TDK LANGSUNG'!Q48</f>
        <v>0</v>
      </c>
      <c r="S47" s="168">
        <f t="shared" si="6"/>
        <v>0</v>
      </c>
      <c r="T47" s="274"/>
    </row>
    <row r="48" spans="1:20" ht="15.75" customHeight="1" x14ac:dyDescent="0.15">
      <c r="A48" s="161"/>
      <c r="B48" s="539" t="s">
        <v>342</v>
      </c>
      <c r="C48" s="540"/>
      <c r="D48" s="541"/>
      <c r="E48" s="212">
        <f>SUM(E45:E47)</f>
        <v>0</v>
      </c>
      <c r="F48" s="212">
        <f t="shared" ref="F48:P48" si="7">SUM(F45:F47)</f>
        <v>0</v>
      </c>
      <c r="G48" s="212">
        <f t="shared" si="7"/>
        <v>0</v>
      </c>
      <c r="H48" s="212">
        <f t="shared" si="7"/>
        <v>0</v>
      </c>
      <c r="I48" s="212">
        <f t="shared" si="7"/>
        <v>0</v>
      </c>
      <c r="J48" s="212">
        <f t="shared" si="7"/>
        <v>0</v>
      </c>
      <c r="K48" s="212">
        <f t="shared" si="7"/>
        <v>0</v>
      </c>
      <c r="L48" s="212">
        <f t="shared" si="7"/>
        <v>0</v>
      </c>
      <c r="M48" s="212">
        <f t="shared" si="7"/>
        <v>0</v>
      </c>
      <c r="N48" s="212">
        <f t="shared" si="7"/>
        <v>0</v>
      </c>
      <c r="O48" s="212">
        <f t="shared" si="7"/>
        <v>0</v>
      </c>
      <c r="P48" s="212">
        <f t="shared" si="7"/>
        <v>0</v>
      </c>
      <c r="Q48" s="212">
        <f t="shared" si="3"/>
        <v>0</v>
      </c>
      <c r="R48" s="212">
        <f>SUM(R45:R47)</f>
        <v>0</v>
      </c>
      <c r="S48" s="212">
        <f>SUM(S45:S47)</f>
        <v>0</v>
      </c>
      <c r="T48" s="416">
        <f>'RINCIAN B. TDK LANGSUNG'!Q49</f>
        <v>0</v>
      </c>
    </row>
    <row r="49" spans="1:20" ht="15.75" customHeight="1" x14ac:dyDescent="0.15">
      <c r="A49" s="170" t="s">
        <v>593</v>
      </c>
      <c r="B49" s="551" t="s">
        <v>592</v>
      </c>
      <c r="C49" s="552"/>
      <c r="D49" s="553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274"/>
    </row>
    <row r="50" spans="1:20" ht="15.75" customHeight="1" x14ac:dyDescent="0.15">
      <c r="A50" s="170"/>
      <c r="B50" s="242" t="s">
        <v>773</v>
      </c>
      <c r="C50" s="243"/>
      <c r="D50" s="244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>
        <f t="shared" si="3"/>
        <v>0</v>
      </c>
      <c r="R50" s="168"/>
      <c r="S50" s="168"/>
      <c r="T50" s="274"/>
    </row>
    <row r="51" spans="1:20" ht="15.75" customHeight="1" x14ac:dyDescent="0.15">
      <c r="A51" s="170"/>
      <c r="B51" s="242" t="s">
        <v>774</v>
      </c>
      <c r="C51" s="243"/>
      <c r="D51" s="244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>
        <f t="shared" si="3"/>
        <v>0</v>
      </c>
      <c r="R51" s="168"/>
      <c r="S51" s="168"/>
      <c r="T51" s="274"/>
    </row>
    <row r="52" spans="1:20" ht="15.75" customHeight="1" x14ac:dyDescent="0.15">
      <c r="A52" s="170"/>
      <c r="B52" s="242" t="s">
        <v>775</v>
      </c>
      <c r="C52" s="243"/>
      <c r="D52" s="244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>
        <f t="shared" si="3"/>
        <v>0</v>
      </c>
      <c r="R52" s="168"/>
      <c r="S52" s="168"/>
      <c r="T52" s="274"/>
    </row>
    <row r="53" spans="1:20" ht="15.75" customHeight="1" x14ac:dyDescent="0.15">
      <c r="A53" s="170"/>
      <c r="B53" s="242" t="s">
        <v>776</v>
      </c>
      <c r="C53" s="243"/>
      <c r="D53" s="244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274"/>
    </row>
    <row r="54" spans="1:20" ht="15.75" customHeight="1" x14ac:dyDescent="0.15">
      <c r="A54" s="170"/>
      <c r="B54" s="242" t="s">
        <v>777</v>
      </c>
      <c r="C54" s="171"/>
      <c r="D54" s="172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>
        <f t="shared" si="3"/>
        <v>0</v>
      </c>
      <c r="R54" s="168"/>
      <c r="S54" s="168"/>
      <c r="T54" s="274"/>
    </row>
    <row r="55" spans="1:20" ht="15.75" customHeight="1" x14ac:dyDescent="0.15">
      <c r="A55" s="179"/>
      <c r="B55" s="545" t="s">
        <v>346</v>
      </c>
      <c r="C55" s="546"/>
      <c r="D55" s="547"/>
      <c r="E55" s="180">
        <f>SUM(E50:E54)</f>
        <v>0</v>
      </c>
      <c r="F55" s="180">
        <f t="shared" ref="F55:P55" si="8">SUM(F50:F54)</f>
        <v>0</v>
      </c>
      <c r="G55" s="180">
        <f t="shared" si="8"/>
        <v>0</v>
      </c>
      <c r="H55" s="180">
        <f t="shared" si="8"/>
        <v>0</v>
      </c>
      <c r="I55" s="180">
        <f t="shared" si="8"/>
        <v>0</v>
      </c>
      <c r="J55" s="180">
        <f t="shared" si="8"/>
        <v>0</v>
      </c>
      <c r="K55" s="180">
        <f t="shared" si="8"/>
        <v>0</v>
      </c>
      <c r="L55" s="180">
        <f t="shared" si="8"/>
        <v>0</v>
      </c>
      <c r="M55" s="180">
        <f t="shared" si="8"/>
        <v>0</v>
      </c>
      <c r="N55" s="180">
        <f t="shared" si="8"/>
        <v>0</v>
      </c>
      <c r="O55" s="180">
        <f t="shared" si="8"/>
        <v>0</v>
      </c>
      <c r="P55" s="180">
        <f t="shared" si="8"/>
        <v>0</v>
      </c>
      <c r="Q55" s="180">
        <f>SUM(E55:P55)</f>
        <v>0</v>
      </c>
      <c r="R55" s="180">
        <f>'RINCIAN B. TDK LANGSUNG'!Q52</f>
        <v>0</v>
      </c>
      <c r="S55" s="180">
        <f>Q55-R55</f>
        <v>0</v>
      </c>
      <c r="T55" s="274"/>
    </row>
    <row r="56" spans="1:20" ht="15.75" customHeight="1" x14ac:dyDescent="0.15">
      <c r="A56" s="170" t="s">
        <v>594</v>
      </c>
      <c r="B56" s="551" t="s">
        <v>452</v>
      </c>
      <c r="C56" s="552"/>
      <c r="D56" s="553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>
        <f t="shared" si="3"/>
        <v>0</v>
      </c>
      <c r="R56" s="168"/>
      <c r="S56" s="168"/>
      <c r="T56" s="274"/>
    </row>
    <row r="57" spans="1:20" ht="15.75" customHeight="1" x14ac:dyDescent="0.15">
      <c r="A57" s="170" t="s">
        <v>596</v>
      </c>
      <c r="B57" s="242" t="s">
        <v>350</v>
      </c>
      <c r="C57" s="171"/>
      <c r="D57" s="172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>
        <f t="shared" si="3"/>
        <v>0</v>
      </c>
      <c r="R57" s="168">
        <f>'RINCIAN B. TDK LANGSUNG'!Q54</f>
        <v>0</v>
      </c>
      <c r="S57" s="168">
        <f>Q57-R57</f>
        <v>0</v>
      </c>
      <c r="T57" s="274"/>
    </row>
    <row r="58" spans="1:20" ht="15.75" customHeight="1" x14ac:dyDescent="0.15">
      <c r="A58" s="170" t="s">
        <v>597</v>
      </c>
      <c r="B58" s="242" t="s">
        <v>352</v>
      </c>
      <c r="C58" s="192"/>
      <c r="D58" s="193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>
        <f t="shared" si="3"/>
        <v>0</v>
      </c>
      <c r="R58" s="168">
        <f>'RINCIAN B. TDK LANGSUNG'!Q55</f>
        <v>0</v>
      </c>
      <c r="S58" s="168">
        <f t="shared" ref="S58:S61" si="9">Q58-R58</f>
        <v>0</v>
      </c>
      <c r="T58" s="274"/>
    </row>
    <row r="59" spans="1:20" ht="15.75" customHeight="1" x14ac:dyDescent="0.15">
      <c r="A59" s="170" t="s">
        <v>598</v>
      </c>
      <c r="B59" s="242" t="s">
        <v>354</v>
      </c>
      <c r="C59" s="171"/>
      <c r="D59" s="172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>
        <f t="shared" si="3"/>
        <v>0</v>
      </c>
      <c r="R59" s="168">
        <f>'RINCIAN B. TDK LANGSUNG'!Q56</f>
        <v>0</v>
      </c>
      <c r="S59" s="168">
        <f t="shared" si="9"/>
        <v>0</v>
      </c>
      <c r="T59" s="274"/>
    </row>
    <row r="60" spans="1:20" ht="15.75" customHeight="1" x14ac:dyDescent="0.15">
      <c r="A60" s="170" t="s">
        <v>599</v>
      </c>
      <c r="B60" s="551" t="s">
        <v>417</v>
      </c>
      <c r="C60" s="552"/>
      <c r="D60" s="553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>
        <f t="shared" si="3"/>
        <v>0</v>
      </c>
      <c r="R60" s="168">
        <f>'RINCIAN B. TDK LANGSUNG'!Q57</f>
        <v>0</v>
      </c>
      <c r="S60" s="168">
        <f t="shared" si="9"/>
        <v>0</v>
      </c>
      <c r="T60" s="274"/>
    </row>
    <row r="61" spans="1:20" ht="15.75" customHeight="1" x14ac:dyDescent="0.15">
      <c r="A61" s="170" t="s">
        <v>600</v>
      </c>
      <c r="B61" s="551" t="s">
        <v>356</v>
      </c>
      <c r="C61" s="552"/>
      <c r="D61" s="553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>
        <f t="shared" si="3"/>
        <v>0</v>
      </c>
      <c r="R61" s="168">
        <f>'RINCIAN B. TDK LANGSUNG'!Q58</f>
        <v>0</v>
      </c>
      <c r="S61" s="168">
        <f t="shared" si="9"/>
        <v>0</v>
      </c>
      <c r="T61" s="274"/>
    </row>
    <row r="62" spans="1:20" ht="15.75" customHeight="1" x14ac:dyDescent="0.15">
      <c r="A62" s="179"/>
      <c r="B62" s="545" t="s">
        <v>262</v>
      </c>
      <c r="C62" s="546"/>
      <c r="D62" s="547"/>
      <c r="E62" s="180">
        <f t="shared" ref="E62:P62" si="10">SUM(E57:E61)</f>
        <v>0</v>
      </c>
      <c r="F62" s="180">
        <f t="shared" si="10"/>
        <v>0</v>
      </c>
      <c r="G62" s="180">
        <f t="shared" si="10"/>
        <v>0</v>
      </c>
      <c r="H62" s="180">
        <f t="shared" si="10"/>
        <v>0</v>
      </c>
      <c r="I62" s="180">
        <f t="shared" si="10"/>
        <v>0</v>
      </c>
      <c r="J62" s="180">
        <f t="shared" si="10"/>
        <v>0</v>
      </c>
      <c r="K62" s="180">
        <f t="shared" si="10"/>
        <v>0</v>
      </c>
      <c r="L62" s="180">
        <f t="shared" si="10"/>
        <v>0</v>
      </c>
      <c r="M62" s="180">
        <f t="shared" si="10"/>
        <v>0</v>
      </c>
      <c r="N62" s="180">
        <f t="shared" si="10"/>
        <v>0</v>
      </c>
      <c r="O62" s="180">
        <f t="shared" si="10"/>
        <v>0</v>
      </c>
      <c r="P62" s="180">
        <f t="shared" si="10"/>
        <v>0</v>
      </c>
      <c r="Q62" s="180">
        <f>SUM(E62:P62)</f>
        <v>0</v>
      </c>
      <c r="R62" s="180">
        <f>SUM(R57:R61)</f>
        <v>0</v>
      </c>
      <c r="S62" s="180">
        <f>SUM(S57:S61)</f>
        <v>0</v>
      </c>
      <c r="T62" s="274"/>
    </row>
    <row r="63" spans="1:20" ht="12" customHeight="1" x14ac:dyDescent="0.15">
      <c r="A63" s="170" t="s">
        <v>601</v>
      </c>
      <c r="B63" s="242" t="s">
        <v>763</v>
      </c>
      <c r="C63" s="215"/>
      <c r="D63" s="216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>
        <f t="shared" si="3"/>
        <v>0</v>
      </c>
      <c r="R63" s="168"/>
      <c r="S63" s="168"/>
      <c r="T63" s="274"/>
    </row>
    <row r="64" spans="1:20" ht="15" customHeight="1" x14ac:dyDescent="0.15">
      <c r="A64" s="170" t="s">
        <v>602</v>
      </c>
      <c r="B64" s="242" t="s">
        <v>603</v>
      </c>
      <c r="C64" s="215"/>
      <c r="D64" s="216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274"/>
    </row>
    <row r="65" spans="1:20" ht="15" customHeight="1" x14ac:dyDescent="0.15">
      <c r="A65" s="170"/>
      <c r="B65" s="242" t="s">
        <v>764</v>
      </c>
      <c r="C65" s="215"/>
      <c r="D65" s="216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>
        <f t="shared" si="3"/>
        <v>0</v>
      </c>
      <c r="R65" s="168">
        <f>'RINCIAN B. TDK LANGSUNG'!Q61</f>
        <v>0</v>
      </c>
      <c r="S65" s="168">
        <f>SUM(Q65:Q66)-R65</f>
        <v>0</v>
      </c>
      <c r="T65" s="274"/>
    </row>
    <row r="66" spans="1:20" ht="15" customHeight="1" x14ac:dyDescent="0.15">
      <c r="A66" s="170"/>
      <c r="B66" s="242" t="s">
        <v>765</v>
      </c>
      <c r="C66" s="243"/>
      <c r="D66" s="244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>
        <f t="shared" si="3"/>
        <v>0</v>
      </c>
      <c r="R66" s="168"/>
      <c r="S66" s="168"/>
      <c r="T66" s="274"/>
    </row>
    <row r="67" spans="1:20" ht="15" customHeight="1" x14ac:dyDescent="0.15">
      <c r="A67" s="170" t="s">
        <v>604</v>
      </c>
      <c r="B67" s="242" t="s">
        <v>766</v>
      </c>
      <c r="C67" s="243"/>
      <c r="D67" s="244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>
        <f t="shared" si="3"/>
        <v>0</v>
      </c>
      <c r="R67" s="168">
        <f>'RINCIAN B. TDK LANGSUNG'!Q62</f>
        <v>0</v>
      </c>
      <c r="S67" s="168">
        <f>Q67-R67</f>
        <v>0</v>
      </c>
      <c r="T67" s="274"/>
    </row>
    <row r="68" spans="1:20" ht="15" customHeight="1" x14ac:dyDescent="0.15">
      <c r="A68" s="170" t="s">
        <v>606</v>
      </c>
      <c r="B68" s="242" t="s">
        <v>605</v>
      </c>
      <c r="C68" s="243"/>
      <c r="D68" s="244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>
        <f t="shared" si="3"/>
        <v>0</v>
      </c>
      <c r="R68" s="168">
        <f>'RINCIAN B. TDK LANGSUNG'!Q63</f>
        <v>0</v>
      </c>
      <c r="S68" s="168">
        <f t="shared" ref="S68:S71" si="11">Q68-R68</f>
        <v>0</v>
      </c>
      <c r="T68" s="274"/>
    </row>
    <row r="69" spans="1:20" ht="15.75" customHeight="1" x14ac:dyDescent="0.15">
      <c r="A69" s="170" t="s">
        <v>607</v>
      </c>
      <c r="B69" s="242" t="s">
        <v>609</v>
      </c>
      <c r="C69" s="243"/>
      <c r="D69" s="244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>
        <f t="shared" si="3"/>
        <v>0</v>
      </c>
      <c r="R69" s="168">
        <f>'RINCIAN B. TDK LANGSUNG'!Q64</f>
        <v>0</v>
      </c>
      <c r="S69" s="168">
        <f t="shared" si="11"/>
        <v>0</v>
      </c>
      <c r="T69" s="274"/>
    </row>
    <row r="70" spans="1:20" ht="14.25" customHeight="1" x14ac:dyDescent="0.15">
      <c r="A70" s="170" t="s">
        <v>608</v>
      </c>
      <c r="B70" s="242" t="s">
        <v>610</v>
      </c>
      <c r="C70" s="243"/>
      <c r="D70" s="244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>
        <f t="shared" si="3"/>
        <v>0</v>
      </c>
      <c r="R70" s="290"/>
      <c r="S70" s="168"/>
      <c r="T70" s="274"/>
    </row>
    <row r="71" spans="1:20" ht="15.75" customHeight="1" x14ac:dyDescent="0.15">
      <c r="A71" s="170"/>
      <c r="B71" s="242" t="s">
        <v>611</v>
      </c>
      <c r="C71" s="243"/>
      <c r="D71" s="244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>
        <f t="shared" si="3"/>
        <v>0</v>
      </c>
      <c r="R71" s="168">
        <f>'RINCIAN B. TDK LANGSUNG'!Q66+'RINCIAN B. TDK LANGSUNG'!Q67</f>
        <v>0</v>
      </c>
      <c r="S71" s="168">
        <f t="shared" si="11"/>
        <v>0</v>
      </c>
      <c r="T71" s="274"/>
    </row>
    <row r="72" spans="1:20" ht="14.25" customHeight="1" x14ac:dyDescent="0.15">
      <c r="A72" s="170"/>
      <c r="B72" s="242" t="s">
        <v>612</v>
      </c>
      <c r="C72" s="243"/>
      <c r="D72" s="244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>
        <f t="shared" si="3"/>
        <v>0</v>
      </c>
      <c r="R72" s="168"/>
      <c r="S72" s="168"/>
      <c r="T72" s="274"/>
    </row>
    <row r="73" spans="1:20" ht="15.75" customHeight="1" x14ac:dyDescent="0.15">
      <c r="A73" s="170" t="s">
        <v>618</v>
      </c>
      <c r="B73" s="242" t="s">
        <v>613</v>
      </c>
      <c r="C73" s="243"/>
      <c r="D73" s="244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>
        <f t="shared" si="3"/>
        <v>0</v>
      </c>
      <c r="R73" s="168"/>
      <c r="S73" s="168"/>
      <c r="T73" s="274"/>
    </row>
    <row r="74" spans="1:20" ht="15.75" customHeight="1" x14ac:dyDescent="0.15">
      <c r="A74" s="170" t="s">
        <v>619</v>
      </c>
      <c r="B74" s="242" t="s">
        <v>614</v>
      </c>
      <c r="C74" s="243"/>
      <c r="D74" s="244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>
        <f t="shared" si="3"/>
        <v>0</v>
      </c>
      <c r="R74" s="168"/>
      <c r="S74" s="168"/>
      <c r="T74" s="274"/>
    </row>
    <row r="75" spans="1:20" ht="15" customHeight="1" x14ac:dyDescent="0.15">
      <c r="A75" s="170"/>
      <c r="B75" s="242" t="s">
        <v>767</v>
      </c>
      <c r="C75" s="243"/>
      <c r="D75" s="244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>
        <f t="shared" si="3"/>
        <v>0</v>
      </c>
      <c r="R75" s="168">
        <f>'RINCIAN B. TDK LANGSUNG'!Q69</f>
        <v>0</v>
      </c>
      <c r="S75" s="168">
        <f t="shared" ref="S75" si="12">Q75-R75</f>
        <v>0</v>
      </c>
      <c r="T75" s="274"/>
    </row>
    <row r="76" spans="1:20" ht="15" customHeight="1" x14ac:dyDescent="0.15">
      <c r="A76" s="170" t="s">
        <v>620</v>
      </c>
      <c r="B76" s="242" t="s">
        <v>615</v>
      </c>
      <c r="C76" s="243"/>
      <c r="D76" s="244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>
        <f t="shared" si="3"/>
        <v>0</v>
      </c>
      <c r="R76" s="168"/>
      <c r="S76" s="168"/>
      <c r="T76" s="274"/>
    </row>
    <row r="77" spans="1:20" ht="15.75" customHeight="1" x14ac:dyDescent="0.15">
      <c r="A77" s="170"/>
      <c r="B77" s="242" t="s">
        <v>385</v>
      </c>
      <c r="C77" s="243"/>
      <c r="D77" s="244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>
        <f t="shared" si="3"/>
        <v>0</v>
      </c>
      <c r="R77" s="168">
        <f>'RINCIAN B. TDK LANGSUNG'!Q70</f>
        <v>0</v>
      </c>
      <c r="S77" s="168">
        <f t="shared" ref="S77" si="13">Q77-R77</f>
        <v>0</v>
      </c>
      <c r="T77" s="274"/>
    </row>
    <row r="78" spans="1:20" ht="15.75" customHeight="1" x14ac:dyDescent="0.15">
      <c r="A78" s="170" t="s">
        <v>621</v>
      </c>
      <c r="B78" s="242" t="s">
        <v>616</v>
      </c>
      <c r="C78" s="243"/>
      <c r="D78" s="244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>
        <f t="shared" si="3"/>
        <v>0</v>
      </c>
      <c r="R78" s="168">
        <f>'RINCIAN B. TDK LANGSUNG'!Q73+'RINCIAN B. TDK LANGSUNG'!Q74</f>
        <v>0</v>
      </c>
      <c r="S78" s="168">
        <f>SUM(Q79:Q81)-R78</f>
        <v>0</v>
      </c>
      <c r="T78" s="274"/>
    </row>
    <row r="79" spans="1:20" ht="15.75" customHeight="1" x14ac:dyDescent="0.15">
      <c r="A79" s="170"/>
      <c r="B79" s="551" t="s">
        <v>476</v>
      </c>
      <c r="C79" s="552"/>
      <c r="D79" s="553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>
        <f t="shared" ref="Q79:Q83" si="14">SUM(E79:P79)</f>
        <v>0</v>
      </c>
      <c r="R79" s="168"/>
      <c r="S79" s="168"/>
      <c r="T79" s="274"/>
    </row>
    <row r="80" spans="1:20" ht="15.75" customHeight="1" x14ac:dyDescent="0.15">
      <c r="A80" s="170"/>
      <c r="B80" s="242" t="s">
        <v>460</v>
      </c>
      <c r="C80" s="243"/>
      <c r="D80" s="244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>
        <f t="shared" si="14"/>
        <v>0</v>
      </c>
      <c r="R80" s="168"/>
      <c r="S80" s="168"/>
      <c r="T80" s="274"/>
    </row>
    <row r="81" spans="1:21" ht="15.75" customHeight="1" x14ac:dyDescent="0.15">
      <c r="A81" s="170"/>
      <c r="B81" s="242" t="s">
        <v>617</v>
      </c>
      <c r="C81" s="243"/>
      <c r="D81" s="244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>
        <f t="shared" si="14"/>
        <v>0</v>
      </c>
      <c r="R81" s="168"/>
      <c r="S81" s="168"/>
      <c r="T81" s="274"/>
    </row>
    <row r="82" spans="1:21" ht="15.75" customHeight="1" x14ac:dyDescent="0.15">
      <c r="A82" s="179"/>
      <c r="B82" s="545" t="s">
        <v>624</v>
      </c>
      <c r="C82" s="546"/>
      <c r="D82" s="547"/>
      <c r="E82" s="180">
        <f>SUM(E63:E81)</f>
        <v>0</v>
      </c>
      <c r="F82" s="180">
        <f t="shared" ref="F82:P82" si="15">SUM(F63:F81)</f>
        <v>0</v>
      </c>
      <c r="G82" s="180">
        <f t="shared" si="15"/>
        <v>0</v>
      </c>
      <c r="H82" s="180">
        <f t="shared" si="15"/>
        <v>0</v>
      </c>
      <c r="I82" s="180">
        <f t="shared" si="15"/>
        <v>0</v>
      </c>
      <c r="J82" s="180">
        <f t="shared" si="15"/>
        <v>0</v>
      </c>
      <c r="K82" s="180">
        <f t="shared" si="15"/>
        <v>0</v>
      </c>
      <c r="L82" s="180">
        <f t="shared" si="15"/>
        <v>0</v>
      </c>
      <c r="M82" s="180">
        <f t="shared" si="15"/>
        <v>0</v>
      </c>
      <c r="N82" s="180">
        <f t="shared" si="15"/>
        <v>0</v>
      </c>
      <c r="O82" s="180">
        <f t="shared" si="15"/>
        <v>0</v>
      </c>
      <c r="P82" s="180">
        <f t="shared" si="15"/>
        <v>0</v>
      </c>
      <c r="Q82" s="180">
        <f t="shared" si="14"/>
        <v>0</v>
      </c>
      <c r="R82" s="212">
        <f>SUM(R65:R81)</f>
        <v>0</v>
      </c>
      <c r="S82" s="212">
        <f>SUM(S65:S81)</f>
        <v>0</v>
      </c>
      <c r="T82" s="274"/>
    </row>
    <row r="83" spans="1:21" ht="15.75" customHeight="1" x14ac:dyDescent="0.15">
      <c r="A83" s="179"/>
      <c r="B83" s="545" t="s">
        <v>396</v>
      </c>
      <c r="C83" s="546"/>
      <c r="D83" s="547"/>
      <c r="E83" s="221">
        <f t="shared" ref="E83:S83" si="16">E82+E62+E48+E43+E30+E55</f>
        <v>0</v>
      </c>
      <c r="F83" s="221">
        <f t="shared" si="16"/>
        <v>0</v>
      </c>
      <c r="G83" s="221">
        <f>G82+G62+G48+G43+G30+G55</f>
        <v>0</v>
      </c>
      <c r="H83" s="221">
        <f t="shared" si="16"/>
        <v>0</v>
      </c>
      <c r="I83" s="221">
        <f t="shared" si="16"/>
        <v>0</v>
      </c>
      <c r="J83" s="221">
        <f t="shared" si="16"/>
        <v>0</v>
      </c>
      <c r="K83" s="221">
        <f t="shared" si="16"/>
        <v>0</v>
      </c>
      <c r="L83" s="221">
        <f t="shared" si="16"/>
        <v>0</v>
      </c>
      <c r="M83" s="221">
        <f t="shared" si="16"/>
        <v>0</v>
      </c>
      <c r="N83" s="221">
        <f t="shared" si="16"/>
        <v>0</v>
      </c>
      <c r="O83" s="221">
        <f t="shared" si="16"/>
        <v>0</v>
      </c>
      <c r="P83" s="221">
        <f t="shared" si="16"/>
        <v>0</v>
      </c>
      <c r="Q83" s="180">
        <f t="shared" si="14"/>
        <v>0</v>
      </c>
      <c r="R83" s="221">
        <f t="shared" si="16"/>
        <v>0</v>
      </c>
      <c r="S83" s="221">
        <f t="shared" si="16"/>
        <v>0</v>
      </c>
      <c r="T83" s="274"/>
    </row>
    <row r="84" spans="1:21" ht="21" customHeight="1" x14ac:dyDescent="0.15">
      <c r="A84" s="170" t="s">
        <v>623</v>
      </c>
      <c r="B84" s="566" t="s">
        <v>768</v>
      </c>
      <c r="C84" s="567"/>
      <c r="D84" s="568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68">
        <f t="shared" si="3"/>
        <v>0</v>
      </c>
      <c r="R84" s="180">
        <f>'RINCIAN B. TDK LANGSUNG'!Q78+'RINCIAN B. TDK LANGSUNG'!Q79</f>
        <v>0</v>
      </c>
      <c r="S84" s="180">
        <f>Q84-R84</f>
        <v>0</v>
      </c>
      <c r="T84" s="274"/>
    </row>
    <row r="85" spans="1:21" ht="20.25" customHeight="1" thickBot="1" x14ac:dyDescent="0.2">
      <c r="A85" s="199"/>
      <c r="B85" s="554" t="s">
        <v>399</v>
      </c>
      <c r="C85" s="555"/>
      <c r="D85" s="556"/>
      <c r="E85" s="225">
        <f>SUM(E83:E84)</f>
        <v>0</v>
      </c>
      <c r="F85" s="225">
        <f t="shared" ref="F85:S85" si="17">SUM(F83:F84)</f>
        <v>0</v>
      </c>
      <c r="G85" s="225">
        <f t="shared" si="17"/>
        <v>0</v>
      </c>
      <c r="H85" s="225">
        <f t="shared" si="17"/>
        <v>0</v>
      </c>
      <c r="I85" s="225">
        <f t="shared" si="17"/>
        <v>0</v>
      </c>
      <c r="J85" s="225">
        <f t="shared" si="17"/>
        <v>0</v>
      </c>
      <c r="K85" s="225">
        <f t="shared" si="17"/>
        <v>0</v>
      </c>
      <c r="L85" s="225">
        <f t="shared" si="17"/>
        <v>0</v>
      </c>
      <c r="M85" s="225">
        <f t="shared" si="17"/>
        <v>0</v>
      </c>
      <c r="N85" s="225">
        <f t="shared" si="17"/>
        <v>0</v>
      </c>
      <c r="O85" s="225">
        <f t="shared" si="17"/>
        <v>0</v>
      </c>
      <c r="P85" s="225">
        <f t="shared" si="17"/>
        <v>0</v>
      </c>
      <c r="Q85" s="225">
        <f>SUM(Q83:Q84)</f>
        <v>0</v>
      </c>
      <c r="R85" s="423">
        <f t="shared" si="17"/>
        <v>0</v>
      </c>
      <c r="S85" s="423">
        <f t="shared" si="17"/>
        <v>0</v>
      </c>
      <c r="T85" s="421"/>
    </row>
    <row r="86" spans="1:21" ht="12.75" customHeight="1" thickTop="1" x14ac:dyDescent="0.15">
      <c r="A86" s="202"/>
      <c r="E86" s="204"/>
      <c r="F86" s="204"/>
      <c r="G86" s="204"/>
      <c r="H86" s="204"/>
      <c r="I86" s="204"/>
      <c r="J86" s="204"/>
      <c r="K86" s="204"/>
      <c r="L86" s="204"/>
      <c r="M86" s="204"/>
      <c r="N86" s="204"/>
      <c r="O86" s="204"/>
      <c r="P86" s="204"/>
      <c r="Q86" s="410"/>
      <c r="R86" s="422">
        <f>'RINCIAN B. TDK LANGSUNG'!Q80</f>
        <v>0</v>
      </c>
      <c r="S86" s="424">
        <f>Q85-R85</f>
        <v>0</v>
      </c>
      <c r="T86" s="422"/>
    </row>
    <row r="87" spans="1:21" ht="12.75" customHeight="1" x14ac:dyDescent="0.15">
      <c r="A87" s="202"/>
      <c r="E87" s="204"/>
      <c r="F87" s="204"/>
      <c r="G87" s="204"/>
      <c r="H87" s="204"/>
      <c r="I87" s="204"/>
      <c r="J87" s="204"/>
      <c r="K87" s="204"/>
      <c r="L87" s="204"/>
      <c r="M87" s="204"/>
      <c r="N87" s="204"/>
      <c r="O87" s="204"/>
      <c r="P87" s="204"/>
      <c r="Q87" s="411"/>
      <c r="R87" s="411"/>
      <c r="S87" s="411"/>
      <c r="T87" s="411"/>
    </row>
    <row r="88" spans="1:21" ht="12.75" customHeight="1" x14ac:dyDescent="0.15">
      <c r="A88" s="202"/>
      <c r="L88" s="178"/>
      <c r="M88" s="178"/>
      <c r="P88" s="412"/>
      <c r="Q88" s="178"/>
      <c r="R88" s="178"/>
      <c r="S88" s="178">
        <f>S86-S85</f>
        <v>0</v>
      </c>
      <c r="T88" s="178"/>
    </row>
    <row r="89" spans="1:21" ht="12.75" customHeight="1" x14ac:dyDescent="0.15">
      <c r="A89" s="202"/>
      <c r="Q89" s="178"/>
      <c r="R89" s="178"/>
      <c r="S89" s="178"/>
      <c r="T89" s="178"/>
    </row>
    <row r="90" spans="1:21" ht="12.75" customHeight="1" x14ac:dyDescent="0.15">
      <c r="A90" s="202"/>
      <c r="M90" s="178"/>
    </row>
    <row r="91" spans="1:21" ht="12.75" customHeight="1" x14ac:dyDescent="0.15">
      <c r="A91" s="202"/>
    </row>
    <row r="92" spans="1:21" ht="12.75" customHeight="1" x14ac:dyDescent="0.15">
      <c r="A92" s="202"/>
      <c r="Q92" s="178"/>
      <c r="R92" s="178"/>
      <c r="S92" s="178"/>
      <c r="T92" s="178"/>
    </row>
    <row r="93" spans="1:21" ht="12.75" customHeight="1" x14ac:dyDescent="0.15">
      <c r="A93" s="202"/>
    </row>
    <row r="94" spans="1:21" s="203" customFormat="1" ht="12.75" customHeight="1" x14ac:dyDescent="0.15">
      <c r="A94" s="202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78"/>
      <c r="R94" s="178"/>
      <c r="S94" s="178"/>
      <c r="T94" s="178"/>
      <c r="U94" s="413"/>
    </row>
    <row r="95" spans="1:21" s="203" customFormat="1" ht="12.75" customHeight="1" x14ac:dyDescent="0.15">
      <c r="A95" s="202"/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78"/>
      <c r="R95" s="178"/>
      <c r="S95" s="178"/>
      <c r="T95" s="178"/>
      <c r="U95" s="413"/>
    </row>
    <row r="96" spans="1:21" s="203" customFormat="1" ht="12.75" customHeight="1" x14ac:dyDescent="0.15">
      <c r="A96" s="202"/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413"/>
    </row>
    <row r="97" spans="1:21" s="203" customFormat="1" ht="12.75" customHeight="1" x14ac:dyDescent="0.15">
      <c r="A97" s="202"/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413"/>
    </row>
    <row r="98" spans="1:21" s="203" customFormat="1" ht="12.75" customHeight="1" x14ac:dyDescent="0.15">
      <c r="A98" s="202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413"/>
    </row>
    <row r="99" spans="1:21" s="203" customFormat="1" ht="12.75" customHeight="1" x14ac:dyDescent="0.15">
      <c r="A99" s="202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413"/>
    </row>
    <row r="100" spans="1:21" s="203" customFormat="1" ht="12.75" customHeight="1" x14ac:dyDescent="0.15">
      <c r="A100" s="202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413"/>
    </row>
    <row r="101" spans="1:21" s="203" customFormat="1" ht="12.75" customHeight="1" x14ac:dyDescent="0.15">
      <c r="A101" s="202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413"/>
    </row>
    <row r="102" spans="1:21" s="203" customFormat="1" ht="12.75" customHeight="1" x14ac:dyDescent="0.15">
      <c r="A102" s="202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413"/>
    </row>
    <row r="103" spans="1:21" s="203" customFormat="1" ht="12.75" customHeight="1" x14ac:dyDescent="0.15">
      <c r="A103" s="202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413"/>
    </row>
    <row r="104" spans="1:21" s="203" customFormat="1" ht="12.75" customHeight="1" x14ac:dyDescent="0.15">
      <c r="A104" s="202"/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413"/>
    </row>
    <row r="105" spans="1:21" s="203" customFormat="1" ht="12.75" customHeight="1" x14ac:dyDescent="0.15">
      <c r="A105" s="202"/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413"/>
    </row>
    <row r="106" spans="1:21" s="203" customFormat="1" ht="12.75" customHeight="1" x14ac:dyDescent="0.15">
      <c r="A106" s="202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413"/>
    </row>
    <row r="107" spans="1:21" s="203" customFormat="1" ht="12.75" customHeight="1" x14ac:dyDescent="0.15">
      <c r="A107" s="202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413"/>
    </row>
    <row r="108" spans="1:21" s="203" customFormat="1" ht="12.75" customHeight="1" x14ac:dyDescent="0.15">
      <c r="A108" s="202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413"/>
    </row>
    <row r="109" spans="1:21" s="203" customFormat="1" ht="12.75" customHeight="1" x14ac:dyDescent="0.15">
      <c r="A109" s="202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413"/>
    </row>
    <row r="110" spans="1:21" s="203" customFormat="1" ht="12.75" customHeight="1" x14ac:dyDescent="0.15">
      <c r="A110" s="202"/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413"/>
    </row>
    <row r="111" spans="1:21" s="203" customFormat="1" ht="12.75" customHeight="1" x14ac:dyDescent="0.15">
      <c r="A111" s="202"/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413"/>
    </row>
    <row r="112" spans="1:21" s="203" customFormat="1" ht="12.75" customHeight="1" x14ac:dyDescent="0.15">
      <c r="A112" s="202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413"/>
    </row>
    <row r="113" spans="1:21" s="203" customFormat="1" ht="12.75" customHeight="1" x14ac:dyDescent="0.15">
      <c r="A113" s="202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413"/>
    </row>
    <row r="114" spans="1:21" s="203" customFormat="1" ht="12.75" customHeight="1" x14ac:dyDescent="0.15">
      <c r="A114" s="202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413"/>
    </row>
    <row r="115" spans="1:21" s="203" customFormat="1" ht="12.75" customHeight="1" x14ac:dyDescent="0.15">
      <c r="A115" s="202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413"/>
    </row>
    <row r="116" spans="1:21" s="203" customFormat="1" ht="12.75" customHeight="1" x14ac:dyDescent="0.15">
      <c r="A116" s="202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413"/>
    </row>
    <row r="117" spans="1:21" s="203" customFormat="1" ht="12.75" customHeight="1" x14ac:dyDescent="0.15">
      <c r="A117" s="202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413"/>
    </row>
    <row r="118" spans="1:21" s="203" customFormat="1" ht="12.75" customHeight="1" x14ac:dyDescent="0.15">
      <c r="A118" s="202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413"/>
    </row>
    <row r="119" spans="1:21" s="203" customFormat="1" ht="12.75" customHeight="1" x14ac:dyDescent="0.15">
      <c r="A119" s="202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413"/>
    </row>
    <row r="120" spans="1:21" s="203" customFormat="1" ht="12.75" customHeight="1" x14ac:dyDescent="0.15">
      <c r="A120" s="202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413"/>
    </row>
    <row r="121" spans="1:21" s="203" customFormat="1" ht="12.75" customHeight="1" x14ac:dyDescent="0.15">
      <c r="A121" s="202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413"/>
    </row>
    <row r="122" spans="1:21" s="203" customFormat="1" ht="12.75" customHeight="1" x14ac:dyDescent="0.15">
      <c r="A122" s="202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413"/>
    </row>
    <row r="123" spans="1:21" s="203" customFormat="1" ht="12.75" customHeight="1" x14ac:dyDescent="0.15">
      <c r="A123" s="202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413"/>
    </row>
    <row r="124" spans="1:21" s="203" customFormat="1" ht="12.75" customHeight="1" x14ac:dyDescent="0.15">
      <c r="A124" s="202"/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413"/>
    </row>
    <row r="125" spans="1:21" s="203" customFormat="1" ht="12.75" customHeight="1" x14ac:dyDescent="0.15">
      <c r="A125" s="202"/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413"/>
    </row>
    <row r="126" spans="1:21" s="203" customFormat="1" ht="12.75" customHeight="1" x14ac:dyDescent="0.15">
      <c r="A126" s="202"/>
      <c r="C126" s="158"/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413"/>
    </row>
    <row r="127" spans="1:21" s="203" customFormat="1" ht="12.75" customHeight="1" x14ac:dyDescent="0.15">
      <c r="A127" s="202"/>
      <c r="C127" s="158"/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413"/>
    </row>
    <row r="128" spans="1:21" s="203" customFormat="1" ht="12.75" customHeight="1" x14ac:dyDescent="0.15">
      <c r="A128" s="202"/>
      <c r="C128" s="158"/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413"/>
    </row>
    <row r="129" spans="1:21" s="203" customFormat="1" ht="12.75" customHeight="1" x14ac:dyDescent="0.15">
      <c r="A129" s="202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413"/>
    </row>
    <row r="130" spans="1:21" s="203" customFormat="1" ht="12.75" customHeight="1" x14ac:dyDescent="0.15">
      <c r="A130" s="202"/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413"/>
    </row>
    <row r="131" spans="1:21" s="203" customFormat="1" ht="12.75" customHeight="1" x14ac:dyDescent="0.15">
      <c r="A131" s="202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413"/>
    </row>
    <row r="132" spans="1:21" s="203" customFormat="1" ht="12.75" customHeight="1" x14ac:dyDescent="0.15">
      <c r="A132" s="202"/>
      <c r="C132" s="158"/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413"/>
    </row>
    <row r="133" spans="1:21" s="203" customFormat="1" ht="12.75" customHeight="1" x14ac:dyDescent="0.15">
      <c r="A133" s="202"/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413"/>
    </row>
    <row r="134" spans="1:21" s="203" customFormat="1" ht="12.75" customHeight="1" x14ac:dyDescent="0.15">
      <c r="A134" s="202"/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413"/>
    </row>
    <row r="135" spans="1:21" s="203" customFormat="1" ht="12.75" customHeight="1" x14ac:dyDescent="0.15">
      <c r="A135" s="202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413"/>
    </row>
    <row r="136" spans="1:21" s="203" customFormat="1" ht="12.75" customHeight="1" x14ac:dyDescent="0.15">
      <c r="A136" s="202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413"/>
    </row>
    <row r="137" spans="1:21" s="203" customFormat="1" ht="12.75" customHeight="1" x14ac:dyDescent="0.15">
      <c r="A137" s="202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413"/>
    </row>
    <row r="138" spans="1:21" s="203" customFormat="1" ht="12.75" customHeight="1" x14ac:dyDescent="0.15">
      <c r="A138" s="202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413"/>
    </row>
    <row r="139" spans="1:21" s="203" customFormat="1" ht="12.75" customHeight="1" x14ac:dyDescent="0.15">
      <c r="A139" s="202"/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413"/>
    </row>
  </sheetData>
  <mergeCells count="26">
    <mergeCell ref="B85:D85"/>
    <mergeCell ref="B61:D61"/>
    <mergeCell ref="B62:D62"/>
    <mergeCell ref="B79:D79"/>
    <mergeCell ref="B82:D82"/>
    <mergeCell ref="B83:D83"/>
    <mergeCell ref="B84:D84"/>
    <mergeCell ref="B60:D60"/>
    <mergeCell ref="B11:D11"/>
    <mergeCell ref="B17:D17"/>
    <mergeCell ref="B30:D30"/>
    <mergeCell ref="B32:D32"/>
    <mergeCell ref="B38:D38"/>
    <mergeCell ref="B39:D39"/>
    <mergeCell ref="B43:D43"/>
    <mergeCell ref="B48:D48"/>
    <mergeCell ref="B49:D49"/>
    <mergeCell ref="B55:D55"/>
    <mergeCell ref="B56:D56"/>
    <mergeCell ref="B9:D10"/>
    <mergeCell ref="E9:P9"/>
    <mergeCell ref="L2:M2"/>
    <mergeCell ref="P2:Q2"/>
    <mergeCell ref="A5:Q5"/>
    <mergeCell ref="A6:Q6"/>
    <mergeCell ref="P8:Q8"/>
  </mergeCells>
  <pageMargins left="0.39370078740157483" right="0.31496062992125984" top="0.78740157480314965" bottom="0.59055118110236227" header="0.31496062992125984" footer="0.31496062992125984"/>
  <pageSetup paperSize="9" scale="97" firstPageNumber="35" orientation="landscape" useFirstPageNumber="1" horizontalDpi="4294967293" verticalDpi="300" r:id="rId1"/>
  <headerFooter>
    <oddFooter>&amp;C&amp;"Times New Roman,Regular"&amp;10~ &amp;P ~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D740-BC15-4584-855F-CFE9FFD93EEE}">
  <sheetPr>
    <tabColor rgb="FFFFFF00"/>
  </sheetPr>
  <dimension ref="A1:U151"/>
  <sheetViews>
    <sheetView showGridLines="0" showWhiteSpace="0" view="pageBreakPreview" topLeftCell="B1" zoomScale="130" zoomScaleNormal="130" zoomScaleSheetLayoutView="130" zoomScalePageLayoutView="110" workbookViewId="0">
      <pane ySplit="10" topLeftCell="A20" activePane="bottomLeft" state="frozen"/>
      <selection pane="bottomLeft" activeCell="S32" sqref="S32"/>
    </sheetView>
  </sheetViews>
  <sheetFormatPr defaultColWidth="9.140625" defaultRowHeight="12.75" customHeight="1" x14ac:dyDescent="0.15"/>
  <cols>
    <col min="1" max="1" width="5.7109375" style="158" customWidth="1"/>
    <col min="2" max="2" width="2.85546875" style="203" customWidth="1"/>
    <col min="3" max="3" width="3.140625" style="158" customWidth="1"/>
    <col min="4" max="4" width="20.42578125" style="158" customWidth="1"/>
    <col min="5" max="16" width="9.28515625" style="158" customWidth="1"/>
    <col min="17" max="17" width="11.28515625" style="158" bestFit="1" customWidth="1"/>
    <col min="18" max="18" width="14" style="205" customWidth="1"/>
    <col min="19" max="20" width="14.140625" style="158" customWidth="1"/>
    <col min="21" max="21" width="12.28515625" style="158" customWidth="1"/>
    <col min="22" max="16384" width="9.140625" style="158"/>
  </cols>
  <sheetData>
    <row r="1" spans="1:20" s="153" customFormat="1" ht="12.75" customHeight="1" x14ac:dyDescent="0.2">
      <c r="A1" s="267" t="s">
        <v>11</v>
      </c>
      <c r="B1" s="268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48"/>
    </row>
    <row r="2" spans="1:20" s="153" customFormat="1" ht="12.75" customHeight="1" x14ac:dyDescent="0.2">
      <c r="A2" s="267" t="s">
        <v>29</v>
      </c>
      <c r="B2" s="268"/>
      <c r="C2" s="267"/>
      <c r="D2" s="267"/>
      <c r="E2" s="267"/>
      <c r="F2" s="267"/>
      <c r="G2" s="267"/>
      <c r="H2" s="267"/>
      <c r="I2" s="267"/>
      <c r="J2" s="267"/>
      <c r="K2" s="531"/>
      <c r="L2" s="532"/>
      <c r="M2" s="267"/>
      <c r="N2" s="532"/>
      <c r="O2" s="532"/>
      <c r="P2" s="267"/>
      <c r="Q2" s="154" t="s">
        <v>420</v>
      </c>
      <c r="R2" s="248"/>
    </row>
    <row r="3" spans="1:20" s="153" customFormat="1" ht="12.75" customHeight="1" x14ac:dyDescent="0.2">
      <c r="A3" s="267"/>
      <c r="B3" s="268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155"/>
      <c r="R3" s="248"/>
    </row>
    <row r="4" spans="1:20" s="153" customFormat="1" ht="12.75" customHeight="1" x14ac:dyDescent="0.2">
      <c r="A4" s="532" t="s">
        <v>421</v>
      </c>
      <c r="B4" s="532"/>
      <c r="C4" s="532"/>
      <c r="D4" s="532"/>
      <c r="E4" s="532"/>
      <c r="F4" s="532"/>
      <c r="G4" s="532"/>
      <c r="H4" s="532"/>
      <c r="I4" s="532"/>
      <c r="J4" s="532"/>
      <c r="K4" s="532"/>
      <c r="L4" s="532"/>
      <c r="M4" s="532"/>
      <c r="N4" s="532"/>
      <c r="O4" s="532"/>
      <c r="P4" s="532"/>
      <c r="Q4" s="532"/>
      <c r="R4" s="532"/>
    </row>
    <row r="5" spans="1:20" s="153" customFormat="1" ht="12.75" customHeight="1" x14ac:dyDescent="0.2">
      <c r="A5" s="532" t="s">
        <v>464</v>
      </c>
      <c r="B5" s="532"/>
      <c r="C5" s="532"/>
      <c r="D5" s="532"/>
      <c r="E5" s="532"/>
      <c r="F5" s="532"/>
      <c r="G5" s="532"/>
      <c r="H5" s="532"/>
      <c r="I5" s="532"/>
      <c r="J5" s="532"/>
      <c r="K5" s="532"/>
      <c r="L5" s="532"/>
      <c r="M5" s="532"/>
      <c r="N5" s="532"/>
      <c r="O5" s="532"/>
      <c r="P5" s="532"/>
      <c r="Q5" s="532"/>
      <c r="R5" s="532"/>
    </row>
    <row r="6" spans="1:20" s="153" customFormat="1" ht="7.5" customHeight="1" x14ac:dyDescent="0.2">
      <c r="A6" s="248"/>
      <c r="B6" s="248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</row>
    <row r="7" spans="1:20" s="153" customFormat="1" ht="12.75" customHeight="1" thickBot="1" x14ac:dyDescent="0.3">
      <c r="A7" s="269" t="s">
        <v>5</v>
      </c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</row>
    <row r="8" spans="1:20" ht="15.75" customHeight="1" thickTop="1" x14ac:dyDescent="0.15">
      <c r="A8" s="157" t="s">
        <v>199</v>
      </c>
      <c r="B8" s="536" t="s">
        <v>10</v>
      </c>
      <c r="C8" s="536"/>
      <c r="D8" s="536"/>
      <c r="E8" s="557" t="s">
        <v>200</v>
      </c>
      <c r="F8" s="557"/>
      <c r="G8" s="557"/>
      <c r="H8" s="557"/>
      <c r="I8" s="557"/>
      <c r="J8" s="557"/>
      <c r="K8" s="557"/>
      <c r="L8" s="557"/>
      <c r="M8" s="557"/>
      <c r="N8" s="557"/>
      <c r="O8" s="557"/>
      <c r="P8" s="557"/>
      <c r="Q8" s="249" t="s">
        <v>4</v>
      </c>
      <c r="R8" s="572" t="s">
        <v>201</v>
      </c>
      <c r="S8" s="292" t="s">
        <v>434</v>
      </c>
      <c r="T8" s="292" t="s">
        <v>447</v>
      </c>
    </row>
    <row r="9" spans="1:20" ht="14.25" customHeight="1" x14ac:dyDescent="0.15">
      <c r="A9" s="159" t="s">
        <v>202</v>
      </c>
      <c r="B9" s="537"/>
      <c r="C9" s="537"/>
      <c r="D9" s="537"/>
      <c r="E9" s="250">
        <v>1</v>
      </c>
      <c r="F9" s="250">
        <v>2</v>
      </c>
      <c r="G9" s="250">
        <v>3</v>
      </c>
      <c r="H9" s="250">
        <v>4</v>
      </c>
      <c r="I9" s="250">
        <v>5</v>
      </c>
      <c r="J9" s="250">
        <v>6</v>
      </c>
      <c r="K9" s="250">
        <v>7</v>
      </c>
      <c r="L9" s="250">
        <v>8</v>
      </c>
      <c r="M9" s="250">
        <v>9</v>
      </c>
      <c r="N9" s="250">
        <v>10</v>
      </c>
      <c r="O9" s="250">
        <v>11</v>
      </c>
      <c r="P9" s="250">
        <v>12</v>
      </c>
      <c r="Q9" s="160">
        <v>2023</v>
      </c>
      <c r="R9" s="573"/>
      <c r="S9" s="293">
        <v>2023</v>
      </c>
      <c r="T9" s="293">
        <v>2023</v>
      </c>
    </row>
    <row r="10" spans="1:20" ht="15.75" customHeight="1" x14ac:dyDescent="0.15">
      <c r="A10" s="161">
        <v>1</v>
      </c>
      <c r="B10" s="538">
        <v>2</v>
      </c>
      <c r="C10" s="538"/>
      <c r="D10" s="538"/>
      <c r="E10" s="251">
        <v>3</v>
      </c>
      <c r="F10" s="251">
        <v>4</v>
      </c>
      <c r="G10" s="251">
        <v>5</v>
      </c>
      <c r="H10" s="251">
        <v>6</v>
      </c>
      <c r="I10" s="251">
        <v>7</v>
      </c>
      <c r="J10" s="251">
        <v>8</v>
      </c>
      <c r="K10" s="251">
        <v>9</v>
      </c>
      <c r="L10" s="251">
        <v>10</v>
      </c>
      <c r="M10" s="251">
        <v>11</v>
      </c>
      <c r="N10" s="251">
        <v>12</v>
      </c>
      <c r="O10" s="251">
        <v>13</v>
      </c>
      <c r="P10" s="251">
        <v>14</v>
      </c>
      <c r="Q10" s="251">
        <v>15</v>
      </c>
      <c r="R10" s="162">
        <v>16</v>
      </c>
      <c r="S10" s="294">
        <v>17</v>
      </c>
      <c r="T10" s="294">
        <v>17</v>
      </c>
    </row>
    <row r="11" spans="1:20" ht="15.75" customHeight="1" x14ac:dyDescent="0.15">
      <c r="A11" s="163" t="s">
        <v>187</v>
      </c>
      <c r="B11" s="164" t="s">
        <v>203</v>
      </c>
      <c r="C11" s="165"/>
      <c r="D11" s="166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8">
        <f t="shared" ref="Q11:Q12" si="0">SUM(F11:P11)</f>
        <v>0</v>
      </c>
      <c r="R11" s="187"/>
      <c r="S11" s="289"/>
      <c r="T11" s="289"/>
    </row>
    <row r="12" spans="1:20" ht="15.75" customHeight="1" x14ac:dyDescent="0.15">
      <c r="A12" s="170" t="s">
        <v>204</v>
      </c>
      <c r="B12" s="242" t="s">
        <v>205</v>
      </c>
      <c r="C12" s="171"/>
      <c r="D12" s="172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>
        <f t="shared" si="0"/>
        <v>0</v>
      </c>
      <c r="R12" s="187"/>
      <c r="S12" s="290"/>
      <c r="T12" s="290"/>
    </row>
    <row r="13" spans="1:20" ht="15.75" customHeight="1" x14ac:dyDescent="0.15">
      <c r="A13" s="170" t="s">
        <v>206</v>
      </c>
      <c r="B13" s="242" t="s">
        <v>207</v>
      </c>
      <c r="C13" s="171"/>
      <c r="D13" s="172"/>
      <c r="E13" s="168"/>
      <c r="F13" s="168"/>
      <c r="G13" s="168"/>
      <c r="H13" s="168"/>
      <c r="I13" s="168"/>
      <c r="J13" s="168">
        <v>3000000</v>
      </c>
      <c r="K13" s="168">
        <v>3000000</v>
      </c>
      <c r="L13" s="168">
        <v>3000000</v>
      </c>
      <c r="M13" s="168">
        <v>3000000</v>
      </c>
      <c r="N13" s="168">
        <v>3000000</v>
      </c>
      <c r="O13" s="168"/>
      <c r="P13" s="168"/>
      <c r="Q13" s="168">
        <f t="shared" ref="Q13:Q16" si="1">SUM(E13:P13)</f>
        <v>15000000</v>
      </c>
      <c r="R13" s="187" t="s">
        <v>208</v>
      </c>
      <c r="S13" s="291">
        <f>'RINCIAN B. LANGSUNG USAHA'!Q13</f>
        <v>0</v>
      </c>
      <c r="T13" s="291">
        <f>Q13-S13</f>
        <v>15000000</v>
      </c>
    </row>
    <row r="14" spans="1:20" ht="15.75" customHeight="1" x14ac:dyDescent="0.15">
      <c r="A14" s="170" t="s">
        <v>209</v>
      </c>
      <c r="B14" s="242" t="s">
        <v>210</v>
      </c>
      <c r="C14" s="171"/>
      <c r="D14" s="172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>
        <f t="shared" si="1"/>
        <v>0</v>
      </c>
      <c r="R14" s="281"/>
      <c r="S14" s="290"/>
      <c r="T14" s="291"/>
    </row>
    <row r="15" spans="1:20" ht="15.75" customHeight="1" x14ac:dyDescent="0.15">
      <c r="A15" s="170"/>
      <c r="B15" s="242"/>
      <c r="C15" s="171" t="s">
        <v>422</v>
      </c>
      <c r="D15" s="172"/>
      <c r="E15" s="168">
        <f>16000*35</f>
        <v>560000</v>
      </c>
      <c r="F15" s="168">
        <f t="shared" ref="F15:P15" si="2">16000*35</f>
        <v>560000</v>
      </c>
      <c r="G15" s="168">
        <f t="shared" si="2"/>
        <v>560000</v>
      </c>
      <c r="H15" s="168">
        <f t="shared" si="2"/>
        <v>560000</v>
      </c>
      <c r="I15" s="168">
        <f t="shared" si="2"/>
        <v>560000</v>
      </c>
      <c r="J15" s="168">
        <f t="shared" si="2"/>
        <v>560000</v>
      </c>
      <c r="K15" s="168">
        <f t="shared" si="2"/>
        <v>560000</v>
      </c>
      <c r="L15" s="168">
        <f t="shared" si="2"/>
        <v>560000</v>
      </c>
      <c r="M15" s="168">
        <f t="shared" si="2"/>
        <v>560000</v>
      </c>
      <c r="N15" s="168">
        <f t="shared" si="2"/>
        <v>560000</v>
      </c>
      <c r="O15" s="168">
        <f t="shared" si="2"/>
        <v>560000</v>
      </c>
      <c r="P15" s="168">
        <f t="shared" si="2"/>
        <v>560000</v>
      </c>
      <c r="Q15" s="168">
        <f t="shared" si="1"/>
        <v>6720000</v>
      </c>
      <c r="R15" s="282"/>
      <c r="S15" s="290"/>
      <c r="T15" s="291"/>
    </row>
    <row r="16" spans="1:20" ht="15.75" customHeight="1" x14ac:dyDescent="0.15">
      <c r="A16" s="170"/>
      <c r="B16" s="242"/>
      <c r="C16" s="171" t="s">
        <v>423</v>
      </c>
      <c r="D16" s="172"/>
      <c r="E16" s="168"/>
      <c r="F16" s="168"/>
      <c r="G16" s="168"/>
      <c r="H16" s="168"/>
      <c r="I16" s="168"/>
      <c r="J16" s="168">
        <f>16000*1300</f>
        <v>20800000</v>
      </c>
      <c r="K16" s="168">
        <f t="shared" ref="K16:N16" si="3">16000*1300</f>
        <v>20800000</v>
      </c>
      <c r="L16" s="168">
        <f t="shared" si="3"/>
        <v>20800000</v>
      </c>
      <c r="M16" s="168">
        <f t="shared" si="3"/>
        <v>20800000</v>
      </c>
      <c r="N16" s="168">
        <f t="shared" si="3"/>
        <v>20800000</v>
      </c>
      <c r="O16" s="168"/>
      <c r="P16" s="168"/>
      <c r="Q16" s="168">
        <f t="shared" si="1"/>
        <v>104000000</v>
      </c>
      <c r="R16" s="282"/>
      <c r="S16" s="290"/>
      <c r="T16" s="291"/>
    </row>
    <row r="17" spans="1:21" s="253" customFormat="1" ht="15.75" customHeight="1" x14ac:dyDescent="0.15">
      <c r="A17" s="197"/>
      <c r="B17" s="198"/>
      <c r="C17" s="192" t="s">
        <v>435</v>
      </c>
      <c r="D17" s="193"/>
      <c r="E17" s="177">
        <f>SUM(E15:E16)</f>
        <v>560000</v>
      </c>
      <c r="F17" s="177">
        <f t="shared" ref="F17:P17" si="4">SUM(F15:F16)</f>
        <v>560000</v>
      </c>
      <c r="G17" s="177">
        <f t="shared" si="4"/>
        <v>560000</v>
      </c>
      <c r="H17" s="177">
        <f t="shared" si="4"/>
        <v>560000</v>
      </c>
      <c r="I17" s="177">
        <f t="shared" si="4"/>
        <v>560000</v>
      </c>
      <c r="J17" s="177">
        <f t="shared" si="4"/>
        <v>21360000</v>
      </c>
      <c r="K17" s="177">
        <f t="shared" si="4"/>
        <v>21360000</v>
      </c>
      <c r="L17" s="177">
        <f t="shared" si="4"/>
        <v>21360000</v>
      </c>
      <c r="M17" s="177">
        <f t="shared" si="4"/>
        <v>21360000</v>
      </c>
      <c r="N17" s="177">
        <f t="shared" si="4"/>
        <v>21360000</v>
      </c>
      <c r="O17" s="177">
        <f t="shared" si="4"/>
        <v>560000</v>
      </c>
      <c r="P17" s="177">
        <f t="shared" si="4"/>
        <v>560000</v>
      </c>
      <c r="Q17" s="177">
        <f>SUM(Q15:Q16)</f>
        <v>110720000</v>
      </c>
      <c r="R17" s="282" t="s">
        <v>211</v>
      </c>
      <c r="S17" s="291">
        <f>'RINCIAN B. LANGSUNG USAHA'!Q18</f>
        <v>0</v>
      </c>
      <c r="T17" s="291">
        <f t="shared" ref="T17:T24" si="5">Q17-S17</f>
        <v>110720000</v>
      </c>
    </row>
    <row r="18" spans="1:21" ht="15.75" customHeight="1" x14ac:dyDescent="0.15">
      <c r="A18" s="170" t="s">
        <v>212</v>
      </c>
      <c r="B18" s="242" t="s">
        <v>213</v>
      </c>
      <c r="C18" s="171"/>
      <c r="D18" s="172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>
        <f>SUM(E18:P18)</f>
        <v>0</v>
      </c>
      <c r="R18" s="283"/>
      <c r="S18" s="290"/>
      <c r="T18" s="291">
        <f t="shared" si="5"/>
        <v>0</v>
      </c>
    </row>
    <row r="19" spans="1:21" ht="15.75" customHeight="1" x14ac:dyDescent="0.15">
      <c r="A19" s="170"/>
      <c r="B19" s="242"/>
      <c r="C19" s="171" t="s">
        <v>436</v>
      </c>
      <c r="D19" s="172"/>
      <c r="E19" s="168">
        <v>49000000</v>
      </c>
      <c r="F19" s="168">
        <v>49000000</v>
      </c>
      <c r="G19" s="168">
        <v>49000000</v>
      </c>
      <c r="H19" s="168">
        <v>49000000</v>
      </c>
      <c r="I19" s="168">
        <v>49000000</v>
      </c>
      <c r="J19" s="168">
        <v>49000000</v>
      </c>
      <c r="K19" s="168">
        <v>49000000</v>
      </c>
      <c r="L19" s="168">
        <v>49000000</v>
      </c>
      <c r="M19" s="168">
        <v>49000000</v>
      </c>
      <c r="N19" s="168">
        <v>49000000</v>
      </c>
      <c r="O19" s="168">
        <v>49000000</v>
      </c>
      <c r="P19" s="168">
        <v>49000000</v>
      </c>
      <c r="Q19" s="168">
        <f>SUM(E19:P19)</f>
        <v>588000000</v>
      </c>
      <c r="R19" s="283"/>
      <c r="S19" s="290"/>
      <c r="T19" s="291"/>
    </row>
    <row r="20" spans="1:21" ht="15.75" customHeight="1" x14ac:dyDescent="0.15">
      <c r="A20" s="170"/>
      <c r="B20" s="242"/>
      <c r="C20" s="171" t="s">
        <v>437</v>
      </c>
      <c r="D20" s="172"/>
      <c r="E20" s="168">
        <v>9000000</v>
      </c>
      <c r="F20" s="168">
        <v>9000000</v>
      </c>
      <c r="G20" s="168">
        <v>9000000</v>
      </c>
      <c r="H20" s="168">
        <v>9000000</v>
      </c>
      <c r="I20" s="168">
        <v>9000000</v>
      </c>
      <c r="J20" s="168">
        <v>9000000</v>
      </c>
      <c r="K20" s="168">
        <v>9000000</v>
      </c>
      <c r="L20" s="168">
        <v>9000000</v>
      </c>
      <c r="M20" s="168">
        <v>9000000</v>
      </c>
      <c r="N20" s="168">
        <v>9000000</v>
      </c>
      <c r="O20" s="168">
        <v>9000000</v>
      </c>
      <c r="P20" s="168">
        <v>9000000</v>
      </c>
      <c r="Q20" s="168">
        <f>SUM(E20:P20)</f>
        <v>108000000</v>
      </c>
      <c r="R20" s="283"/>
      <c r="S20" s="290"/>
      <c r="T20" s="291"/>
    </row>
    <row r="21" spans="1:21" ht="15.75" customHeight="1" x14ac:dyDescent="0.15">
      <c r="A21" s="170"/>
      <c r="B21" s="242"/>
      <c r="C21" s="171" t="s">
        <v>438</v>
      </c>
      <c r="D21" s="172"/>
      <c r="E21" s="168">
        <v>22000000</v>
      </c>
      <c r="F21" s="168">
        <v>22000000</v>
      </c>
      <c r="G21" s="168">
        <v>22000000</v>
      </c>
      <c r="H21" s="168">
        <v>22000000</v>
      </c>
      <c r="I21" s="168">
        <v>22000000</v>
      </c>
      <c r="J21" s="168">
        <v>22000000</v>
      </c>
      <c r="K21" s="168">
        <v>22000000</v>
      </c>
      <c r="L21" s="168">
        <v>22000000</v>
      </c>
      <c r="M21" s="168">
        <v>22000000</v>
      </c>
      <c r="N21" s="168">
        <v>22000000</v>
      </c>
      <c r="O21" s="168">
        <v>22000000</v>
      </c>
      <c r="P21" s="168">
        <v>22000000</v>
      </c>
      <c r="Q21" s="168">
        <f>SUM(E21:P21)</f>
        <v>264000000</v>
      </c>
      <c r="R21" s="283"/>
      <c r="S21" s="290"/>
      <c r="T21" s="291"/>
    </row>
    <row r="22" spans="1:21" s="253" customFormat="1" ht="15.75" customHeight="1" x14ac:dyDescent="0.15">
      <c r="A22" s="197"/>
      <c r="B22" s="198"/>
      <c r="C22" s="192" t="s">
        <v>439</v>
      </c>
      <c r="D22" s="193"/>
      <c r="E22" s="177">
        <f>SUM(E19:E21)</f>
        <v>80000000</v>
      </c>
      <c r="F22" s="177">
        <f t="shared" ref="F22:P22" si="6">SUM(F19:F21)</f>
        <v>80000000</v>
      </c>
      <c r="G22" s="177">
        <f t="shared" si="6"/>
        <v>80000000</v>
      </c>
      <c r="H22" s="177">
        <f t="shared" si="6"/>
        <v>80000000</v>
      </c>
      <c r="I22" s="177">
        <f t="shared" si="6"/>
        <v>80000000</v>
      </c>
      <c r="J22" s="177">
        <f t="shared" si="6"/>
        <v>80000000</v>
      </c>
      <c r="K22" s="177">
        <f t="shared" si="6"/>
        <v>80000000</v>
      </c>
      <c r="L22" s="177">
        <f t="shared" si="6"/>
        <v>80000000</v>
      </c>
      <c r="M22" s="177">
        <f t="shared" si="6"/>
        <v>80000000</v>
      </c>
      <c r="N22" s="177">
        <f t="shared" si="6"/>
        <v>80000000</v>
      </c>
      <c r="O22" s="177">
        <f t="shared" si="6"/>
        <v>80000000</v>
      </c>
      <c r="P22" s="177">
        <f t="shared" si="6"/>
        <v>80000000</v>
      </c>
      <c r="Q22" s="177">
        <f>SUM(Q19:Q21)</f>
        <v>960000000</v>
      </c>
      <c r="R22" s="283" t="s">
        <v>214</v>
      </c>
      <c r="S22" s="291">
        <f>'RINCIAN B. LANGSUNG USAHA'!Q19</f>
        <v>0</v>
      </c>
      <c r="T22" s="291">
        <f t="shared" si="5"/>
        <v>960000000</v>
      </c>
    </row>
    <row r="23" spans="1:21" ht="15.75" customHeight="1" x14ac:dyDescent="0.15">
      <c r="A23" s="170" t="s">
        <v>215</v>
      </c>
      <c r="B23" s="176" t="s">
        <v>424</v>
      </c>
      <c r="C23" s="171"/>
      <c r="D23" s="172"/>
      <c r="E23" s="168">
        <v>500000</v>
      </c>
      <c r="F23" s="168">
        <v>0</v>
      </c>
      <c r="G23" s="168">
        <v>0</v>
      </c>
      <c r="H23" s="168">
        <v>500000</v>
      </c>
      <c r="I23" s="168">
        <v>0</v>
      </c>
      <c r="J23" s="168">
        <v>500000</v>
      </c>
      <c r="K23" s="168">
        <v>0</v>
      </c>
      <c r="L23" s="168">
        <v>500000</v>
      </c>
      <c r="M23" s="168">
        <v>0</v>
      </c>
      <c r="N23" s="168">
        <v>0</v>
      </c>
      <c r="O23" s="168">
        <v>500000</v>
      </c>
      <c r="P23" s="168">
        <v>0</v>
      </c>
      <c r="Q23" s="168">
        <f>SUM(E23:P23)</f>
        <v>2500000</v>
      </c>
      <c r="R23" s="283" t="s">
        <v>217</v>
      </c>
      <c r="S23" s="291">
        <f>'RINCIAN B. LANGSUNG USAHA'!Q20</f>
        <v>0</v>
      </c>
      <c r="T23" s="291">
        <f t="shared" si="5"/>
        <v>2500000</v>
      </c>
    </row>
    <row r="24" spans="1:21" ht="15.75" customHeight="1" x14ac:dyDescent="0.15">
      <c r="A24" s="170" t="s">
        <v>218</v>
      </c>
      <c r="B24" s="176" t="s">
        <v>219</v>
      </c>
      <c r="C24" s="171"/>
      <c r="D24" s="172"/>
      <c r="E24" s="168">
        <v>250000</v>
      </c>
      <c r="F24" s="168">
        <v>250000</v>
      </c>
      <c r="G24" s="168">
        <v>250000</v>
      </c>
      <c r="H24" s="168">
        <v>250000</v>
      </c>
      <c r="I24" s="168">
        <v>250000</v>
      </c>
      <c r="J24" s="168">
        <v>250000</v>
      </c>
      <c r="K24" s="168">
        <v>250000</v>
      </c>
      <c r="L24" s="168">
        <v>250000</v>
      </c>
      <c r="M24" s="168">
        <v>250000</v>
      </c>
      <c r="N24" s="168">
        <v>250000</v>
      </c>
      <c r="O24" s="168">
        <v>250000</v>
      </c>
      <c r="P24" s="168">
        <v>250000</v>
      </c>
      <c r="Q24" s="168">
        <f t="shared" ref="Q24" si="7">SUM(E24:P24)</f>
        <v>3000000</v>
      </c>
      <c r="R24" s="187" t="s">
        <v>220</v>
      </c>
      <c r="S24" s="291">
        <f>'RINCIAN B. LANGSUNG USAHA'!Q21</f>
        <v>0</v>
      </c>
      <c r="T24" s="291">
        <f t="shared" si="5"/>
        <v>3000000</v>
      </c>
    </row>
    <row r="25" spans="1:21" ht="17.25" customHeight="1" x14ac:dyDescent="0.15">
      <c r="A25" s="179"/>
      <c r="B25" s="539" t="s">
        <v>221</v>
      </c>
      <c r="C25" s="540"/>
      <c r="D25" s="541"/>
      <c r="E25" s="212">
        <f>E12+E13+E17+E22+E23+E24</f>
        <v>81310000</v>
      </c>
      <c r="F25" s="212">
        <f t="shared" ref="F25:P25" si="8">F12+F13+F17+F22+F23+F24</f>
        <v>80810000</v>
      </c>
      <c r="G25" s="212">
        <f t="shared" si="8"/>
        <v>80810000</v>
      </c>
      <c r="H25" s="212">
        <f t="shared" si="8"/>
        <v>81310000</v>
      </c>
      <c r="I25" s="212">
        <f t="shared" si="8"/>
        <v>80810000</v>
      </c>
      <c r="J25" s="212">
        <f t="shared" si="8"/>
        <v>105110000</v>
      </c>
      <c r="K25" s="212">
        <f t="shared" si="8"/>
        <v>104610000</v>
      </c>
      <c r="L25" s="212">
        <f t="shared" si="8"/>
        <v>105110000</v>
      </c>
      <c r="M25" s="212">
        <f t="shared" si="8"/>
        <v>104610000</v>
      </c>
      <c r="N25" s="212">
        <f t="shared" si="8"/>
        <v>104610000</v>
      </c>
      <c r="O25" s="212">
        <f t="shared" si="8"/>
        <v>81310000</v>
      </c>
      <c r="P25" s="212">
        <f t="shared" si="8"/>
        <v>80810000</v>
      </c>
      <c r="Q25" s="212">
        <f>SUM(E25:P25)</f>
        <v>1091220000</v>
      </c>
      <c r="R25" s="265"/>
      <c r="S25" s="299">
        <f>SUM(S13:S24)</f>
        <v>0</v>
      </c>
      <c r="T25" s="299">
        <f>SUM(T13:T24)</f>
        <v>1091220000</v>
      </c>
      <c r="U25" s="178"/>
    </row>
    <row r="26" spans="1:21" ht="15.75" customHeight="1" x14ac:dyDescent="0.15">
      <c r="A26" s="170" t="s">
        <v>222</v>
      </c>
      <c r="B26" s="242" t="s">
        <v>223</v>
      </c>
      <c r="C26" s="171"/>
      <c r="D26" s="172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87"/>
      <c r="S26" s="290"/>
      <c r="T26" s="290"/>
    </row>
    <row r="27" spans="1:21" ht="15.75" customHeight="1" x14ac:dyDescent="0.15">
      <c r="A27" s="170" t="s">
        <v>224</v>
      </c>
      <c r="B27" s="242" t="s">
        <v>225</v>
      </c>
      <c r="C27" s="171"/>
      <c r="D27" s="172"/>
      <c r="E27" s="168"/>
      <c r="F27" s="168"/>
      <c r="G27" s="168"/>
      <c r="H27" s="168"/>
      <c r="I27" s="168"/>
      <c r="J27" s="168"/>
      <c r="K27" s="168"/>
      <c r="L27" s="168"/>
      <c r="M27" s="168">
        <v>10000000</v>
      </c>
      <c r="N27" s="168"/>
      <c r="O27" s="168"/>
      <c r="P27" s="168"/>
      <c r="Q27" s="168">
        <f t="shared" ref="Q27:Q59" si="9">SUM(E27:P27)</f>
        <v>10000000</v>
      </c>
      <c r="R27" s="187"/>
      <c r="S27" s="291">
        <f>'RINCIAN B. LANGSUNG USAHA'!Q24</f>
        <v>0</v>
      </c>
      <c r="T27" s="291">
        <f>Q27-S27</f>
        <v>10000000</v>
      </c>
    </row>
    <row r="28" spans="1:21" ht="15.75" customHeight="1" x14ac:dyDescent="0.15">
      <c r="A28" s="170" t="s">
        <v>227</v>
      </c>
      <c r="B28" s="242" t="s">
        <v>228</v>
      </c>
      <c r="C28" s="171"/>
      <c r="D28" s="172"/>
      <c r="E28" s="168"/>
      <c r="F28" s="168"/>
      <c r="G28" s="168"/>
      <c r="H28" s="168"/>
      <c r="I28" s="168"/>
      <c r="J28" s="168"/>
      <c r="K28" s="168"/>
      <c r="L28" s="270"/>
      <c r="M28" s="168"/>
      <c r="N28" s="168"/>
      <c r="O28" s="168"/>
      <c r="P28" s="168"/>
      <c r="Q28" s="168">
        <f t="shared" si="9"/>
        <v>0</v>
      </c>
      <c r="R28" s="187"/>
      <c r="S28" s="291">
        <f>'RINCIAN B. LANGSUNG USAHA'!Q25</f>
        <v>0</v>
      </c>
      <c r="T28" s="291">
        <f t="shared" ref="T28:T32" si="10">Q28-S28</f>
        <v>0</v>
      </c>
    </row>
    <row r="29" spans="1:21" ht="15.75" customHeight="1" x14ac:dyDescent="0.15">
      <c r="A29" s="170" t="s">
        <v>229</v>
      </c>
      <c r="B29" s="242" t="s">
        <v>230</v>
      </c>
      <c r="C29" s="171"/>
      <c r="D29" s="172"/>
      <c r="E29" s="168">
        <v>500000</v>
      </c>
      <c r="F29" s="168">
        <v>500000</v>
      </c>
      <c r="G29" s="168">
        <v>500000</v>
      </c>
      <c r="H29" s="168">
        <v>500000</v>
      </c>
      <c r="I29" s="168">
        <v>500000</v>
      </c>
      <c r="J29" s="168">
        <v>500000</v>
      </c>
      <c r="K29" s="168">
        <v>500000</v>
      </c>
      <c r="L29" s="168">
        <v>500000</v>
      </c>
      <c r="M29" s="168">
        <v>500000</v>
      </c>
      <c r="N29" s="168">
        <v>500000</v>
      </c>
      <c r="O29" s="168">
        <v>500000</v>
      </c>
      <c r="P29" s="168">
        <v>500000</v>
      </c>
      <c r="Q29" s="168">
        <f t="shared" si="9"/>
        <v>6000000</v>
      </c>
      <c r="R29" s="187"/>
      <c r="S29" s="291">
        <f>'RINCIAN B. LANGSUNG USAHA'!Q26</f>
        <v>0</v>
      </c>
      <c r="T29" s="291">
        <f t="shared" si="10"/>
        <v>6000000</v>
      </c>
    </row>
    <row r="30" spans="1:21" ht="15.75" customHeight="1" x14ac:dyDescent="0.15">
      <c r="A30" s="170" t="s">
        <v>231</v>
      </c>
      <c r="B30" s="242" t="s">
        <v>232</v>
      </c>
      <c r="C30" s="171"/>
      <c r="D30" s="172"/>
      <c r="E30" s="168"/>
      <c r="F30" s="168">
        <v>1500000</v>
      </c>
      <c r="G30" s="168"/>
      <c r="H30" s="168"/>
      <c r="I30" s="168"/>
      <c r="J30" s="168"/>
      <c r="K30" s="168"/>
      <c r="L30" s="168"/>
      <c r="M30" s="168"/>
      <c r="N30" s="168"/>
      <c r="O30" s="168">
        <v>1500000</v>
      </c>
      <c r="P30" s="168"/>
      <c r="Q30" s="168">
        <f t="shared" si="9"/>
        <v>3000000</v>
      </c>
      <c r="R30" s="187"/>
      <c r="S30" s="291">
        <f>'RINCIAN B. LANGSUNG USAHA'!Q27</f>
        <v>0</v>
      </c>
      <c r="T30" s="291">
        <f t="shared" si="10"/>
        <v>3000000</v>
      </c>
    </row>
    <row r="31" spans="1:21" ht="15.75" customHeight="1" x14ac:dyDescent="0.15">
      <c r="A31" s="170" t="s">
        <v>233</v>
      </c>
      <c r="B31" s="242" t="s">
        <v>234</v>
      </c>
      <c r="C31" s="171"/>
      <c r="D31" s="172"/>
      <c r="E31" s="168">
        <v>16500000</v>
      </c>
      <c r="F31" s="168">
        <v>16500000</v>
      </c>
      <c r="G31" s="168"/>
      <c r="H31" s="168"/>
      <c r="I31" s="168"/>
      <c r="J31" s="168">
        <v>16500000</v>
      </c>
      <c r="K31" s="168">
        <v>16500000</v>
      </c>
      <c r="L31" s="168"/>
      <c r="M31" s="168"/>
      <c r="N31" s="168">
        <v>16500000</v>
      </c>
      <c r="O31" s="168"/>
      <c r="P31" s="168"/>
      <c r="Q31" s="168">
        <f t="shared" si="9"/>
        <v>82500000</v>
      </c>
      <c r="R31" s="187"/>
      <c r="S31" s="291">
        <f>'RINCIAN B. LANGSUNG USAHA'!Q28</f>
        <v>0</v>
      </c>
      <c r="T31" s="291">
        <f t="shared" si="10"/>
        <v>82500000</v>
      </c>
    </row>
    <row r="32" spans="1:21" ht="15.75" customHeight="1" x14ac:dyDescent="0.15">
      <c r="A32" s="170" t="s">
        <v>235</v>
      </c>
      <c r="B32" s="242" t="s">
        <v>236</v>
      </c>
      <c r="C32" s="171"/>
      <c r="D32" s="172"/>
      <c r="E32" s="168">
        <v>500000</v>
      </c>
      <c r="F32" s="168">
        <v>500000</v>
      </c>
      <c r="G32" s="168">
        <v>500000</v>
      </c>
      <c r="H32" s="168">
        <v>500000</v>
      </c>
      <c r="I32" s="168">
        <v>500000</v>
      </c>
      <c r="J32" s="168">
        <v>500000</v>
      </c>
      <c r="K32" s="168">
        <v>500000</v>
      </c>
      <c r="L32" s="168">
        <v>500000</v>
      </c>
      <c r="M32" s="168">
        <v>500000</v>
      </c>
      <c r="N32" s="168">
        <v>500000</v>
      </c>
      <c r="O32" s="168">
        <v>500000</v>
      </c>
      <c r="P32" s="168">
        <v>500000</v>
      </c>
      <c r="Q32" s="168">
        <f t="shared" si="9"/>
        <v>6000000</v>
      </c>
      <c r="R32" s="187"/>
      <c r="S32" s="291">
        <f>'RINCIAN B. LANGSUNG USAHA'!Q29</f>
        <v>0</v>
      </c>
      <c r="T32" s="291">
        <f t="shared" si="10"/>
        <v>6000000</v>
      </c>
    </row>
    <row r="33" spans="1:21" ht="15.75" customHeight="1" x14ac:dyDescent="0.15">
      <c r="A33" s="179"/>
      <c r="B33" s="539" t="s">
        <v>237</v>
      </c>
      <c r="C33" s="540"/>
      <c r="D33" s="541"/>
      <c r="E33" s="212">
        <f>SUM(E27:E32)</f>
        <v>17500000</v>
      </c>
      <c r="F33" s="212">
        <f t="shared" ref="F33:P33" si="11">SUM(F27:F32)</f>
        <v>19000000</v>
      </c>
      <c r="G33" s="212">
        <f t="shared" si="11"/>
        <v>1000000</v>
      </c>
      <c r="H33" s="212">
        <f t="shared" si="11"/>
        <v>1000000</v>
      </c>
      <c r="I33" s="212">
        <f t="shared" si="11"/>
        <v>1000000</v>
      </c>
      <c r="J33" s="212">
        <f>SUM(J27:J32)</f>
        <v>17500000</v>
      </c>
      <c r="K33" s="212">
        <f t="shared" si="11"/>
        <v>17500000</v>
      </c>
      <c r="L33" s="212">
        <f>SUM(L27:L32)</f>
        <v>1000000</v>
      </c>
      <c r="M33" s="212">
        <f t="shared" si="11"/>
        <v>11000000</v>
      </c>
      <c r="N33" s="212">
        <f t="shared" si="11"/>
        <v>17500000</v>
      </c>
      <c r="O33" s="212">
        <f t="shared" si="11"/>
        <v>2500000</v>
      </c>
      <c r="P33" s="212">
        <f t="shared" si="11"/>
        <v>1000000</v>
      </c>
      <c r="Q33" s="212">
        <f t="shared" si="9"/>
        <v>107500000</v>
      </c>
      <c r="R33" s="265" t="s">
        <v>226</v>
      </c>
      <c r="S33" s="212">
        <f>SUM(S27:S32)</f>
        <v>0</v>
      </c>
      <c r="T33" s="212">
        <f>SUM(T27:T32)</f>
        <v>107500000</v>
      </c>
      <c r="U33" s="178"/>
    </row>
    <row r="34" spans="1:21" ht="16.5" customHeight="1" x14ac:dyDescent="0.15">
      <c r="A34" s="170" t="s">
        <v>238</v>
      </c>
      <c r="B34" s="242" t="s">
        <v>239</v>
      </c>
      <c r="C34" s="171"/>
      <c r="D34" s="172"/>
      <c r="E34" s="168"/>
      <c r="F34" s="194"/>
      <c r="G34" s="168">
        <f>(121889+53632+870246)*150*10%</f>
        <v>15686505</v>
      </c>
      <c r="H34" s="168"/>
      <c r="I34" s="168"/>
      <c r="J34" s="168"/>
      <c r="K34" s="168"/>
      <c r="L34" s="168"/>
      <c r="M34" s="168"/>
      <c r="N34" s="168"/>
      <c r="O34" s="168"/>
      <c r="P34" s="168"/>
      <c r="Q34" s="180">
        <f t="shared" si="9"/>
        <v>15686505</v>
      </c>
      <c r="R34" s="284" t="s">
        <v>465</v>
      </c>
      <c r="S34" s="298">
        <f>'RINCIAN B. LANGSUNG USAHA'!Q31</f>
        <v>0</v>
      </c>
      <c r="T34" s="298">
        <f>Q34-S34</f>
        <v>15686505</v>
      </c>
    </row>
    <row r="35" spans="1:21" ht="16.5" customHeight="1" x14ac:dyDescent="0.15">
      <c r="A35" s="179"/>
      <c r="B35" s="528" t="s">
        <v>240</v>
      </c>
      <c r="C35" s="529"/>
      <c r="D35" s="530"/>
      <c r="E35" s="180">
        <f>E33+E25+E34</f>
        <v>98810000</v>
      </c>
      <c r="F35" s="180">
        <f t="shared" ref="F35:P35" si="12">F33+F25+F34</f>
        <v>99810000</v>
      </c>
      <c r="G35" s="180">
        <f t="shared" si="12"/>
        <v>97496505</v>
      </c>
      <c r="H35" s="180">
        <f t="shared" si="12"/>
        <v>82310000</v>
      </c>
      <c r="I35" s="180">
        <f t="shared" si="12"/>
        <v>81810000</v>
      </c>
      <c r="J35" s="180">
        <f t="shared" si="12"/>
        <v>122610000</v>
      </c>
      <c r="K35" s="180">
        <f t="shared" si="12"/>
        <v>122110000</v>
      </c>
      <c r="L35" s="180">
        <f>L33+L25+L34</f>
        <v>106110000</v>
      </c>
      <c r="M35" s="180">
        <f t="shared" si="12"/>
        <v>115610000</v>
      </c>
      <c r="N35" s="180">
        <f t="shared" si="12"/>
        <v>122110000</v>
      </c>
      <c r="O35" s="180">
        <f t="shared" si="12"/>
        <v>83810000</v>
      </c>
      <c r="P35" s="180">
        <f t="shared" si="12"/>
        <v>81810000</v>
      </c>
      <c r="Q35" s="168">
        <f t="shared" si="9"/>
        <v>1214406505</v>
      </c>
      <c r="R35" s="285"/>
      <c r="S35" s="298">
        <f>S34+S33+S25</f>
        <v>0</v>
      </c>
      <c r="T35" s="298">
        <f t="shared" ref="T35:T36" si="13">Q35-S35</f>
        <v>1214406505</v>
      </c>
    </row>
    <row r="36" spans="1:21" ht="18" customHeight="1" x14ac:dyDescent="0.15">
      <c r="A36" s="179" t="s">
        <v>192</v>
      </c>
      <c r="B36" s="252" t="s">
        <v>241</v>
      </c>
      <c r="C36" s="184"/>
      <c r="D36" s="185"/>
      <c r="E36" s="180">
        <f>9180831+18140880+1000000</f>
        <v>28321711</v>
      </c>
      <c r="F36" s="180">
        <f t="shared" ref="F36:P36" si="14">9180831+18140880+1000000</f>
        <v>28321711</v>
      </c>
      <c r="G36" s="180">
        <f t="shared" si="14"/>
        <v>28321711</v>
      </c>
      <c r="H36" s="180">
        <f t="shared" si="14"/>
        <v>28321711</v>
      </c>
      <c r="I36" s="180">
        <f t="shared" si="14"/>
        <v>28321711</v>
      </c>
      <c r="J36" s="180">
        <f t="shared" si="14"/>
        <v>28321711</v>
      </c>
      <c r="K36" s="180">
        <f t="shared" si="14"/>
        <v>28321711</v>
      </c>
      <c r="L36" s="180">
        <f t="shared" si="14"/>
        <v>28321711</v>
      </c>
      <c r="M36" s="180">
        <f t="shared" si="14"/>
        <v>28321711</v>
      </c>
      <c r="N36" s="180">
        <f t="shared" si="14"/>
        <v>28321711</v>
      </c>
      <c r="O36" s="180">
        <f t="shared" si="14"/>
        <v>28321711</v>
      </c>
      <c r="P36" s="180">
        <f t="shared" si="14"/>
        <v>28321711</v>
      </c>
      <c r="Q36" s="180">
        <f t="shared" si="9"/>
        <v>339860532</v>
      </c>
      <c r="R36" s="283" t="s">
        <v>242</v>
      </c>
      <c r="S36" s="298">
        <f>'RINCIAN B. LANGSUNG USAHA'!Q33</f>
        <v>0</v>
      </c>
      <c r="T36" s="298">
        <f t="shared" si="13"/>
        <v>339860532</v>
      </c>
    </row>
    <row r="37" spans="1:21" ht="20.25" customHeight="1" x14ac:dyDescent="0.15">
      <c r="A37" s="179"/>
      <c r="B37" s="545" t="s">
        <v>243</v>
      </c>
      <c r="C37" s="546"/>
      <c r="D37" s="547"/>
      <c r="E37" s="180">
        <f>SUM(E35:E36)</f>
        <v>127131711</v>
      </c>
      <c r="F37" s="180">
        <f t="shared" ref="F37:P37" si="15">SUM(F35:F36)</f>
        <v>128131711</v>
      </c>
      <c r="G37" s="180">
        <f t="shared" si="15"/>
        <v>125818216</v>
      </c>
      <c r="H37" s="180">
        <f t="shared" si="15"/>
        <v>110631711</v>
      </c>
      <c r="I37" s="180">
        <f t="shared" si="15"/>
        <v>110131711</v>
      </c>
      <c r="J37" s="180">
        <f t="shared" si="15"/>
        <v>150931711</v>
      </c>
      <c r="K37" s="180">
        <f t="shared" si="15"/>
        <v>150431711</v>
      </c>
      <c r="L37" s="180">
        <f t="shared" si="15"/>
        <v>134431711</v>
      </c>
      <c r="M37" s="180">
        <f t="shared" si="15"/>
        <v>143931711</v>
      </c>
      <c r="N37" s="180">
        <f t="shared" si="15"/>
        <v>150431711</v>
      </c>
      <c r="O37" s="180">
        <f t="shared" si="15"/>
        <v>112131711</v>
      </c>
      <c r="P37" s="180">
        <f t="shared" si="15"/>
        <v>110131711</v>
      </c>
      <c r="Q37" s="180">
        <f t="shared" si="9"/>
        <v>1554267037</v>
      </c>
      <c r="R37" s="266"/>
      <c r="S37" s="298">
        <f>SUM(S35:S36)</f>
        <v>0</v>
      </c>
      <c r="T37" s="298">
        <f>SUM(T35:T36)</f>
        <v>1554267037</v>
      </c>
      <c r="U37" s="178"/>
    </row>
    <row r="38" spans="1:21" ht="32.25" customHeight="1" x14ac:dyDescent="0.15">
      <c r="A38" s="271"/>
      <c r="B38" s="271"/>
      <c r="C38" s="271"/>
      <c r="D38" s="271"/>
      <c r="E38" s="272"/>
      <c r="F38" s="272"/>
      <c r="G38" s="272"/>
      <c r="H38" s="272"/>
      <c r="I38" s="272"/>
      <c r="J38" s="272"/>
      <c r="K38" s="272"/>
      <c r="L38" s="272"/>
      <c r="M38" s="272"/>
      <c r="N38" s="272"/>
      <c r="O38" s="272"/>
      <c r="P38" s="272"/>
      <c r="Q38" s="272">
        <f t="shared" si="9"/>
        <v>0</v>
      </c>
      <c r="R38" s="273"/>
      <c r="S38" s="290"/>
      <c r="T38" s="290"/>
    </row>
    <row r="39" spans="1:21" ht="12" customHeight="1" x14ac:dyDescent="0.15">
      <c r="A39" s="190" t="s">
        <v>188</v>
      </c>
      <c r="B39" s="245" t="s">
        <v>244</v>
      </c>
      <c r="C39" s="165"/>
      <c r="D39" s="166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>
        <f t="shared" si="9"/>
        <v>0</v>
      </c>
      <c r="R39" s="286"/>
      <c r="S39" s="290"/>
      <c r="T39" s="290"/>
    </row>
    <row r="40" spans="1:21" ht="15.75" customHeight="1" x14ac:dyDescent="0.15">
      <c r="A40" s="170" t="s">
        <v>245</v>
      </c>
      <c r="B40" s="242" t="s">
        <v>207</v>
      </c>
      <c r="C40" s="171"/>
      <c r="D40" s="172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282"/>
      <c r="S40" s="290"/>
      <c r="T40" s="290"/>
    </row>
    <row r="41" spans="1:21" ht="15.75" customHeight="1" x14ac:dyDescent="0.15">
      <c r="A41" s="170"/>
      <c r="B41" s="242"/>
      <c r="C41" s="171" t="s">
        <v>436</v>
      </c>
      <c r="D41" s="172"/>
      <c r="E41" s="168">
        <v>26500000</v>
      </c>
      <c r="F41" s="168">
        <v>26500000</v>
      </c>
      <c r="G41" s="168">
        <v>26500000</v>
      </c>
      <c r="H41" s="168">
        <v>26500000</v>
      </c>
      <c r="I41" s="168">
        <v>26500000</v>
      </c>
      <c r="J41" s="168">
        <v>26500000</v>
      </c>
      <c r="K41" s="168">
        <v>26500000</v>
      </c>
      <c r="L41" s="168">
        <v>26500000</v>
      </c>
      <c r="M41" s="168">
        <v>26500000</v>
      </c>
      <c r="N41" s="168">
        <v>26500000</v>
      </c>
      <c r="O41" s="168">
        <v>26500000</v>
      </c>
      <c r="P41" s="168">
        <v>26500000</v>
      </c>
      <c r="Q41" s="168">
        <f t="shared" si="9"/>
        <v>318000000</v>
      </c>
      <c r="R41" s="282"/>
      <c r="S41" s="290"/>
      <c r="T41" s="290"/>
    </row>
    <row r="42" spans="1:21" ht="15.75" customHeight="1" x14ac:dyDescent="0.15">
      <c r="A42" s="170"/>
      <c r="B42" s="242"/>
      <c r="C42" s="171" t="s">
        <v>437</v>
      </c>
      <c r="D42" s="172"/>
      <c r="E42" s="168">
        <f>14000000</f>
        <v>14000000</v>
      </c>
      <c r="F42" s="168">
        <f t="shared" ref="F42:P42" si="16">14000000</f>
        <v>14000000</v>
      </c>
      <c r="G42" s="168">
        <f t="shared" si="16"/>
        <v>14000000</v>
      </c>
      <c r="H42" s="168">
        <f t="shared" si="16"/>
        <v>14000000</v>
      </c>
      <c r="I42" s="168">
        <f t="shared" si="16"/>
        <v>14000000</v>
      </c>
      <c r="J42" s="168">
        <f t="shared" si="16"/>
        <v>14000000</v>
      </c>
      <c r="K42" s="168">
        <f t="shared" si="16"/>
        <v>14000000</v>
      </c>
      <c r="L42" s="168">
        <f t="shared" si="16"/>
        <v>14000000</v>
      </c>
      <c r="M42" s="168">
        <f t="shared" si="16"/>
        <v>14000000</v>
      </c>
      <c r="N42" s="168">
        <f t="shared" si="16"/>
        <v>14000000</v>
      </c>
      <c r="O42" s="168">
        <f t="shared" si="16"/>
        <v>14000000</v>
      </c>
      <c r="P42" s="168">
        <f t="shared" si="16"/>
        <v>14000000</v>
      </c>
      <c r="Q42" s="168">
        <f t="shared" si="9"/>
        <v>168000000</v>
      </c>
      <c r="R42" s="282"/>
      <c r="S42" s="290"/>
      <c r="T42" s="290"/>
    </row>
    <row r="43" spans="1:21" ht="15.75" customHeight="1" x14ac:dyDescent="0.15">
      <c r="A43" s="170"/>
      <c r="B43" s="242"/>
      <c r="C43" s="171" t="s">
        <v>438</v>
      </c>
      <c r="D43" s="172"/>
      <c r="E43" s="168">
        <f>18500000</f>
        <v>18500000</v>
      </c>
      <c r="F43" s="168">
        <f t="shared" ref="F43:P43" si="17">18500000</f>
        <v>18500000</v>
      </c>
      <c r="G43" s="168">
        <f t="shared" si="17"/>
        <v>18500000</v>
      </c>
      <c r="H43" s="168">
        <f t="shared" si="17"/>
        <v>18500000</v>
      </c>
      <c r="I43" s="168">
        <f t="shared" si="17"/>
        <v>18500000</v>
      </c>
      <c r="J43" s="168">
        <f t="shared" si="17"/>
        <v>18500000</v>
      </c>
      <c r="K43" s="168">
        <f t="shared" si="17"/>
        <v>18500000</v>
      </c>
      <c r="L43" s="168">
        <f t="shared" si="17"/>
        <v>18500000</v>
      </c>
      <c r="M43" s="168">
        <f t="shared" si="17"/>
        <v>18500000</v>
      </c>
      <c r="N43" s="168">
        <f t="shared" si="17"/>
        <v>18500000</v>
      </c>
      <c r="O43" s="168">
        <f t="shared" si="17"/>
        <v>18500000</v>
      </c>
      <c r="P43" s="168">
        <f t="shared" si="17"/>
        <v>18500000</v>
      </c>
      <c r="Q43" s="168">
        <f t="shared" si="9"/>
        <v>222000000</v>
      </c>
      <c r="R43" s="282"/>
      <c r="S43" s="290"/>
      <c r="T43" s="290"/>
    </row>
    <row r="44" spans="1:21" ht="15.75" customHeight="1" x14ac:dyDescent="0.15">
      <c r="A44" s="170"/>
      <c r="B44" s="242"/>
      <c r="C44" s="192" t="s">
        <v>310</v>
      </c>
      <c r="D44" s="193"/>
      <c r="E44" s="177">
        <f>SUM(E41:E43)</f>
        <v>59000000</v>
      </c>
      <c r="F44" s="177">
        <f t="shared" ref="F44:P44" si="18">SUM(F41:F43)</f>
        <v>59000000</v>
      </c>
      <c r="G44" s="177">
        <f t="shared" si="18"/>
        <v>59000000</v>
      </c>
      <c r="H44" s="177">
        <f t="shared" si="18"/>
        <v>59000000</v>
      </c>
      <c r="I44" s="177">
        <f t="shared" si="18"/>
        <v>59000000</v>
      </c>
      <c r="J44" s="177">
        <f t="shared" si="18"/>
        <v>59000000</v>
      </c>
      <c r="K44" s="177">
        <f t="shared" si="18"/>
        <v>59000000</v>
      </c>
      <c r="L44" s="177">
        <f t="shared" si="18"/>
        <v>59000000</v>
      </c>
      <c r="M44" s="177">
        <f t="shared" si="18"/>
        <v>59000000</v>
      </c>
      <c r="N44" s="177">
        <f t="shared" si="18"/>
        <v>59000000</v>
      </c>
      <c r="O44" s="177">
        <f t="shared" si="18"/>
        <v>59000000</v>
      </c>
      <c r="P44" s="177">
        <f t="shared" si="18"/>
        <v>59000000</v>
      </c>
      <c r="Q44" s="177">
        <f t="shared" si="9"/>
        <v>708000000</v>
      </c>
      <c r="R44" s="282" t="s">
        <v>208</v>
      </c>
      <c r="S44" s="291">
        <f>'RINCIAN B. LANGSUNG USAHA'!Q37</f>
        <v>0</v>
      </c>
      <c r="T44" s="291">
        <f>Q44-S44</f>
        <v>708000000</v>
      </c>
    </row>
    <row r="45" spans="1:21" ht="15.75" customHeight="1" x14ac:dyDescent="0.15">
      <c r="A45" s="190" t="s">
        <v>247</v>
      </c>
      <c r="B45" s="245" t="s">
        <v>248</v>
      </c>
      <c r="C45" s="165"/>
      <c r="D45" s="166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286"/>
      <c r="S45" s="290"/>
      <c r="T45" s="290"/>
    </row>
    <row r="46" spans="1:21" ht="15.75" customHeight="1" x14ac:dyDescent="0.15">
      <c r="A46" s="170"/>
      <c r="B46" s="242" t="s">
        <v>157</v>
      </c>
      <c r="C46" s="171"/>
      <c r="D46" s="172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282"/>
      <c r="S46" s="290"/>
      <c r="T46" s="290"/>
    </row>
    <row r="47" spans="1:21" ht="15.75" customHeight="1" x14ac:dyDescent="0.15">
      <c r="A47" s="170"/>
      <c r="B47" s="242"/>
      <c r="C47" s="171" t="s">
        <v>436</v>
      </c>
      <c r="D47" s="172"/>
      <c r="E47" s="168">
        <f>3875*9500</f>
        <v>36812500</v>
      </c>
      <c r="F47" s="168">
        <f>3500*9500</f>
        <v>33250000</v>
      </c>
      <c r="G47" s="168">
        <f>3875*9500</f>
        <v>36812500</v>
      </c>
      <c r="H47" s="168">
        <f>3705*9500</f>
        <v>35197500</v>
      </c>
      <c r="I47" s="168">
        <f>3875*9500</f>
        <v>36812500</v>
      </c>
      <c r="J47" s="168">
        <f>3750*9500</f>
        <v>35625000</v>
      </c>
      <c r="K47" s="168">
        <f>3875*9500</f>
        <v>36812500</v>
      </c>
      <c r="L47" s="168">
        <f>3875*9500</f>
        <v>36812500</v>
      </c>
      <c r="M47" s="168">
        <f>3750*9500</f>
        <v>35625000</v>
      </c>
      <c r="N47" s="168">
        <f>3875*9500</f>
        <v>36812500</v>
      </c>
      <c r="O47" s="168">
        <f>3750*9500</f>
        <v>35625000</v>
      </c>
      <c r="P47" s="168">
        <f>3875*9500</f>
        <v>36812500</v>
      </c>
      <c r="Q47" s="168">
        <f>SUM(E47:P47)</f>
        <v>433010000</v>
      </c>
      <c r="R47" s="282"/>
      <c r="S47" s="290"/>
      <c r="T47" s="290"/>
    </row>
    <row r="48" spans="1:21" ht="15.75" customHeight="1" x14ac:dyDescent="0.15">
      <c r="A48" s="170"/>
      <c r="B48" s="242"/>
      <c r="C48" s="171" t="s">
        <v>437</v>
      </c>
      <c r="D48" s="172"/>
      <c r="E48" s="168">
        <f>1860*9500</f>
        <v>17670000</v>
      </c>
      <c r="F48" s="168">
        <f>1680*9500</f>
        <v>15960000</v>
      </c>
      <c r="G48" s="168">
        <f t="shared" ref="G48:P48" si="19">1860*9500</f>
        <v>17670000</v>
      </c>
      <c r="H48" s="168">
        <f>1800*9500</f>
        <v>17100000</v>
      </c>
      <c r="I48" s="168">
        <f t="shared" si="19"/>
        <v>17670000</v>
      </c>
      <c r="J48" s="168">
        <f>1800*9500</f>
        <v>17100000</v>
      </c>
      <c r="K48" s="168">
        <f t="shared" si="19"/>
        <v>17670000</v>
      </c>
      <c r="L48" s="168">
        <f>1800*9500</f>
        <v>17100000</v>
      </c>
      <c r="M48" s="168">
        <f>1800*9500</f>
        <v>17100000</v>
      </c>
      <c r="N48" s="168">
        <f t="shared" si="19"/>
        <v>17670000</v>
      </c>
      <c r="O48" s="168">
        <f>1800*9500</f>
        <v>17100000</v>
      </c>
      <c r="P48" s="168">
        <f t="shared" si="19"/>
        <v>17670000</v>
      </c>
      <c r="Q48" s="168">
        <f t="shared" si="9"/>
        <v>207480000</v>
      </c>
      <c r="R48" s="282"/>
      <c r="S48" s="290"/>
      <c r="T48" s="290"/>
    </row>
    <row r="49" spans="1:21" ht="15.75" customHeight="1" x14ac:dyDescent="0.15">
      <c r="A49" s="170"/>
      <c r="B49" s="242"/>
      <c r="C49" s="171" t="s">
        <v>438</v>
      </c>
      <c r="D49" s="172"/>
      <c r="E49" s="168">
        <f>1136*9500</f>
        <v>10792000</v>
      </c>
      <c r="F49" s="168">
        <f>1008*9500</f>
        <v>9576000</v>
      </c>
      <c r="G49" s="168">
        <f t="shared" ref="G49:P49" si="20">1136*9500</f>
        <v>10792000</v>
      </c>
      <c r="H49" s="168">
        <f>1100*9500</f>
        <v>10450000</v>
      </c>
      <c r="I49" s="168">
        <f t="shared" si="20"/>
        <v>10792000</v>
      </c>
      <c r="J49" s="168">
        <f>1100*9500</f>
        <v>10450000</v>
      </c>
      <c r="K49" s="168">
        <f t="shared" si="20"/>
        <v>10792000</v>
      </c>
      <c r="L49" s="168">
        <f>1100*9500</f>
        <v>10450000</v>
      </c>
      <c r="M49" s="168">
        <f>1100*9500</f>
        <v>10450000</v>
      </c>
      <c r="N49" s="168">
        <f t="shared" si="20"/>
        <v>10792000</v>
      </c>
      <c r="O49" s="168">
        <f>1100*9500</f>
        <v>10450000</v>
      </c>
      <c r="P49" s="168">
        <f t="shared" si="20"/>
        <v>10792000</v>
      </c>
      <c r="Q49" s="168">
        <f t="shared" si="9"/>
        <v>126578000</v>
      </c>
      <c r="R49" s="282"/>
      <c r="S49" s="290"/>
      <c r="T49" s="290"/>
    </row>
    <row r="50" spans="1:21" ht="15.75" customHeight="1" x14ac:dyDescent="0.15">
      <c r="A50" s="170"/>
      <c r="B50" s="242"/>
      <c r="C50" s="192" t="s">
        <v>440</v>
      </c>
      <c r="D50" s="193"/>
      <c r="E50" s="177">
        <f>SUM(E47:E49)</f>
        <v>65274500</v>
      </c>
      <c r="F50" s="177">
        <f t="shared" ref="F50:P50" si="21">SUM(F47:F49)</f>
        <v>58786000</v>
      </c>
      <c r="G50" s="177">
        <f t="shared" si="21"/>
        <v>65274500</v>
      </c>
      <c r="H50" s="177">
        <f t="shared" si="21"/>
        <v>62747500</v>
      </c>
      <c r="I50" s="177">
        <f t="shared" si="21"/>
        <v>65274500</v>
      </c>
      <c r="J50" s="177">
        <f t="shared" si="21"/>
        <v>63175000</v>
      </c>
      <c r="K50" s="177">
        <f t="shared" si="21"/>
        <v>65274500</v>
      </c>
      <c r="L50" s="177">
        <f t="shared" si="21"/>
        <v>64362500</v>
      </c>
      <c r="M50" s="177">
        <f t="shared" si="21"/>
        <v>63175000</v>
      </c>
      <c r="N50" s="177">
        <f t="shared" si="21"/>
        <v>65274500</v>
      </c>
      <c r="O50" s="177">
        <f t="shared" si="21"/>
        <v>63175000</v>
      </c>
      <c r="P50" s="177">
        <f t="shared" si="21"/>
        <v>65274500</v>
      </c>
      <c r="Q50" s="177">
        <f>SUM(Q47:Q49)</f>
        <v>767068000</v>
      </c>
      <c r="R50" s="282" t="s">
        <v>249</v>
      </c>
      <c r="S50" s="291">
        <f>'RINCIAN B. LANGSUNG USAHA'!Q54</f>
        <v>0</v>
      </c>
      <c r="T50" s="291">
        <f>Q50-S50</f>
        <v>767068000</v>
      </c>
    </row>
    <row r="51" spans="1:21" ht="15.75" customHeight="1" x14ac:dyDescent="0.15">
      <c r="A51" s="170"/>
      <c r="B51" s="242" t="s">
        <v>159</v>
      </c>
      <c r="C51" s="171"/>
      <c r="D51" s="172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282"/>
      <c r="S51" s="290"/>
      <c r="T51" s="290"/>
    </row>
    <row r="52" spans="1:21" ht="15.75" customHeight="1" x14ac:dyDescent="0.15">
      <c r="A52" s="170"/>
      <c r="B52" s="242"/>
      <c r="C52" s="171" t="s">
        <v>436</v>
      </c>
      <c r="D52" s="172"/>
      <c r="E52" s="168">
        <f>19000*806</f>
        <v>15314000</v>
      </c>
      <c r="F52" s="168">
        <f>19000*728</f>
        <v>13832000</v>
      </c>
      <c r="G52" s="168">
        <f t="shared" ref="G52:P52" si="22">19000*806</f>
        <v>15314000</v>
      </c>
      <c r="H52" s="168">
        <f>19000*780</f>
        <v>14820000</v>
      </c>
      <c r="I52" s="168">
        <f t="shared" si="22"/>
        <v>15314000</v>
      </c>
      <c r="J52" s="168">
        <f>19000*780</f>
        <v>14820000</v>
      </c>
      <c r="K52" s="168">
        <f t="shared" si="22"/>
        <v>15314000</v>
      </c>
      <c r="L52" s="168">
        <f>19000*780</f>
        <v>14820000</v>
      </c>
      <c r="M52" s="168">
        <f>19000*780</f>
        <v>14820000</v>
      </c>
      <c r="N52" s="168">
        <f t="shared" si="22"/>
        <v>15314000</v>
      </c>
      <c r="O52" s="168">
        <f>19000*780</f>
        <v>14820000</v>
      </c>
      <c r="P52" s="168">
        <f t="shared" si="22"/>
        <v>15314000</v>
      </c>
      <c r="Q52" s="168">
        <f>SUM(E52:P52)</f>
        <v>179816000</v>
      </c>
      <c r="R52" s="282"/>
      <c r="S52" s="290"/>
      <c r="T52" s="290"/>
    </row>
    <row r="53" spans="1:21" ht="15.75" customHeight="1" x14ac:dyDescent="0.15">
      <c r="A53" s="170"/>
      <c r="B53" s="242"/>
      <c r="C53" s="171" t="s">
        <v>437</v>
      </c>
      <c r="D53" s="172"/>
      <c r="E53" s="168">
        <f>19000*403</f>
        <v>7657000</v>
      </c>
      <c r="F53" s="168">
        <f>19000*364</f>
        <v>6916000</v>
      </c>
      <c r="G53" s="168">
        <f t="shared" ref="G53:P53" si="23">19000*403</f>
        <v>7657000</v>
      </c>
      <c r="H53" s="168">
        <f>19000*390</f>
        <v>7410000</v>
      </c>
      <c r="I53" s="168">
        <f t="shared" si="23"/>
        <v>7657000</v>
      </c>
      <c r="J53" s="168">
        <f>19000*390</f>
        <v>7410000</v>
      </c>
      <c r="K53" s="168">
        <f t="shared" si="23"/>
        <v>7657000</v>
      </c>
      <c r="L53" s="168">
        <f>19000*390</f>
        <v>7410000</v>
      </c>
      <c r="M53" s="168">
        <f>19000*390</f>
        <v>7410000</v>
      </c>
      <c r="N53" s="168">
        <f t="shared" si="23"/>
        <v>7657000</v>
      </c>
      <c r="O53" s="168">
        <f>19000*390</f>
        <v>7410000</v>
      </c>
      <c r="P53" s="168">
        <f t="shared" si="23"/>
        <v>7657000</v>
      </c>
      <c r="Q53" s="168">
        <f t="shared" si="9"/>
        <v>89908000</v>
      </c>
      <c r="R53" s="282"/>
      <c r="S53" s="290"/>
      <c r="T53" s="290"/>
    </row>
    <row r="54" spans="1:21" ht="15.75" customHeight="1" x14ac:dyDescent="0.15">
      <c r="A54" s="170"/>
      <c r="B54" s="242"/>
      <c r="C54" s="171" t="s">
        <v>438</v>
      </c>
      <c r="D54" s="172"/>
      <c r="E54" s="168">
        <f>19000*310</f>
        <v>5890000</v>
      </c>
      <c r="F54" s="168">
        <f>19000*280</f>
        <v>5320000</v>
      </c>
      <c r="G54" s="168">
        <f t="shared" ref="G54:P54" si="24">19000*310</f>
        <v>5890000</v>
      </c>
      <c r="H54" s="168">
        <f>19000*300</f>
        <v>5700000</v>
      </c>
      <c r="I54" s="168">
        <f t="shared" si="24"/>
        <v>5890000</v>
      </c>
      <c r="J54" s="168">
        <f>19000*300</f>
        <v>5700000</v>
      </c>
      <c r="K54" s="168">
        <f t="shared" si="24"/>
        <v>5890000</v>
      </c>
      <c r="L54" s="168">
        <f>19000*300</f>
        <v>5700000</v>
      </c>
      <c r="M54" s="168">
        <f>19000*300</f>
        <v>5700000</v>
      </c>
      <c r="N54" s="168">
        <f t="shared" si="24"/>
        <v>5890000</v>
      </c>
      <c r="O54" s="168">
        <f>19000*300</f>
        <v>5700000</v>
      </c>
      <c r="P54" s="168">
        <f t="shared" si="24"/>
        <v>5890000</v>
      </c>
      <c r="Q54" s="168">
        <f t="shared" si="9"/>
        <v>69160000</v>
      </c>
      <c r="R54" s="282"/>
      <c r="S54" s="290"/>
      <c r="T54" s="290"/>
    </row>
    <row r="55" spans="1:21" ht="15.75" customHeight="1" x14ac:dyDescent="0.15">
      <c r="A55" s="170"/>
      <c r="B55" s="242"/>
      <c r="C55" s="192" t="s">
        <v>441</v>
      </c>
      <c r="D55" s="193"/>
      <c r="E55" s="177">
        <f>SUM(E52:E54)</f>
        <v>28861000</v>
      </c>
      <c r="F55" s="177">
        <f t="shared" ref="F55" si="25">SUM(F52:F54)</f>
        <v>26068000</v>
      </c>
      <c r="G55" s="177">
        <f>SUM(G52:G54)</f>
        <v>28861000</v>
      </c>
      <c r="H55" s="177">
        <f t="shared" ref="H55:P55" si="26">SUM(H52:H54)</f>
        <v>27930000</v>
      </c>
      <c r="I55" s="177">
        <f t="shared" si="26"/>
        <v>28861000</v>
      </c>
      <c r="J55" s="177">
        <f t="shared" si="26"/>
        <v>27930000</v>
      </c>
      <c r="K55" s="177">
        <f t="shared" si="26"/>
        <v>28861000</v>
      </c>
      <c r="L55" s="177">
        <f t="shared" si="26"/>
        <v>27930000</v>
      </c>
      <c r="M55" s="177">
        <f t="shared" si="26"/>
        <v>27930000</v>
      </c>
      <c r="N55" s="177">
        <f t="shared" si="26"/>
        <v>28861000</v>
      </c>
      <c r="O55" s="177">
        <f t="shared" si="26"/>
        <v>27930000</v>
      </c>
      <c r="P55" s="177">
        <f t="shared" si="26"/>
        <v>28861000</v>
      </c>
      <c r="Q55" s="177">
        <f>SUM(Q52:Q54)</f>
        <v>338884000</v>
      </c>
      <c r="R55" s="282" t="s">
        <v>249</v>
      </c>
      <c r="S55" s="291">
        <f>'RINCIAN B. LANGSUNG USAHA'!Q55</f>
        <v>0</v>
      </c>
      <c r="T55" s="291">
        <f>Q55-S55</f>
        <v>338884000</v>
      </c>
    </row>
    <row r="56" spans="1:21" ht="15.75" customHeight="1" x14ac:dyDescent="0.15">
      <c r="A56" s="170"/>
      <c r="B56" s="242" t="s">
        <v>158</v>
      </c>
      <c r="C56" s="192"/>
      <c r="D56" s="193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282"/>
      <c r="S56" s="290"/>
      <c r="T56" s="290"/>
    </row>
    <row r="57" spans="1:21" ht="15.75" customHeight="1" x14ac:dyDescent="0.15">
      <c r="A57" s="170"/>
      <c r="B57" s="242"/>
      <c r="C57" s="171" t="s">
        <v>436</v>
      </c>
      <c r="D57" s="172"/>
      <c r="E57" s="168">
        <f>61000*31</f>
        <v>1891000</v>
      </c>
      <c r="F57" s="168">
        <f>61000*28</f>
        <v>1708000</v>
      </c>
      <c r="G57" s="168">
        <f t="shared" ref="G57:P58" si="27">61000*31</f>
        <v>1891000</v>
      </c>
      <c r="H57" s="168">
        <f>61000*30</f>
        <v>1830000</v>
      </c>
      <c r="I57" s="168">
        <f t="shared" si="27"/>
        <v>1891000</v>
      </c>
      <c r="J57" s="168">
        <f>61000*30</f>
        <v>1830000</v>
      </c>
      <c r="K57" s="168">
        <f t="shared" si="27"/>
        <v>1891000</v>
      </c>
      <c r="L57" s="168">
        <f>61000*30</f>
        <v>1830000</v>
      </c>
      <c r="M57" s="168">
        <f>61000*30</f>
        <v>1830000</v>
      </c>
      <c r="N57" s="168">
        <f t="shared" si="27"/>
        <v>1891000</v>
      </c>
      <c r="O57" s="168">
        <f>61000*30</f>
        <v>1830000</v>
      </c>
      <c r="P57" s="168">
        <f t="shared" si="27"/>
        <v>1891000</v>
      </c>
      <c r="Q57" s="168">
        <f t="shared" si="9"/>
        <v>22204000</v>
      </c>
      <c r="R57" s="282"/>
      <c r="S57" s="290"/>
      <c r="T57" s="290"/>
    </row>
    <row r="58" spans="1:21" ht="15.75" customHeight="1" x14ac:dyDescent="0.15">
      <c r="A58" s="170"/>
      <c r="B58" s="242"/>
      <c r="C58" s="171" t="s">
        <v>437</v>
      </c>
      <c r="D58" s="172"/>
      <c r="E58" s="168">
        <f>61000*31</f>
        <v>1891000</v>
      </c>
      <c r="F58" s="168">
        <f>61000*28</f>
        <v>1708000</v>
      </c>
      <c r="G58" s="168">
        <f t="shared" si="27"/>
        <v>1891000</v>
      </c>
      <c r="H58" s="168">
        <f>61000*30</f>
        <v>1830000</v>
      </c>
      <c r="I58" s="168">
        <f t="shared" si="27"/>
        <v>1891000</v>
      </c>
      <c r="J58" s="168">
        <f>61000*30</f>
        <v>1830000</v>
      </c>
      <c r="K58" s="168">
        <f t="shared" si="27"/>
        <v>1891000</v>
      </c>
      <c r="L58" s="168">
        <f>61000*30</f>
        <v>1830000</v>
      </c>
      <c r="M58" s="168">
        <f>61000*30</f>
        <v>1830000</v>
      </c>
      <c r="N58" s="168">
        <f t="shared" si="27"/>
        <v>1891000</v>
      </c>
      <c r="O58" s="168">
        <f>61000*30</f>
        <v>1830000</v>
      </c>
      <c r="P58" s="168">
        <f t="shared" si="27"/>
        <v>1891000</v>
      </c>
      <c r="Q58" s="168">
        <f t="shared" si="9"/>
        <v>22204000</v>
      </c>
      <c r="R58" s="282"/>
      <c r="S58" s="290"/>
      <c r="T58" s="290"/>
    </row>
    <row r="59" spans="1:21" ht="15.75" customHeight="1" x14ac:dyDescent="0.15">
      <c r="A59" s="170"/>
      <c r="B59" s="242"/>
      <c r="C59" s="171" t="s">
        <v>438</v>
      </c>
      <c r="D59" s="172"/>
      <c r="E59" s="168">
        <f>61000*16</f>
        <v>976000</v>
      </c>
      <c r="F59" s="168">
        <f>61000*14</f>
        <v>854000</v>
      </c>
      <c r="G59" s="168">
        <f t="shared" ref="G59:P59" si="28">61000*16</f>
        <v>976000</v>
      </c>
      <c r="H59" s="168">
        <f>61000*15</f>
        <v>915000</v>
      </c>
      <c r="I59" s="168">
        <f t="shared" si="28"/>
        <v>976000</v>
      </c>
      <c r="J59" s="168">
        <f>61000*15</f>
        <v>915000</v>
      </c>
      <c r="K59" s="168">
        <f t="shared" si="28"/>
        <v>976000</v>
      </c>
      <c r="L59" s="168">
        <f>61000*15</f>
        <v>915000</v>
      </c>
      <c r="M59" s="168">
        <f>61000*15</f>
        <v>915000</v>
      </c>
      <c r="N59" s="168">
        <f t="shared" si="28"/>
        <v>976000</v>
      </c>
      <c r="O59" s="168">
        <f>61000*15</f>
        <v>915000</v>
      </c>
      <c r="P59" s="168">
        <f t="shared" si="28"/>
        <v>976000</v>
      </c>
      <c r="Q59" s="168">
        <f t="shared" si="9"/>
        <v>11285000</v>
      </c>
      <c r="R59" s="282"/>
      <c r="S59" s="290"/>
      <c r="T59" s="290"/>
    </row>
    <row r="60" spans="1:21" ht="15.75" customHeight="1" x14ac:dyDescent="0.15">
      <c r="A60" s="170"/>
      <c r="B60" s="242"/>
      <c r="C60" s="192" t="s">
        <v>442</v>
      </c>
      <c r="D60" s="193"/>
      <c r="E60" s="177">
        <f>SUM(E57:E59)</f>
        <v>4758000</v>
      </c>
      <c r="F60" s="177">
        <f t="shared" ref="F60:P60" si="29">SUM(F57:F59)</f>
        <v>4270000</v>
      </c>
      <c r="G60" s="177">
        <f t="shared" si="29"/>
        <v>4758000</v>
      </c>
      <c r="H60" s="177">
        <f t="shared" si="29"/>
        <v>4575000</v>
      </c>
      <c r="I60" s="177">
        <f t="shared" si="29"/>
        <v>4758000</v>
      </c>
      <c r="J60" s="177">
        <f t="shared" si="29"/>
        <v>4575000</v>
      </c>
      <c r="K60" s="177">
        <f t="shared" si="29"/>
        <v>4758000</v>
      </c>
      <c r="L60" s="177">
        <f t="shared" si="29"/>
        <v>4575000</v>
      </c>
      <c r="M60" s="177">
        <f t="shared" si="29"/>
        <v>4575000</v>
      </c>
      <c r="N60" s="177">
        <f t="shared" si="29"/>
        <v>4758000</v>
      </c>
      <c r="O60" s="177">
        <f t="shared" si="29"/>
        <v>4575000</v>
      </c>
      <c r="P60" s="177">
        <f t="shared" si="29"/>
        <v>4758000</v>
      </c>
      <c r="Q60" s="177">
        <f>SUM(Q57:Q59)</f>
        <v>55693000</v>
      </c>
      <c r="R60" s="282" t="s">
        <v>249</v>
      </c>
      <c r="S60" s="291">
        <f>'RINCIAN B. LANGSUNG USAHA'!Q56</f>
        <v>0</v>
      </c>
      <c r="T60" s="291">
        <f>Q60-S60</f>
        <v>55693000</v>
      </c>
    </row>
    <row r="61" spans="1:21" ht="15.75" customHeight="1" x14ac:dyDescent="0.15">
      <c r="A61" s="179"/>
      <c r="B61" s="545" t="s">
        <v>250</v>
      </c>
      <c r="C61" s="546"/>
      <c r="D61" s="547"/>
      <c r="E61" s="180">
        <f>E50+E55+E60</f>
        <v>98893500</v>
      </c>
      <c r="F61" s="180">
        <f>F50+F55+F60</f>
        <v>89124000</v>
      </c>
      <c r="G61" s="180">
        <f t="shared" ref="G61:P61" si="30">G50+G55+G60</f>
        <v>98893500</v>
      </c>
      <c r="H61" s="180">
        <f t="shared" si="30"/>
        <v>95252500</v>
      </c>
      <c r="I61" s="180">
        <f t="shared" si="30"/>
        <v>98893500</v>
      </c>
      <c r="J61" s="180">
        <f t="shared" si="30"/>
        <v>95680000</v>
      </c>
      <c r="K61" s="180">
        <f t="shared" si="30"/>
        <v>98893500</v>
      </c>
      <c r="L61" s="180">
        <f t="shared" si="30"/>
        <v>96867500</v>
      </c>
      <c r="M61" s="180">
        <f t="shared" si="30"/>
        <v>95680000</v>
      </c>
      <c r="N61" s="180">
        <f t="shared" si="30"/>
        <v>98893500</v>
      </c>
      <c r="O61" s="180">
        <f t="shared" si="30"/>
        <v>95680000</v>
      </c>
      <c r="P61" s="180">
        <f t="shared" si="30"/>
        <v>98893500</v>
      </c>
      <c r="Q61" s="180">
        <f>SUM(E61:P61)</f>
        <v>1161645000</v>
      </c>
      <c r="R61" s="266"/>
      <c r="S61" s="298">
        <f>SUM(S50:S60)</f>
        <v>0</v>
      </c>
      <c r="T61" s="298">
        <f>SUM(T50:T60)</f>
        <v>1161645000</v>
      </c>
      <c r="U61" s="178"/>
    </row>
    <row r="62" spans="1:21" ht="15.75" customHeight="1" x14ac:dyDescent="0.15">
      <c r="A62" s="170" t="s">
        <v>418</v>
      </c>
      <c r="B62" s="569" t="s">
        <v>424</v>
      </c>
      <c r="C62" s="570"/>
      <c r="D62" s="571"/>
      <c r="E62" s="168">
        <f>500000+1000000</f>
        <v>1500000</v>
      </c>
      <c r="F62" s="168">
        <v>500000</v>
      </c>
      <c r="G62" s="168">
        <v>500000</v>
      </c>
      <c r="H62" s="168">
        <v>500000</v>
      </c>
      <c r="I62" s="168">
        <v>500000</v>
      </c>
      <c r="J62" s="168">
        <v>500000</v>
      </c>
      <c r="K62" s="168">
        <v>1500000</v>
      </c>
      <c r="L62" s="168">
        <v>500000</v>
      </c>
      <c r="M62" s="168">
        <v>500000</v>
      </c>
      <c r="N62" s="168">
        <v>500000</v>
      </c>
      <c r="O62" s="168">
        <v>500000</v>
      </c>
      <c r="P62" s="168">
        <v>500000</v>
      </c>
      <c r="Q62" s="168">
        <f t="shared" ref="Q62" si="31">SUM(E62:P62)</f>
        <v>8000000</v>
      </c>
      <c r="R62" s="283" t="s">
        <v>217</v>
      </c>
      <c r="S62" s="291">
        <f>'RINCIAN B. LANGSUNG USAHA'!Q58</f>
        <v>0</v>
      </c>
      <c r="T62" s="291">
        <f>Q62-S62</f>
        <v>8000000</v>
      </c>
    </row>
    <row r="63" spans="1:21" ht="15.75" customHeight="1" x14ac:dyDescent="0.15">
      <c r="A63" s="170" t="s">
        <v>407</v>
      </c>
      <c r="B63" s="242" t="s">
        <v>425</v>
      </c>
      <c r="C63" s="171"/>
      <c r="D63" s="172"/>
      <c r="E63" s="168">
        <v>700000</v>
      </c>
      <c r="F63" s="168">
        <f>500000+4000000</f>
        <v>4500000</v>
      </c>
      <c r="G63" s="168">
        <v>4500000</v>
      </c>
      <c r="H63" s="168">
        <v>700000</v>
      </c>
      <c r="I63" s="168">
        <f>500000+4000000</f>
        <v>4500000</v>
      </c>
      <c r="J63" s="168">
        <v>700000</v>
      </c>
      <c r="K63" s="168">
        <v>4500000</v>
      </c>
      <c r="L63" s="168">
        <f>500000+4000000</f>
        <v>4500000</v>
      </c>
      <c r="M63" s="168">
        <v>700000</v>
      </c>
      <c r="N63" s="168">
        <v>700000</v>
      </c>
      <c r="O63" s="168">
        <f>500000+4000000</f>
        <v>4500000</v>
      </c>
      <c r="P63" s="168">
        <v>4500000</v>
      </c>
      <c r="Q63" s="168">
        <f>SUM(E63:P63)</f>
        <v>35000000</v>
      </c>
      <c r="R63" s="284" t="s">
        <v>220</v>
      </c>
      <c r="S63" s="291">
        <f>'RINCIAN B. LANGSUNG USAHA'!Q59</f>
        <v>0</v>
      </c>
      <c r="T63" s="291">
        <f>Q63-S63</f>
        <v>35000000</v>
      </c>
    </row>
    <row r="64" spans="1:21" ht="15.75" customHeight="1" x14ac:dyDescent="0.15">
      <c r="A64" s="179"/>
      <c r="B64" s="545" t="s">
        <v>251</v>
      </c>
      <c r="C64" s="546"/>
      <c r="D64" s="547"/>
      <c r="E64" s="180">
        <f>SUM(E61:E63)+E44</f>
        <v>160093500</v>
      </c>
      <c r="F64" s="180">
        <f t="shared" ref="F64:P64" si="32">SUM(F61:F63)+F44</f>
        <v>153124000</v>
      </c>
      <c r="G64" s="180">
        <f t="shared" si="32"/>
        <v>162893500</v>
      </c>
      <c r="H64" s="180">
        <f t="shared" si="32"/>
        <v>155452500</v>
      </c>
      <c r="I64" s="180">
        <f t="shared" si="32"/>
        <v>162893500</v>
      </c>
      <c r="J64" s="180">
        <f t="shared" si="32"/>
        <v>155880000</v>
      </c>
      <c r="K64" s="180">
        <f t="shared" si="32"/>
        <v>163893500</v>
      </c>
      <c r="L64" s="180">
        <f t="shared" si="32"/>
        <v>160867500</v>
      </c>
      <c r="M64" s="180">
        <f t="shared" si="32"/>
        <v>155880000</v>
      </c>
      <c r="N64" s="180">
        <f t="shared" si="32"/>
        <v>159093500</v>
      </c>
      <c r="O64" s="180">
        <f t="shared" si="32"/>
        <v>159680000</v>
      </c>
      <c r="P64" s="180">
        <f t="shared" si="32"/>
        <v>162893500</v>
      </c>
      <c r="Q64" s="180">
        <f>SUM(E64:P64)</f>
        <v>1912645000</v>
      </c>
      <c r="R64" s="266"/>
      <c r="S64" s="298">
        <f>SUM(S61:S63)+S44</f>
        <v>0</v>
      </c>
      <c r="T64" s="298">
        <f>SUM(T61:T63)+T44</f>
        <v>1912645000</v>
      </c>
      <c r="U64" s="178"/>
    </row>
    <row r="65" spans="1:21" ht="15.75" customHeight="1" x14ac:dyDescent="0.15">
      <c r="A65" s="170" t="s">
        <v>252</v>
      </c>
      <c r="B65" s="242" t="s">
        <v>253</v>
      </c>
      <c r="C65" s="171"/>
      <c r="D65" s="172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282"/>
      <c r="S65" s="290"/>
      <c r="T65" s="290"/>
    </row>
    <row r="66" spans="1:21" ht="15.75" customHeight="1" x14ac:dyDescent="0.15">
      <c r="A66" s="170" t="s">
        <v>254</v>
      </c>
      <c r="B66" s="242" t="s">
        <v>255</v>
      </c>
      <c r="C66" s="171"/>
      <c r="D66" s="172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>
        <f t="shared" ref="Q66:Q68" si="33">SUM(E66:P66)</f>
        <v>0</v>
      </c>
      <c r="R66" s="282"/>
      <c r="S66" s="291">
        <f>'RINCIAN B. LANGSUNG USAHA'!Q62</f>
        <v>0</v>
      </c>
      <c r="T66" s="291">
        <f>Q66-S66</f>
        <v>0</v>
      </c>
    </row>
    <row r="67" spans="1:21" ht="15.75" customHeight="1" x14ac:dyDescent="0.15">
      <c r="A67" s="170" t="s">
        <v>256</v>
      </c>
      <c r="B67" s="242" t="s">
        <v>257</v>
      </c>
      <c r="C67" s="192"/>
      <c r="D67" s="193"/>
      <c r="E67" s="168">
        <v>500000</v>
      </c>
      <c r="F67" s="168">
        <v>500000</v>
      </c>
      <c r="G67" s="168">
        <v>500000</v>
      </c>
      <c r="H67" s="168">
        <v>500000</v>
      </c>
      <c r="I67" s="168">
        <v>500000</v>
      </c>
      <c r="J67" s="168">
        <v>10000000</v>
      </c>
      <c r="K67" s="168">
        <v>5000000</v>
      </c>
      <c r="L67" s="168">
        <v>500000</v>
      </c>
      <c r="M67" s="168">
        <v>500000</v>
      </c>
      <c r="N67" s="168">
        <v>500000</v>
      </c>
      <c r="O67" s="168">
        <v>500000</v>
      </c>
      <c r="P67" s="168">
        <v>500000</v>
      </c>
      <c r="Q67" s="168">
        <f t="shared" si="33"/>
        <v>20000000</v>
      </c>
      <c r="R67" s="282"/>
      <c r="S67" s="291">
        <f>'RINCIAN B. LANGSUNG USAHA'!Q63</f>
        <v>0</v>
      </c>
      <c r="T67" s="291">
        <f t="shared" ref="T67:T69" si="34">Q67-S67</f>
        <v>20000000</v>
      </c>
    </row>
    <row r="68" spans="1:21" ht="15.75" customHeight="1" x14ac:dyDescent="0.15">
      <c r="A68" s="170" t="s">
        <v>258</v>
      </c>
      <c r="B68" s="242" t="s">
        <v>259</v>
      </c>
      <c r="C68" s="171"/>
      <c r="D68" s="172"/>
      <c r="E68" s="168"/>
      <c r="F68" s="168">
        <v>1300000</v>
      </c>
      <c r="G68" s="168"/>
      <c r="H68" s="168">
        <v>1300000</v>
      </c>
      <c r="I68" s="168"/>
      <c r="J68" s="168">
        <v>1300000</v>
      </c>
      <c r="K68" s="168"/>
      <c r="L68" s="168">
        <v>1300000</v>
      </c>
      <c r="M68" s="168"/>
      <c r="N68" s="168">
        <v>1300000</v>
      </c>
      <c r="O68" s="168"/>
      <c r="P68" s="168">
        <v>1300000</v>
      </c>
      <c r="Q68" s="168">
        <f t="shared" si="33"/>
        <v>7800000</v>
      </c>
      <c r="R68" s="282"/>
      <c r="S68" s="291">
        <f>'RINCIAN B. LANGSUNG USAHA'!Q64</f>
        <v>0</v>
      </c>
      <c r="T68" s="291">
        <f t="shared" si="34"/>
        <v>7800000</v>
      </c>
    </row>
    <row r="69" spans="1:21" ht="15.75" customHeight="1" x14ac:dyDescent="0.15">
      <c r="A69" s="170" t="s">
        <v>260</v>
      </c>
      <c r="B69" s="242" t="s">
        <v>261</v>
      </c>
      <c r="C69" s="171"/>
      <c r="D69" s="172"/>
      <c r="E69" s="168">
        <v>500000</v>
      </c>
      <c r="F69" s="168">
        <v>500000</v>
      </c>
      <c r="G69" s="168">
        <v>500000</v>
      </c>
      <c r="H69" s="168">
        <v>500000</v>
      </c>
      <c r="I69" s="168">
        <v>500000</v>
      </c>
      <c r="J69" s="168">
        <v>500000</v>
      </c>
      <c r="K69" s="168">
        <v>500000</v>
      </c>
      <c r="L69" s="168">
        <f>500000</f>
        <v>500000</v>
      </c>
      <c r="M69" s="168">
        <v>500000</v>
      </c>
      <c r="N69" s="168">
        <v>500000</v>
      </c>
      <c r="O69" s="168">
        <v>500000</v>
      </c>
      <c r="P69" s="168">
        <v>500000</v>
      </c>
      <c r="Q69" s="168">
        <f>SUM(E69:P69)</f>
        <v>6000000</v>
      </c>
      <c r="R69" s="282"/>
      <c r="S69" s="291">
        <f>'RINCIAN B. LANGSUNG USAHA'!Q65</f>
        <v>0</v>
      </c>
      <c r="T69" s="291">
        <f t="shared" si="34"/>
        <v>6000000</v>
      </c>
    </row>
    <row r="70" spans="1:21" ht="15.75" customHeight="1" x14ac:dyDescent="0.15">
      <c r="A70" s="179"/>
      <c r="B70" s="545" t="s">
        <v>262</v>
      </c>
      <c r="C70" s="546"/>
      <c r="D70" s="547"/>
      <c r="E70" s="180">
        <f>SUM(E66:E69)</f>
        <v>1000000</v>
      </c>
      <c r="F70" s="180">
        <f t="shared" ref="F70:P70" si="35">SUM(F66:F69)</f>
        <v>2300000</v>
      </c>
      <c r="G70" s="180">
        <f t="shared" si="35"/>
        <v>1000000</v>
      </c>
      <c r="H70" s="180">
        <f t="shared" si="35"/>
        <v>2300000</v>
      </c>
      <c r="I70" s="180">
        <f t="shared" si="35"/>
        <v>1000000</v>
      </c>
      <c r="J70" s="180">
        <f t="shared" si="35"/>
        <v>11800000</v>
      </c>
      <c r="K70" s="180">
        <f t="shared" si="35"/>
        <v>5500000</v>
      </c>
      <c r="L70" s="180">
        <f>SUM(L66:L69)</f>
        <v>2300000</v>
      </c>
      <c r="M70" s="180">
        <f t="shared" si="35"/>
        <v>1000000</v>
      </c>
      <c r="N70" s="180">
        <f t="shared" si="35"/>
        <v>2300000</v>
      </c>
      <c r="O70" s="180">
        <f t="shared" si="35"/>
        <v>1000000</v>
      </c>
      <c r="P70" s="180">
        <f t="shared" si="35"/>
        <v>2300000</v>
      </c>
      <c r="Q70" s="180">
        <f>SUM(Q67:Q69)</f>
        <v>33800000</v>
      </c>
      <c r="R70" s="266" t="s">
        <v>226</v>
      </c>
      <c r="S70" s="298">
        <f>SUM(S66:S69)</f>
        <v>0</v>
      </c>
      <c r="T70" s="298">
        <f>SUM(T66:T69)</f>
        <v>33800000</v>
      </c>
    </row>
    <row r="71" spans="1:21" ht="15.75" customHeight="1" x14ac:dyDescent="0.15">
      <c r="A71" s="179"/>
      <c r="B71" s="252" t="s">
        <v>240</v>
      </c>
      <c r="C71" s="184"/>
      <c r="D71" s="185"/>
      <c r="E71" s="180">
        <f>E70+E64</f>
        <v>161093500</v>
      </c>
      <c r="F71" s="180">
        <f t="shared" ref="F71:P71" si="36">F70+F64</f>
        <v>155424000</v>
      </c>
      <c r="G71" s="180">
        <f t="shared" si="36"/>
        <v>163893500</v>
      </c>
      <c r="H71" s="180">
        <f t="shared" si="36"/>
        <v>157752500</v>
      </c>
      <c r="I71" s="180">
        <f t="shared" si="36"/>
        <v>163893500</v>
      </c>
      <c r="J71" s="180">
        <f t="shared" si="36"/>
        <v>167680000</v>
      </c>
      <c r="K71" s="180">
        <f t="shared" si="36"/>
        <v>169393500</v>
      </c>
      <c r="L71" s="180">
        <f>L70+L64</f>
        <v>163167500</v>
      </c>
      <c r="M71" s="180">
        <f t="shared" si="36"/>
        <v>156880000</v>
      </c>
      <c r="N71" s="180">
        <f t="shared" si="36"/>
        <v>161393500</v>
      </c>
      <c r="O71" s="180">
        <f t="shared" si="36"/>
        <v>160680000</v>
      </c>
      <c r="P71" s="180">
        <f t="shared" si="36"/>
        <v>165193500</v>
      </c>
      <c r="Q71" s="180">
        <f>SUM(E71:P71)</f>
        <v>1946445000</v>
      </c>
      <c r="R71" s="285"/>
      <c r="S71" s="298">
        <f>S70+S64</f>
        <v>0</v>
      </c>
      <c r="T71" s="298">
        <f>T70+T64</f>
        <v>1946445000</v>
      </c>
    </row>
    <row r="72" spans="1:21" ht="15.75" customHeight="1" x14ac:dyDescent="0.15">
      <c r="A72" s="179" t="s">
        <v>193</v>
      </c>
      <c r="B72" s="252" t="s">
        <v>263</v>
      </c>
      <c r="C72" s="195"/>
      <c r="D72" s="196"/>
      <c r="E72" s="180">
        <f>16925846+1000000</f>
        <v>17925846</v>
      </c>
      <c r="F72" s="180">
        <f t="shared" ref="F72:P72" si="37">16925846+1000000</f>
        <v>17925846</v>
      </c>
      <c r="G72" s="180">
        <f t="shared" si="37"/>
        <v>17925846</v>
      </c>
      <c r="H72" s="180">
        <f t="shared" si="37"/>
        <v>17925846</v>
      </c>
      <c r="I72" s="180">
        <f t="shared" si="37"/>
        <v>17925846</v>
      </c>
      <c r="J72" s="180">
        <f t="shared" si="37"/>
        <v>17925846</v>
      </c>
      <c r="K72" s="180">
        <f t="shared" si="37"/>
        <v>17925846</v>
      </c>
      <c r="L72" s="180">
        <f t="shared" si="37"/>
        <v>17925846</v>
      </c>
      <c r="M72" s="180">
        <f t="shared" si="37"/>
        <v>17925846</v>
      </c>
      <c r="N72" s="180">
        <f t="shared" si="37"/>
        <v>17925846</v>
      </c>
      <c r="O72" s="180">
        <f t="shared" si="37"/>
        <v>17925846</v>
      </c>
      <c r="P72" s="180">
        <f t="shared" si="37"/>
        <v>17925846</v>
      </c>
      <c r="Q72" s="168">
        <f t="shared" ref="Q72" si="38">SUM(E72:P72)</f>
        <v>215110152</v>
      </c>
      <c r="R72" s="285" t="s">
        <v>242</v>
      </c>
      <c r="S72" s="298">
        <f>'RINCIAN B. LANGSUNG USAHA'!Q68</f>
        <v>0</v>
      </c>
      <c r="T72" s="298">
        <f t="shared" ref="T72" si="39">Q72-S72</f>
        <v>215110152</v>
      </c>
    </row>
    <row r="73" spans="1:21" ht="15.75" customHeight="1" x14ac:dyDescent="0.15">
      <c r="A73" s="179"/>
      <c r="B73" s="545" t="s">
        <v>264</v>
      </c>
      <c r="C73" s="546"/>
      <c r="D73" s="547"/>
      <c r="E73" s="180">
        <f>SUM(E71:E72)</f>
        <v>179019346</v>
      </c>
      <c r="F73" s="180">
        <f t="shared" ref="F73:P73" si="40">SUM(F71:F72)</f>
        <v>173349846</v>
      </c>
      <c r="G73" s="180">
        <f t="shared" si="40"/>
        <v>181819346</v>
      </c>
      <c r="H73" s="180">
        <f t="shared" si="40"/>
        <v>175678346</v>
      </c>
      <c r="I73" s="180">
        <f t="shared" si="40"/>
        <v>181819346</v>
      </c>
      <c r="J73" s="180">
        <f t="shared" si="40"/>
        <v>185605846</v>
      </c>
      <c r="K73" s="180">
        <f t="shared" si="40"/>
        <v>187319346</v>
      </c>
      <c r="L73" s="180">
        <f t="shared" si="40"/>
        <v>181093346</v>
      </c>
      <c r="M73" s="180">
        <f t="shared" si="40"/>
        <v>174805846</v>
      </c>
      <c r="N73" s="180">
        <f t="shared" si="40"/>
        <v>179319346</v>
      </c>
      <c r="O73" s="180">
        <f t="shared" si="40"/>
        <v>178605846</v>
      </c>
      <c r="P73" s="180">
        <f t="shared" si="40"/>
        <v>183119346</v>
      </c>
      <c r="Q73" s="180">
        <f>SUM(E73:P73)</f>
        <v>2161555152</v>
      </c>
      <c r="R73" s="266"/>
      <c r="S73" s="298">
        <f>SUM(S71:S72)</f>
        <v>0</v>
      </c>
      <c r="T73" s="298">
        <f>SUM(T71:T72)</f>
        <v>2161555152</v>
      </c>
      <c r="U73" s="178"/>
    </row>
    <row r="74" spans="1:21" ht="15.75" customHeight="1" x14ac:dyDescent="0.15">
      <c r="A74" s="271"/>
      <c r="B74" s="271"/>
      <c r="C74" s="271"/>
      <c r="D74" s="271"/>
      <c r="E74" s="272"/>
      <c r="F74" s="272"/>
      <c r="G74" s="272"/>
      <c r="H74" s="272"/>
      <c r="I74" s="272"/>
      <c r="J74" s="272"/>
      <c r="K74" s="272"/>
      <c r="L74" s="272"/>
      <c r="M74" s="272"/>
      <c r="N74" s="272"/>
      <c r="O74" s="272"/>
      <c r="P74" s="272"/>
      <c r="Q74" s="272"/>
      <c r="R74" s="275"/>
      <c r="S74" s="290"/>
      <c r="T74" s="290"/>
    </row>
    <row r="75" spans="1:21" ht="15.75" customHeight="1" x14ac:dyDescent="0.15">
      <c r="A75" s="188"/>
      <c r="B75" s="188"/>
      <c r="C75" s="188"/>
      <c r="D75" s="188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4"/>
      <c r="Q75" s="274"/>
      <c r="R75" s="275"/>
      <c r="S75" s="290"/>
      <c r="T75" s="290"/>
    </row>
    <row r="76" spans="1:21" ht="15.75" customHeight="1" x14ac:dyDescent="0.15">
      <c r="A76" s="215"/>
      <c r="B76" s="276"/>
      <c r="C76" s="171"/>
      <c r="D76" s="171"/>
      <c r="E76" s="274"/>
      <c r="F76" s="274"/>
      <c r="G76" s="274"/>
      <c r="H76" s="274"/>
      <c r="I76" s="274"/>
      <c r="J76" s="274"/>
      <c r="K76" s="274"/>
      <c r="L76" s="274"/>
      <c r="M76" s="274"/>
      <c r="N76" s="274"/>
      <c r="O76" s="274"/>
      <c r="P76" s="274"/>
      <c r="Q76" s="274"/>
      <c r="R76" s="188"/>
      <c r="S76" s="290"/>
      <c r="T76" s="290"/>
    </row>
    <row r="77" spans="1:21" ht="15.75" customHeight="1" x14ac:dyDescent="0.15">
      <c r="A77" s="190" t="s">
        <v>189</v>
      </c>
      <c r="B77" s="245" t="s">
        <v>265</v>
      </c>
      <c r="C77" s="165"/>
      <c r="D77" s="166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287"/>
      <c r="S77" s="290"/>
      <c r="T77" s="290"/>
    </row>
    <row r="78" spans="1:21" ht="15.75" customHeight="1" x14ac:dyDescent="0.15">
      <c r="A78" s="170" t="s">
        <v>266</v>
      </c>
      <c r="B78" s="242" t="s">
        <v>267</v>
      </c>
      <c r="C78" s="171"/>
      <c r="D78" s="172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87"/>
      <c r="S78" s="290"/>
      <c r="T78" s="290"/>
    </row>
    <row r="79" spans="1:21" ht="15.75" customHeight="1" x14ac:dyDescent="0.15">
      <c r="A79" s="170" t="s">
        <v>268</v>
      </c>
      <c r="B79" s="242" t="s">
        <v>207</v>
      </c>
      <c r="C79" s="171"/>
      <c r="D79" s="172"/>
      <c r="E79" s="168">
        <v>24500000</v>
      </c>
      <c r="F79" s="168">
        <v>24500000</v>
      </c>
      <c r="G79" s="168">
        <v>24500000</v>
      </c>
      <c r="H79" s="168">
        <v>24500000</v>
      </c>
      <c r="I79" s="168">
        <v>24500000</v>
      </c>
      <c r="J79" s="168">
        <v>24500000</v>
      </c>
      <c r="K79" s="168">
        <v>24500000</v>
      </c>
      <c r="L79" s="168">
        <v>24500000</v>
      </c>
      <c r="M79" s="168">
        <v>24500000</v>
      </c>
      <c r="N79" s="168">
        <v>24500000</v>
      </c>
      <c r="O79" s="168">
        <v>24500000</v>
      </c>
      <c r="P79" s="168">
        <v>24500000</v>
      </c>
      <c r="Q79" s="168">
        <f>SUM(E79:P79)</f>
        <v>294000000</v>
      </c>
      <c r="R79" s="187" t="s">
        <v>208</v>
      </c>
      <c r="S79" s="291">
        <f>'RINCIAN B. LANGSUNG USAHA'!Q73</f>
        <v>0</v>
      </c>
      <c r="T79" s="291">
        <f>Q79-S79</f>
        <v>294000000</v>
      </c>
    </row>
    <row r="80" spans="1:21" ht="15.75" customHeight="1" x14ac:dyDescent="0.15">
      <c r="A80" s="170" t="s">
        <v>269</v>
      </c>
      <c r="B80" s="242" t="s">
        <v>270</v>
      </c>
      <c r="C80" s="171"/>
      <c r="D80" s="172"/>
      <c r="E80" s="168">
        <v>1000000</v>
      </c>
      <c r="F80" s="168">
        <v>1000000</v>
      </c>
      <c r="G80" s="168">
        <v>1000000</v>
      </c>
      <c r="H80" s="168">
        <v>1000000</v>
      </c>
      <c r="I80" s="168">
        <v>1000000</v>
      </c>
      <c r="J80" s="168">
        <v>1000000</v>
      </c>
      <c r="K80" s="168">
        <v>1000000</v>
      </c>
      <c r="L80" s="168">
        <v>1000000</v>
      </c>
      <c r="M80" s="168">
        <v>1000000</v>
      </c>
      <c r="N80" s="168">
        <v>1000000</v>
      </c>
      <c r="O80" s="168">
        <v>1000000</v>
      </c>
      <c r="P80" s="168">
        <v>1000000</v>
      </c>
      <c r="Q80" s="168">
        <f t="shared" ref="Q80:Q81" si="41">SUM(E80:P80)</f>
        <v>12000000</v>
      </c>
      <c r="R80" s="283" t="s">
        <v>217</v>
      </c>
      <c r="S80" s="291">
        <f>'RINCIAN B. LANGSUNG USAHA'!Q86</f>
        <v>0</v>
      </c>
      <c r="T80" s="291">
        <f t="shared" ref="T80:T82" si="42">Q80-S80</f>
        <v>12000000</v>
      </c>
    </row>
    <row r="81" spans="1:21" ht="15.75" customHeight="1" x14ac:dyDescent="0.15">
      <c r="A81" s="170" t="s">
        <v>414</v>
      </c>
      <c r="B81" s="551" t="s">
        <v>415</v>
      </c>
      <c r="C81" s="552"/>
      <c r="D81" s="553"/>
      <c r="E81" s="168">
        <f>200*12000</f>
        <v>2400000</v>
      </c>
      <c r="F81" s="168">
        <f t="shared" ref="F81:P81" si="43">200*12000</f>
        <v>2400000</v>
      </c>
      <c r="G81" s="168">
        <f t="shared" si="43"/>
        <v>2400000</v>
      </c>
      <c r="H81" s="168">
        <f t="shared" si="43"/>
        <v>2400000</v>
      </c>
      <c r="I81" s="168">
        <f t="shared" si="43"/>
        <v>2400000</v>
      </c>
      <c r="J81" s="168">
        <f t="shared" si="43"/>
        <v>2400000</v>
      </c>
      <c r="K81" s="168">
        <f t="shared" si="43"/>
        <v>2400000</v>
      </c>
      <c r="L81" s="168">
        <f t="shared" si="43"/>
        <v>2400000</v>
      </c>
      <c r="M81" s="168">
        <f t="shared" si="43"/>
        <v>2400000</v>
      </c>
      <c r="N81" s="168">
        <f t="shared" si="43"/>
        <v>2400000</v>
      </c>
      <c r="O81" s="168">
        <f t="shared" si="43"/>
        <v>2400000</v>
      </c>
      <c r="P81" s="168">
        <f t="shared" si="43"/>
        <v>2400000</v>
      </c>
      <c r="Q81" s="168">
        <f t="shared" si="41"/>
        <v>28800000</v>
      </c>
      <c r="R81" s="282" t="s">
        <v>211</v>
      </c>
      <c r="S81" s="291">
        <f>'RINCIAN B. LANGSUNG USAHA'!Q87</f>
        <v>0</v>
      </c>
      <c r="T81" s="291">
        <f t="shared" si="42"/>
        <v>28800000</v>
      </c>
    </row>
    <row r="82" spans="1:21" ht="15.75" customHeight="1" x14ac:dyDescent="0.15">
      <c r="A82" s="170" t="s">
        <v>271</v>
      </c>
      <c r="B82" s="242" t="s">
        <v>219</v>
      </c>
      <c r="C82" s="171"/>
      <c r="D82" s="172"/>
      <c r="E82" s="168">
        <v>100000</v>
      </c>
      <c r="F82" s="168">
        <v>100000</v>
      </c>
      <c r="G82" s="168">
        <v>100000</v>
      </c>
      <c r="H82" s="168">
        <v>100000</v>
      </c>
      <c r="I82" s="168">
        <v>100000</v>
      </c>
      <c r="J82" s="168">
        <v>100000</v>
      </c>
      <c r="K82" s="168">
        <v>100000</v>
      </c>
      <c r="L82" s="168">
        <v>100000</v>
      </c>
      <c r="M82" s="168">
        <v>100000</v>
      </c>
      <c r="N82" s="168">
        <v>100000</v>
      </c>
      <c r="O82" s="168">
        <v>100000</v>
      </c>
      <c r="P82" s="168">
        <v>100000</v>
      </c>
      <c r="Q82" s="168">
        <f>SUM(E82:P82)</f>
        <v>1200000</v>
      </c>
      <c r="R82" s="187" t="s">
        <v>220</v>
      </c>
      <c r="S82" s="291">
        <f>'RINCIAN B. LANGSUNG USAHA'!Q88</f>
        <v>0</v>
      </c>
      <c r="T82" s="291">
        <f t="shared" si="42"/>
        <v>1200000</v>
      </c>
    </row>
    <row r="83" spans="1:21" ht="15.75" customHeight="1" x14ac:dyDescent="0.15">
      <c r="A83" s="179"/>
      <c r="B83" s="545" t="s">
        <v>272</v>
      </c>
      <c r="C83" s="546"/>
      <c r="D83" s="547"/>
      <c r="E83" s="180">
        <f t="shared" ref="E83:O83" si="44">SUM(E79:E82)</f>
        <v>28000000</v>
      </c>
      <c r="F83" s="180">
        <f t="shared" si="44"/>
        <v>28000000</v>
      </c>
      <c r="G83" s="180">
        <f t="shared" si="44"/>
        <v>28000000</v>
      </c>
      <c r="H83" s="180">
        <f t="shared" si="44"/>
        <v>28000000</v>
      </c>
      <c r="I83" s="180">
        <f t="shared" si="44"/>
        <v>28000000</v>
      </c>
      <c r="J83" s="180">
        <f t="shared" si="44"/>
        <v>28000000</v>
      </c>
      <c r="K83" s="180">
        <f t="shared" si="44"/>
        <v>28000000</v>
      </c>
      <c r="L83" s="180">
        <f t="shared" si="44"/>
        <v>28000000</v>
      </c>
      <c r="M83" s="180">
        <f t="shared" si="44"/>
        <v>28000000</v>
      </c>
      <c r="N83" s="180">
        <f t="shared" si="44"/>
        <v>28000000</v>
      </c>
      <c r="O83" s="180">
        <f t="shared" si="44"/>
        <v>28000000</v>
      </c>
      <c r="P83" s="180">
        <f>SUM(P79:P82)</f>
        <v>28000000</v>
      </c>
      <c r="Q83" s="180">
        <f>SUM(E83:P83)</f>
        <v>336000000</v>
      </c>
      <c r="R83" s="265"/>
      <c r="S83" s="298">
        <f>SUM(S79:S82)</f>
        <v>0</v>
      </c>
      <c r="T83" s="298">
        <f>SUM(T79:T82)</f>
        <v>336000000</v>
      </c>
      <c r="U83" s="178"/>
    </row>
    <row r="84" spans="1:21" ht="15.75" customHeight="1" x14ac:dyDescent="0.15">
      <c r="A84" s="170" t="s">
        <v>273</v>
      </c>
      <c r="B84" s="242" t="s">
        <v>274</v>
      </c>
      <c r="C84" s="171"/>
      <c r="D84" s="172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87"/>
      <c r="S84" s="290"/>
      <c r="T84" s="290"/>
    </row>
    <row r="85" spans="1:21" ht="15.75" customHeight="1" x14ac:dyDescent="0.15">
      <c r="A85" s="170" t="s">
        <v>275</v>
      </c>
      <c r="B85" s="242" t="s">
        <v>276</v>
      </c>
      <c r="C85" s="171"/>
      <c r="D85" s="172"/>
      <c r="E85" s="168">
        <v>1500000</v>
      </c>
      <c r="F85" s="168"/>
      <c r="G85" s="168"/>
      <c r="H85" s="168"/>
      <c r="I85" s="168">
        <v>1500000</v>
      </c>
      <c r="J85" s="168"/>
      <c r="K85" s="168"/>
      <c r="L85" s="168"/>
      <c r="M85" s="168"/>
      <c r="N85" s="168">
        <v>1500000</v>
      </c>
      <c r="O85" s="168"/>
      <c r="P85" s="168"/>
      <c r="Q85" s="168">
        <f>SUM(E85:P85)</f>
        <v>4500000</v>
      </c>
      <c r="R85" s="187" t="s">
        <v>226</v>
      </c>
      <c r="S85" s="291">
        <f>'RINCIAN B. LANGSUNG USAHA'!Q91</f>
        <v>0</v>
      </c>
      <c r="T85" s="291">
        <f>Q85-S85</f>
        <v>4500000</v>
      </c>
    </row>
    <row r="86" spans="1:21" ht="15.75" customHeight="1" x14ac:dyDescent="0.15">
      <c r="A86" s="170" t="s">
        <v>277</v>
      </c>
      <c r="B86" s="242" t="s">
        <v>278</v>
      </c>
      <c r="C86" s="171"/>
      <c r="D86" s="172"/>
      <c r="E86" s="168">
        <v>22500000</v>
      </c>
      <c r="F86" s="168">
        <v>22500000</v>
      </c>
      <c r="G86" s="168">
        <v>22500000</v>
      </c>
      <c r="H86" s="168">
        <v>22500000</v>
      </c>
      <c r="I86" s="168">
        <v>22500000</v>
      </c>
      <c r="J86" s="168">
        <v>22500000</v>
      </c>
      <c r="K86" s="168">
        <v>22500000</v>
      </c>
      <c r="L86" s="168">
        <v>22500000</v>
      </c>
      <c r="M86" s="168">
        <v>22500000</v>
      </c>
      <c r="N86" s="168">
        <v>22500000</v>
      </c>
      <c r="O86" s="168">
        <v>22500000</v>
      </c>
      <c r="P86" s="168">
        <v>22500000</v>
      </c>
      <c r="Q86" s="168">
        <f t="shared" ref="Q86:Q90" si="45">SUM(E86:P86)</f>
        <v>270000000</v>
      </c>
      <c r="R86" s="187" t="s">
        <v>226</v>
      </c>
      <c r="S86" s="291">
        <f>'RINCIAN B. LANGSUNG USAHA'!Q92</f>
        <v>0</v>
      </c>
      <c r="T86" s="291">
        <f t="shared" ref="T86:T90" si="46">Q86-S86</f>
        <v>270000000</v>
      </c>
    </row>
    <row r="87" spans="1:21" ht="15.75" customHeight="1" x14ac:dyDescent="0.15">
      <c r="A87" s="170" t="s">
        <v>279</v>
      </c>
      <c r="B87" s="242" t="s">
        <v>280</v>
      </c>
      <c r="C87" s="171"/>
      <c r="D87" s="172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>
        <f t="shared" si="45"/>
        <v>0</v>
      </c>
      <c r="R87" s="187" t="s">
        <v>226</v>
      </c>
      <c r="S87" s="291">
        <f>'RINCIAN B. LANGSUNG USAHA'!Q93</f>
        <v>0</v>
      </c>
      <c r="T87" s="291">
        <f t="shared" si="46"/>
        <v>0</v>
      </c>
    </row>
    <row r="88" spans="1:21" ht="15.75" customHeight="1" x14ac:dyDescent="0.15">
      <c r="A88" s="170" t="s">
        <v>281</v>
      </c>
      <c r="B88" s="242" t="s">
        <v>259</v>
      </c>
      <c r="C88" s="192"/>
      <c r="D88" s="193"/>
      <c r="E88" s="168">
        <v>2000000</v>
      </c>
      <c r="F88" s="168">
        <v>2000000</v>
      </c>
      <c r="G88" s="168">
        <v>2000000</v>
      </c>
      <c r="H88" s="168">
        <v>2000000</v>
      </c>
      <c r="I88" s="168">
        <v>2000000</v>
      </c>
      <c r="J88" s="168">
        <v>2000000</v>
      </c>
      <c r="K88" s="168">
        <v>2000000</v>
      </c>
      <c r="L88" s="168">
        <v>2000000</v>
      </c>
      <c r="M88" s="168">
        <v>2000000</v>
      </c>
      <c r="N88" s="168">
        <v>2000000</v>
      </c>
      <c r="O88" s="168">
        <v>2000000</v>
      </c>
      <c r="P88" s="168">
        <v>2000000</v>
      </c>
      <c r="Q88" s="168">
        <f t="shared" si="45"/>
        <v>24000000</v>
      </c>
      <c r="R88" s="187" t="s">
        <v>226</v>
      </c>
      <c r="S88" s="291">
        <f>'RINCIAN B. LANGSUNG USAHA'!Q94</f>
        <v>0</v>
      </c>
      <c r="T88" s="291">
        <f t="shared" si="46"/>
        <v>24000000</v>
      </c>
    </row>
    <row r="89" spans="1:21" ht="15.75" customHeight="1" x14ac:dyDescent="0.15">
      <c r="A89" s="170" t="s">
        <v>282</v>
      </c>
      <c r="B89" s="242" t="s">
        <v>283</v>
      </c>
      <c r="C89" s="171"/>
      <c r="D89" s="172"/>
      <c r="E89" s="168">
        <f>40*488400</f>
        <v>19536000</v>
      </c>
      <c r="F89" s="168">
        <f t="shared" ref="F89:P89" si="47">40*488400</f>
        <v>19536000</v>
      </c>
      <c r="G89" s="168">
        <f t="shared" si="47"/>
        <v>19536000</v>
      </c>
      <c r="H89" s="168">
        <f t="shared" si="47"/>
        <v>19536000</v>
      </c>
      <c r="I89" s="168">
        <f t="shared" si="47"/>
        <v>19536000</v>
      </c>
      <c r="J89" s="168">
        <f t="shared" si="47"/>
        <v>19536000</v>
      </c>
      <c r="K89" s="168">
        <f t="shared" si="47"/>
        <v>19536000</v>
      </c>
      <c r="L89" s="168">
        <f t="shared" si="47"/>
        <v>19536000</v>
      </c>
      <c r="M89" s="168">
        <f t="shared" si="47"/>
        <v>19536000</v>
      </c>
      <c r="N89" s="168">
        <f t="shared" si="47"/>
        <v>19536000</v>
      </c>
      <c r="O89" s="168">
        <f t="shared" si="47"/>
        <v>19536000</v>
      </c>
      <c r="P89" s="168">
        <f t="shared" si="47"/>
        <v>19536000</v>
      </c>
      <c r="Q89" s="168">
        <f t="shared" si="45"/>
        <v>234432000</v>
      </c>
      <c r="R89" s="187" t="s">
        <v>226</v>
      </c>
      <c r="S89" s="291">
        <f>'RINCIAN B. LANGSUNG USAHA'!Q95</f>
        <v>0</v>
      </c>
      <c r="T89" s="291">
        <f t="shared" si="46"/>
        <v>234432000</v>
      </c>
    </row>
    <row r="90" spans="1:21" ht="15.75" customHeight="1" x14ac:dyDescent="0.15">
      <c r="A90" s="170" t="s">
        <v>284</v>
      </c>
      <c r="B90" s="242" t="s">
        <v>285</v>
      </c>
      <c r="C90" s="171"/>
      <c r="D90" s="172"/>
      <c r="E90" s="168">
        <v>1000000</v>
      </c>
      <c r="F90" s="168">
        <v>1000000</v>
      </c>
      <c r="G90" s="168">
        <v>1000000</v>
      </c>
      <c r="H90" s="168">
        <v>1000000</v>
      </c>
      <c r="I90" s="168">
        <v>1000000</v>
      </c>
      <c r="J90" s="168">
        <v>1000000</v>
      </c>
      <c r="K90" s="168">
        <v>1000000</v>
      </c>
      <c r="L90" s="168">
        <v>1000000</v>
      </c>
      <c r="M90" s="168">
        <v>1000000</v>
      </c>
      <c r="N90" s="168">
        <v>1000000</v>
      </c>
      <c r="O90" s="168">
        <v>1000000</v>
      </c>
      <c r="P90" s="168">
        <v>1000000</v>
      </c>
      <c r="Q90" s="168">
        <f t="shared" si="45"/>
        <v>12000000</v>
      </c>
      <c r="R90" s="187" t="s">
        <v>226</v>
      </c>
      <c r="S90" s="291">
        <f>'RINCIAN B. LANGSUNG USAHA'!Q96</f>
        <v>0</v>
      </c>
      <c r="T90" s="291">
        <f t="shared" si="46"/>
        <v>12000000</v>
      </c>
    </row>
    <row r="91" spans="1:21" ht="15.75" customHeight="1" x14ac:dyDescent="0.15">
      <c r="A91" s="179"/>
      <c r="B91" s="545" t="s">
        <v>262</v>
      </c>
      <c r="C91" s="546"/>
      <c r="D91" s="547"/>
      <c r="E91" s="180">
        <f>SUM(E85:E90)</f>
        <v>46536000</v>
      </c>
      <c r="F91" s="180">
        <f t="shared" ref="F91:P91" si="48">SUM(F85:F90)</f>
        <v>45036000</v>
      </c>
      <c r="G91" s="180">
        <f t="shared" si="48"/>
        <v>45036000</v>
      </c>
      <c r="H91" s="180">
        <f t="shared" si="48"/>
        <v>45036000</v>
      </c>
      <c r="I91" s="180">
        <f t="shared" si="48"/>
        <v>46536000</v>
      </c>
      <c r="J91" s="180">
        <f t="shared" si="48"/>
        <v>45036000</v>
      </c>
      <c r="K91" s="180">
        <f t="shared" si="48"/>
        <v>45036000</v>
      </c>
      <c r="L91" s="180">
        <f t="shared" si="48"/>
        <v>45036000</v>
      </c>
      <c r="M91" s="180">
        <f t="shared" si="48"/>
        <v>45036000</v>
      </c>
      <c r="N91" s="180">
        <f t="shared" si="48"/>
        <v>46536000</v>
      </c>
      <c r="O91" s="180">
        <f t="shared" si="48"/>
        <v>45036000</v>
      </c>
      <c r="P91" s="180">
        <f t="shared" si="48"/>
        <v>45036000</v>
      </c>
      <c r="Q91" s="180">
        <f>SUM(E91:P91)</f>
        <v>544932000</v>
      </c>
      <c r="R91" s="265"/>
      <c r="S91" s="300">
        <f>SUM(S84:S90)</f>
        <v>0</v>
      </c>
      <c r="T91" s="300">
        <f>SUM(T84:T90)</f>
        <v>544932000</v>
      </c>
      <c r="U91" s="178"/>
    </row>
    <row r="92" spans="1:21" ht="15.75" customHeight="1" x14ac:dyDescent="0.15">
      <c r="A92" s="179"/>
      <c r="B92" s="252" t="s">
        <v>240</v>
      </c>
      <c r="C92" s="184"/>
      <c r="D92" s="185"/>
      <c r="E92" s="180">
        <f>E91+E83</f>
        <v>74536000</v>
      </c>
      <c r="F92" s="180">
        <f t="shared" ref="F92:P92" si="49">F91+F83</f>
        <v>73036000</v>
      </c>
      <c r="G92" s="180">
        <f t="shared" si="49"/>
        <v>73036000</v>
      </c>
      <c r="H92" s="180">
        <f t="shared" si="49"/>
        <v>73036000</v>
      </c>
      <c r="I92" s="180">
        <f t="shared" si="49"/>
        <v>74536000</v>
      </c>
      <c r="J92" s="180">
        <f t="shared" si="49"/>
        <v>73036000</v>
      </c>
      <c r="K92" s="180">
        <f t="shared" si="49"/>
        <v>73036000</v>
      </c>
      <c r="L92" s="180">
        <f t="shared" si="49"/>
        <v>73036000</v>
      </c>
      <c r="M92" s="180">
        <f t="shared" si="49"/>
        <v>73036000</v>
      </c>
      <c r="N92" s="180">
        <f t="shared" si="49"/>
        <v>74536000</v>
      </c>
      <c r="O92" s="180">
        <f t="shared" si="49"/>
        <v>73036000</v>
      </c>
      <c r="P92" s="180">
        <f t="shared" si="49"/>
        <v>73036000</v>
      </c>
      <c r="Q92" s="180">
        <f>SUM(E92:P92)</f>
        <v>880932000</v>
      </c>
      <c r="R92" s="187"/>
      <c r="S92" s="298">
        <f>S91+S83</f>
        <v>0</v>
      </c>
      <c r="T92" s="298">
        <f>T91+T83</f>
        <v>880932000</v>
      </c>
    </row>
    <row r="93" spans="1:21" ht="15.75" customHeight="1" x14ac:dyDescent="0.15">
      <c r="A93" s="179" t="s">
        <v>194</v>
      </c>
      <c r="B93" s="252" t="s">
        <v>286</v>
      </c>
      <c r="C93" s="184"/>
      <c r="D93" s="185"/>
      <c r="E93" s="180">
        <f>28956548+2000000</f>
        <v>30956548</v>
      </c>
      <c r="F93" s="180">
        <f t="shared" ref="F93:P93" si="50">28956548+2000000</f>
        <v>30956548</v>
      </c>
      <c r="G93" s="180">
        <f t="shared" si="50"/>
        <v>30956548</v>
      </c>
      <c r="H93" s="180">
        <f t="shared" si="50"/>
        <v>30956548</v>
      </c>
      <c r="I93" s="180">
        <f t="shared" si="50"/>
        <v>30956548</v>
      </c>
      <c r="J93" s="180">
        <f t="shared" si="50"/>
        <v>30956548</v>
      </c>
      <c r="K93" s="180">
        <f t="shared" si="50"/>
        <v>30956548</v>
      </c>
      <c r="L93" s="180">
        <f t="shared" si="50"/>
        <v>30956548</v>
      </c>
      <c r="M93" s="180">
        <f t="shared" si="50"/>
        <v>30956548</v>
      </c>
      <c r="N93" s="180">
        <f t="shared" si="50"/>
        <v>30956548</v>
      </c>
      <c r="O93" s="180">
        <f t="shared" si="50"/>
        <v>30956548</v>
      </c>
      <c r="P93" s="180">
        <f t="shared" si="50"/>
        <v>30956548</v>
      </c>
      <c r="Q93" s="180">
        <f>SUM(E93:P93)</f>
        <v>371478576</v>
      </c>
      <c r="R93" s="265" t="s">
        <v>242</v>
      </c>
      <c r="S93" s="298">
        <f>'RINCIAN B. LANGSUNG USAHA'!Q99</f>
        <v>0</v>
      </c>
      <c r="T93" s="298">
        <f>Q93-S93</f>
        <v>371478576</v>
      </c>
    </row>
    <row r="94" spans="1:21" ht="15.75" customHeight="1" x14ac:dyDescent="0.15">
      <c r="A94" s="179"/>
      <c r="B94" s="539" t="s">
        <v>287</v>
      </c>
      <c r="C94" s="540"/>
      <c r="D94" s="541"/>
      <c r="E94" s="180">
        <f>SUM(E92:E93)</f>
        <v>105492548</v>
      </c>
      <c r="F94" s="180">
        <f t="shared" ref="F94:P94" si="51">SUM(F92:F93)</f>
        <v>103992548</v>
      </c>
      <c r="G94" s="180">
        <f>SUM(G92:G93)</f>
        <v>103992548</v>
      </c>
      <c r="H94" s="180">
        <f t="shared" si="51"/>
        <v>103992548</v>
      </c>
      <c r="I94" s="180">
        <f t="shared" si="51"/>
        <v>105492548</v>
      </c>
      <c r="J94" s="180">
        <f t="shared" si="51"/>
        <v>103992548</v>
      </c>
      <c r="K94" s="180">
        <f t="shared" si="51"/>
        <v>103992548</v>
      </c>
      <c r="L94" s="180">
        <f t="shared" si="51"/>
        <v>103992548</v>
      </c>
      <c r="M94" s="180">
        <f t="shared" si="51"/>
        <v>103992548</v>
      </c>
      <c r="N94" s="180">
        <f t="shared" si="51"/>
        <v>105492548</v>
      </c>
      <c r="O94" s="180">
        <f t="shared" si="51"/>
        <v>103992548</v>
      </c>
      <c r="P94" s="180">
        <f t="shared" si="51"/>
        <v>103992548</v>
      </c>
      <c r="Q94" s="180">
        <f>SUM(Q92:Q93)</f>
        <v>1252410576</v>
      </c>
      <c r="R94" s="187"/>
      <c r="S94" s="298">
        <f>SUM(S92:S93)</f>
        <v>0</v>
      </c>
      <c r="T94" s="298">
        <f>SUM(T92:T93)</f>
        <v>1252410576</v>
      </c>
    </row>
    <row r="95" spans="1:21" ht="15.75" customHeight="1" x14ac:dyDescent="0.15">
      <c r="A95" s="197"/>
      <c r="B95" s="198" t="s">
        <v>288</v>
      </c>
      <c r="C95" s="171"/>
      <c r="D95" s="172"/>
      <c r="E95" s="180">
        <f t="shared" ref="E95:P96" si="52">E92+E71+E35</f>
        <v>334439500</v>
      </c>
      <c r="F95" s="180">
        <f t="shared" si="52"/>
        <v>328270000</v>
      </c>
      <c r="G95" s="180">
        <f t="shared" si="52"/>
        <v>334426005</v>
      </c>
      <c r="H95" s="180">
        <f t="shared" si="52"/>
        <v>313098500</v>
      </c>
      <c r="I95" s="180">
        <f t="shared" si="52"/>
        <v>320239500</v>
      </c>
      <c r="J95" s="180">
        <f t="shared" si="52"/>
        <v>363326000</v>
      </c>
      <c r="K95" s="180">
        <f t="shared" si="52"/>
        <v>364539500</v>
      </c>
      <c r="L95" s="180">
        <f t="shared" si="52"/>
        <v>342313500</v>
      </c>
      <c r="M95" s="180">
        <f t="shared" si="52"/>
        <v>345526000</v>
      </c>
      <c r="N95" s="180">
        <f t="shared" si="52"/>
        <v>358039500</v>
      </c>
      <c r="O95" s="180">
        <f t="shared" si="52"/>
        <v>317526000</v>
      </c>
      <c r="P95" s="180">
        <f t="shared" si="52"/>
        <v>320039500</v>
      </c>
      <c r="Q95" s="180">
        <f>SUM(E95:P95)</f>
        <v>4041783505</v>
      </c>
      <c r="R95" s="265"/>
      <c r="S95" s="298">
        <f>S92+S71+S35</f>
        <v>0</v>
      </c>
      <c r="T95" s="298">
        <f>T92+T71+T35</f>
        <v>4041783505</v>
      </c>
      <c r="U95" s="178"/>
    </row>
    <row r="96" spans="1:21" ht="15.75" customHeight="1" x14ac:dyDescent="0.15">
      <c r="A96" s="179"/>
      <c r="B96" s="252" t="s">
        <v>289</v>
      </c>
      <c r="C96" s="184"/>
      <c r="D96" s="185"/>
      <c r="E96" s="168">
        <f t="shared" si="52"/>
        <v>77204105</v>
      </c>
      <c r="F96" s="168">
        <f t="shared" si="52"/>
        <v>77204105</v>
      </c>
      <c r="G96" s="168">
        <f t="shared" si="52"/>
        <v>77204105</v>
      </c>
      <c r="H96" s="168">
        <f t="shared" si="52"/>
        <v>77204105</v>
      </c>
      <c r="I96" s="168">
        <f t="shared" si="52"/>
        <v>77204105</v>
      </c>
      <c r="J96" s="168">
        <f t="shared" si="52"/>
        <v>77204105</v>
      </c>
      <c r="K96" s="168">
        <f t="shared" si="52"/>
        <v>77204105</v>
      </c>
      <c r="L96" s="168">
        <f t="shared" si="52"/>
        <v>77204105</v>
      </c>
      <c r="M96" s="168">
        <f t="shared" si="52"/>
        <v>77204105</v>
      </c>
      <c r="N96" s="168">
        <f t="shared" si="52"/>
        <v>77204105</v>
      </c>
      <c r="O96" s="168">
        <f t="shared" si="52"/>
        <v>77204105</v>
      </c>
      <c r="P96" s="168">
        <f t="shared" si="52"/>
        <v>77204105</v>
      </c>
      <c r="Q96" s="168">
        <f>SUM(E96:P96)</f>
        <v>926449260</v>
      </c>
      <c r="R96" s="265" t="s">
        <v>242</v>
      </c>
      <c r="S96" s="298">
        <f>S93+S72+S36</f>
        <v>0</v>
      </c>
      <c r="T96" s="298">
        <f t="shared" ref="T96" si="53">T93+T72+T36</f>
        <v>926449260</v>
      </c>
      <c r="U96" s="301"/>
    </row>
    <row r="97" spans="1:21" ht="15.75" customHeight="1" thickBot="1" x14ac:dyDescent="0.2">
      <c r="A97" s="199"/>
      <c r="B97" s="554" t="s">
        <v>290</v>
      </c>
      <c r="C97" s="555"/>
      <c r="D97" s="556"/>
      <c r="E97" s="200">
        <f>SUM(E95:E96)</f>
        <v>411643605</v>
      </c>
      <c r="F97" s="200">
        <f t="shared" ref="F97:Q97" si="54">SUM(F95:F96)</f>
        <v>405474105</v>
      </c>
      <c r="G97" s="200">
        <f t="shared" si="54"/>
        <v>411630110</v>
      </c>
      <c r="H97" s="200">
        <f t="shared" si="54"/>
        <v>390302605</v>
      </c>
      <c r="I97" s="200">
        <f t="shared" si="54"/>
        <v>397443605</v>
      </c>
      <c r="J97" s="200">
        <f t="shared" si="54"/>
        <v>440530105</v>
      </c>
      <c r="K97" s="200">
        <f t="shared" si="54"/>
        <v>441743605</v>
      </c>
      <c r="L97" s="200">
        <f t="shared" si="54"/>
        <v>419517605</v>
      </c>
      <c r="M97" s="200">
        <f t="shared" si="54"/>
        <v>422730105</v>
      </c>
      <c r="N97" s="200">
        <f t="shared" si="54"/>
        <v>435243605</v>
      </c>
      <c r="O97" s="200">
        <f t="shared" si="54"/>
        <v>394730105</v>
      </c>
      <c r="P97" s="200">
        <f t="shared" si="54"/>
        <v>397243605</v>
      </c>
      <c r="Q97" s="200">
        <f t="shared" si="54"/>
        <v>4968232765</v>
      </c>
      <c r="R97" s="288"/>
      <c r="S97" s="298">
        <f>SUM(S95:S96)</f>
        <v>0</v>
      </c>
      <c r="T97" s="298">
        <f>SUM(T95:T96)</f>
        <v>4968232765</v>
      </c>
      <c r="U97" s="301"/>
    </row>
    <row r="98" spans="1:21" ht="12.75" customHeight="1" thickTop="1" x14ac:dyDescent="0.15">
      <c r="A98" s="202"/>
      <c r="E98" s="204"/>
      <c r="F98" s="204"/>
      <c r="G98" s="204"/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S98" s="178">
        <f>'RINCIAN B. LANGSUNG USAHA'!Q104</f>
        <v>0</v>
      </c>
    </row>
    <row r="99" spans="1:21" ht="12.75" customHeight="1" x14ac:dyDescent="0.15">
      <c r="A99" s="202"/>
      <c r="E99" s="204"/>
      <c r="F99" s="204"/>
      <c r="G99" s="204"/>
      <c r="H99" s="204"/>
      <c r="I99" s="204"/>
      <c r="J99" s="204"/>
      <c r="K99" s="204"/>
      <c r="L99" s="204"/>
      <c r="M99" s="204"/>
      <c r="N99" s="204"/>
      <c r="O99" s="204"/>
      <c r="P99" s="204"/>
      <c r="Q99" s="204"/>
    </row>
    <row r="100" spans="1:21" ht="12.75" customHeight="1" x14ac:dyDescent="0.15">
      <c r="A100" s="202"/>
      <c r="E100" s="206">
        <f t="shared" ref="E100:P100" si="55">E94+E73+E37</f>
        <v>411643605</v>
      </c>
      <c r="F100" s="206">
        <f t="shared" si="55"/>
        <v>405474105</v>
      </c>
      <c r="G100" s="206">
        <f t="shared" si="55"/>
        <v>411630110</v>
      </c>
      <c r="H100" s="206">
        <f t="shared" si="55"/>
        <v>390302605</v>
      </c>
      <c r="I100" s="206">
        <f t="shared" si="55"/>
        <v>397443605</v>
      </c>
      <c r="J100" s="206">
        <f t="shared" si="55"/>
        <v>440530105</v>
      </c>
      <c r="K100" s="206">
        <f t="shared" si="55"/>
        <v>441743605</v>
      </c>
      <c r="L100" s="206">
        <f t="shared" si="55"/>
        <v>419517605</v>
      </c>
      <c r="M100" s="206">
        <f t="shared" si="55"/>
        <v>422730105</v>
      </c>
      <c r="N100" s="206">
        <f t="shared" si="55"/>
        <v>435243605</v>
      </c>
      <c r="O100" s="206">
        <f t="shared" si="55"/>
        <v>394730105</v>
      </c>
      <c r="P100" s="206">
        <f t="shared" si="55"/>
        <v>397243605</v>
      </c>
      <c r="Q100" s="178">
        <f>SUM(E100:P100)</f>
        <v>4968232765</v>
      </c>
      <c r="R100" s="178"/>
    </row>
    <row r="101" spans="1:21" ht="12.75" customHeight="1" x14ac:dyDescent="0.15">
      <c r="A101" s="202"/>
      <c r="K101" s="178"/>
      <c r="Q101" s="178"/>
    </row>
    <row r="102" spans="1:21" ht="12.75" customHeight="1" x14ac:dyDescent="0.15">
      <c r="A102" s="202"/>
      <c r="K102" s="178"/>
    </row>
    <row r="103" spans="1:21" ht="12.75" customHeight="1" x14ac:dyDescent="0.15">
      <c r="A103" s="202"/>
      <c r="K103" s="544"/>
      <c r="L103" s="544"/>
    </row>
    <row r="104" spans="1:21" ht="12.75" customHeight="1" x14ac:dyDescent="0.15">
      <c r="A104" s="202"/>
      <c r="B104" s="158"/>
    </row>
    <row r="105" spans="1:21" ht="12.75" customHeight="1" x14ac:dyDescent="0.15">
      <c r="A105" s="202"/>
      <c r="B105" s="158"/>
    </row>
    <row r="106" spans="1:21" ht="12.75" customHeight="1" x14ac:dyDescent="0.15">
      <c r="A106" s="202"/>
      <c r="B106" s="158"/>
    </row>
    <row r="107" spans="1:21" ht="12.75" customHeight="1" x14ac:dyDescent="0.15">
      <c r="A107" s="202"/>
      <c r="B107" s="158"/>
    </row>
    <row r="108" spans="1:21" ht="12.75" customHeight="1" x14ac:dyDescent="0.15">
      <c r="A108" s="202"/>
      <c r="B108" s="158"/>
    </row>
    <row r="109" spans="1:21" ht="12.75" customHeight="1" x14ac:dyDescent="0.15">
      <c r="A109" s="202"/>
      <c r="B109" s="158"/>
    </row>
    <row r="110" spans="1:21" ht="12.75" customHeight="1" x14ac:dyDescent="0.15">
      <c r="A110" s="202"/>
      <c r="B110" s="158"/>
    </row>
    <row r="111" spans="1:21" ht="12.75" customHeight="1" x14ac:dyDescent="0.15">
      <c r="A111" s="202"/>
      <c r="B111" s="158"/>
    </row>
    <row r="112" spans="1:21" ht="12.75" customHeight="1" x14ac:dyDescent="0.15">
      <c r="A112" s="202"/>
      <c r="B112" s="158"/>
    </row>
    <row r="113" spans="1:2" ht="12.75" customHeight="1" x14ac:dyDescent="0.15">
      <c r="A113" s="202"/>
      <c r="B113" s="158"/>
    </row>
    <row r="114" spans="1:2" ht="12.75" customHeight="1" x14ac:dyDescent="0.15">
      <c r="A114" s="202"/>
      <c r="B114" s="158"/>
    </row>
    <row r="115" spans="1:2" ht="12.75" customHeight="1" x14ac:dyDescent="0.15">
      <c r="A115" s="202"/>
      <c r="B115" s="158"/>
    </row>
    <row r="116" spans="1:2" ht="12.75" customHeight="1" x14ac:dyDescent="0.15">
      <c r="A116" s="202"/>
      <c r="B116" s="158"/>
    </row>
    <row r="117" spans="1:2" ht="12.75" customHeight="1" x14ac:dyDescent="0.15">
      <c r="A117" s="202"/>
      <c r="B117" s="158"/>
    </row>
    <row r="118" spans="1:2" ht="12.75" customHeight="1" x14ac:dyDescent="0.15">
      <c r="A118" s="202"/>
      <c r="B118" s="158"/>
    </row>
    <row r="119" spans="1:2" ht="12.75" customHeight="1" x14ac:dyDescent="0.15">
      <c r="A119" s="202"/>
      <c r="B119" s="158"/>
    </row>
    <row r="120" spans="1:2" ht="12.75" customHeight="1" x14ac:dyDescent="0.15">
      <c r="A120" s="202"/>
      <c r="B120" s="158"/>
    </row>
    <row r="121" spans="1:2" ht="12.75" customHeight="1" x14ac:dyDescent="0.15">
      <c r="A121" s="202"/>
      <c r="B121" s="158"/>
    </row>
    <row r="122" spans="1:2" ht="12.75" customHeight="1" x14ac:dyDescent="0.15">
      <c r="A122" s="202"/>
      <c r="B122" s="158"/>
    </row>
    <row r="123" spans="1:2" ht="12.75" customHeight="1" x14ac:dyDescent="0.15">
      <c r="A123" s="202"/>
      <c r="B123" s="158"/>
    </row>
    <row r="124" spans="1:2" ht="12.75" customHeight="1" x14ac:dyDescent="0.15">
      <c r="A124" s="202"/>
      <c r="B124" s="158"/>
    </row>
    <row r="125" spans="1:2" ht="12.75" customHeight="1" x14ac:dyDescent="0.15">
      <c r="A125" s="202"/>
      <c r="B125" s="158"/>
    </row>
    <row r="126" spans="1:2" ht="12.75" customHeight="1" x14ac:dyDescent="0.15">
      <c r="A126" s="202"/>
      <c r="B126" s="158"/>
    </row>
    <row r="127" spans="1:2" ht="12.75" customHeight="1" x14ac:dyDescent="0.15">
      <c r="A127" s="202"/>
      <c r="B127" s="158"/>
    </row>
    <row r="128" spans="1:2" ht="12.75" customHeight="1" x14ac:dyDescent="0.15">
      <c r="A128" s="202"/>
      <c r="B128" s="158"/>
    </row>
    <row r="129" spans="1:2" ht="12.75" customHeight="1" x14ac:dyDescent="0.15">
      <c r="A129" s="202"/>
      <c r="B129" s="158"/>
    </row>
    <row r="130" spans="1:2" ht="12.75" customHeight="1" x14ac:dyDescent="0.15">
      <c r="A130" s="202"/>
      <c r="B130" s="158"/>
    </row>
    <row r="131" spans="1:2" ht="12.75" customHeight="1" x14ac:dyDescent="0.15">
      <c r="A131" s="202"/>
      <c r="B131" s="158"/>
    </row>
    <row r="132" spans="1:2" ht="12.75" customHeight="1" x14ac:dyDescent="0.15">
      <c r="A132" s="202"/>
      <c r="B132" s="158"/>
    </row>
    <row r="133" spans="1:2" ht="12.75" customHeight="1" x14ac:dyDescent="0.15">
      <c r="A133" s="202"/>
      <c r="B133" s="158"/>
    </row>
    <row r="134" spans="1:2" ht="12.75" customHeight="1" x14ac:dyDescent="0.15">
      <c r="A134" s="202"/>
      <c r="B134" s="158"/>
    </row>
    <row r="135" spans="1:2" ht="12.75" customHeight="1" x14ac:dyDescent="0.15">
      <c r="A135" s="202"/>
      <c r="B135" s="158"/>
    </row>
    <row r="136" spans="1:2" ht="12.75" customHeight="1" x14ac:dyDescent="0.15">
      <c r="A136" s="202"/>
      <c r="B136" s="158"/>
    </row>
    <row r="137" spans="1:2" ht="12.75" customHeight="1" x14ac:dyDescent="0.15">
      <c r="A137" s="202"/>
      <c r="B137" s="158"/>
    </row>
    <row r="138" spans="1:2" ht="12.75" customHeight="1" x14ac:dyDescent="0.15">
      <c r="A138" s="202"/>
      <c r="B138" s="158"/>
    </row>
    <row r="139" spans="1:2" ht="12.75" customHeight="1" x14ac:dyDescent="0.15">
      <c r="A139" s="202"/>
      <c r="B139" s="158"/>
    </row>
    <row r="140" spans="1:2" ht="12.75" customHeight="1" x14ac:dyDescent="0.15">
      <c r="A140" s="202"/>
      <c r="B140" s="158"/>
    </row>
    <row r="141" spans="1:2" ht="12.75" customHeight="1" x14ac:dyDescent="0.15">
      <c r="A141" s="202"/>
      <c r="B141" s="158"/>
    </row>
    <row r="142" spans="1:2" ht="12.75" customHeight="1" x14ac:dyDescent="0.15">
      <c r="A142" s="202"/>
      <c r="B142" s="158"/>
    </row>
    <row r="143" spans="1:2" ht="12.75" customHeight="1" x14ac:dyDescent="0.15">
      <c r="A143" s="202"/>
      <c r="B143" s="158"/>
    </row>
    <row r="144" spans="1:2" ht="12.75" customHeight="1" x14ac:dyDescent="0.15">
      <c r="A144" s="202"/>
      <c r="B144" s="158"/>
    </row>
    <row r="145" spans="1:2" ht="12.75" customHeight="1" x14ac:dyDescent="0.15">
      <c r="A145" s="202"/>
      <c r="B145" s="158"/>
    </row>
    <row r="146" spans="1:2" ht="12.75" customHeight="1" x14ac:dyDescent="0.15">
      <c r="A146" s="202"/>
      <c r="B146" s="158"/>
    </row>
    <row r="147" spans="1:2" ht="12.75" customHeight="1" x14ac:dyDescent="0.15">
      <c r="A147" s="202"/>
      <c r="B147" s="158"/>
    </row>
    <row r="148" spans="1:2" ht="12.75" customHeight="1" x14ac:dyDescent="0.15">
      <c r="A148" s="202"/>
      <c r="B148" s="158"/>
    </row>
    <row r="149" spans="1:2" ht="12.75" customHeight="1" x14ac:dyDescent="0.15">
      <c r="A149" s="202"/>
      <c r="B149" s="158"/>
    </row>
    <row r="150" spans="1:2" ht="12.75" customHeight="1" x14ac:dyDescent="0.15">
      <c r="A150" s="202"/>
      <c r="B150" s="158"/>
    </row>
    <row r="151" spans="1:2" ht="12.75" customHeight="1" x14ac:dyDescent="0.15">
      <c r="A151" s="202"/>
      <c r="B151" s="158"/>
    </row>
  </sheetData>
  <mergeCells count="23">
    <mergeCell ref="B61:D61"/>
    <mergeCell ref="K2:L2"/>
    <mergeCell ref="N2:O2"/>
    <mergeCell ref="A4:R4"/>
    <mergeCell ref="A5:R5"/>
    <mergeCell ref="B8:D9"/>
    <mergeCell ref="E8:P8"/>
    <mergeCell ref="R8:R9"/>
    <mergeCell ref="B10:D10"/>
    <mergeCell ref="B25:D25"/>
    <mergeCell ref="B33:D33"/>
    <mergeCell ref="B35:D35"/>
    <mergeCell ref="B37:D37"/>
    <mergeCell ref="B91:D91"/>
    <mergeCell ref="B94:D94"/>
    <mergeCell ref="B97:D97"/>
    <mergeCell ref="K103:L103"/>
    <mergeCell ref="B62:D62"/>
    <mergeCell ref="B64:D64"/>
    <mergeCell ref="B70:D70"/>
    <mergeCell ref="B73:D73"/>
    <mergeCell ref="B81:D81"/>
    <mergeCell ref="B83:D83"/>
  </mergeCells>
  <pageMargins left="0.82677165354330717" right="1.1023622047244095" top="0.55118110236220474" bottom="0.74803149606299213" header="0.31496062992125984" footer="0.31496062992125984"/>
  <pageSetup paperSize="5" scale="90" orientation="landscape" horizontalDpi="4294967293" verticalDpi="300" r:id="rId1"/>
  <rowBreaks count="1" manualBreakCount="1">
    <brk id="38" max="20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762C-773E-424C-B753-BE4FD6594147}">
  <sheetPr>
    <tabColor rgb="FFFF0000"/>
  </sheetPr>
  <dimension ref="A1:U137"/>
  <sheetViews>
    <sheetView showGridLines="0" showWhiteSpace="0" view="pageBreakPreview" zoomScale="130" zoomScaleSheetLayoutView="130" zoomScalePageLayoutView="110" workbookViewId="0">
      <pane ySplit="10" topLeftCell="A11" activePane="bottomLeft" state="frozen"/>
      <selection activeCell="B1" sqref="B1"/>
      <selection pane="bottomLeft" activeCell="S27" sqref="S27"/>
    </sheetView>
  </sheetViews>
  <sheetFormatPr defaultColWidth="9.140625" defaultRowHeight="12.75" customHeight="1" x14ac:dyDescent="0.15"/>
  <cols>
    <col min="1" max="1" width="5.7109375" style="158" customWidth="1"/>
    <col min="2" max="2" width="2.85546875" style="203" customWidth="1"/>
    <col min="3" max="3" width="3.140625" style="158" customWidth="1"/>
    <col min="4" max="4" width="20.5703125" style="158" customWidth="1"/>
    <col min="5" max="11" width="9.28515625" style="158" customWidth="1"/>
    <col min="12" max="16" width="9.28515625" style="232" customWidth="1"/>
    <col min="17" max="17" width="11.5703125" style="232" bestFit="1" customWidth="1"/>
    <col min="18" max="18" width="12.140625" style="229" customWidth="1"/>
    <col min="19" max="19" width="12.42578125" style="158" customWidth="1"/>
    <col min="20" max="20" width="12" style="158" customWidth="1"/>
    <col min="21" max="21" width="10.85546875" style="158" customWidth="1"/>
    <col min="22" max="16384" width="9.140625" style="158"/>
  </cols>
  <sheetData>
    <row r="1" spans="1:20" s="150" customFormat="1" ht="12.75" customHeight="1" x14ac:dyDescent="0.2">
      <c r="A1" s="267" t="s">
        <v>11</v>
      </c>
      <c r="B1" s="268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</row>
    <row r="2" spans="1:20" s="150" customFormat="1" ht="12.75" customHeight="1" x14ac:dyDescent="0.2">
      <c r="A2" s="267" t="s">
        <v>29</v>
      </c>
      <c r="B2" s="268"/>
      <c r="C2" s="267"/>
      <c r="D2" s="267"/>
      <c r="E2" s="267"/>
      <c r="F2" s="267"/>
      <c r="G2" s="267"/>
      <c r="H2" s="267"/>
      <c r="I2" s="267"/>
      <c r="J2" s="267"/>
      <c r="K2" s="267"/>
      <c r="L2" s="532"/>
      <c r="M2" s="532"/>
      <c r="N2" s="267"/>
      <c r="O2" s="267"/>
      <c r="P2" s="267"/>
      <c r="Q2" s="154" t="s">
        <v>291</v>
      </c>
      <c r="R2" s="267"/>
    </row>
    <row r="3" spans="1:20" s="150" customFormat="1" ht="12.75" customHeight="1" x14ac:dyDescent="0.2">
      <c r="A3" s="267"/>
      <c r="B3" s="268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</row>
    <row r="4" spans="1:20" s="150" customFormat="1" ht="12.75" customHeight="1" x14ac:dyDescent="0.2">
      <c r="A4" s="558" t="s">
        <v>426</v>
      </c>
      <c r="B4" s="558"/>
      <c r="C4" s="558"/>
      <c r="D4" s="558"/>
      <c r="E4" s="558"/>
      <c r="F4" s="558"/>
      <c r="G4" s="558"/>
      <c r="H4" s="558"/>
      <c r="I4" s="558"/>
      <c r="J4" s="558"/>
      <c r="K4" s="558"/>
      <c r="L4" s="558"/>
      <c r="M4" s="558"/>
      <c r="N4" s="558"/>
      <c r="O4" s="558"/>
      <c r="P4" s="558"/>
      <c r="Q4" s="558"/>
      <c r="R4" s="558"/>
    </row>
    <row r="5" spans="1:20" s="150" customFormat="1" ht="12.75" customHeight="1" x14ac:dyDescent="0.2">
      <c r="A5" s="558" t="s">
        <v>464</v>
      </c>
      <c r="B5" s="558"/>
      <c r="C5" s="558"/>
      <c r="D5" s="558"/>
      <c r="E5" s="558"/>
      <c r="F5" s="558"/>
      <c r="G5" s="558"/>
      <c r="H5" s="558"/>
      <c r="I5" s="558"/>
      <c r="J5" s="558"/>
      <c r="K5" s="558"/>
      <c r="L5" s="558"/>
      <c r="M5" s="558"/>
      <c r="N5" s="558"/>
      <c r="O5" s="558"/>
      <c r="P5" s="558"/>
      <c r="Q5" s="558"/>
      <c r="R5" s="558"/>
    </row>
    <row r="6" spans="1:20" s="150" customFormat="1" ht="9" customHeight="1" x14ac:dyDescent="0.2">
      <c r="A6" s="248"/>
      <c r="B6" s="268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77"/>
      <c r="N6" s="248"/>
      <c r="O6" s="248"/>
      <c r="P6" s="248"/>
      <c r="Q6" s="248"/>
      <c r="R6" s="267"/>
    </row>
    <row r="7" spans="1:20" s="150" customFormat="1" ht="12.75" customHeight="1" thickBot="1" x14ac:dyDescent="0.3">
      <c r="A7" s="269" t="s">
        <v>5</v>
      </c>
      <c r="B7" s="268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78"/>
      <c r="P7" s="278"/>
      <c r="Q7" s="278"/>
      <c r="R7" s="267"/>
    </row>
    <row r="8" spans="1:20" ht="15.75" customHeight="1" thickTop="1" x14ac:dyDescent="0.15">
      <c r="A8" s="157" t="s">
        <v>199</v>
      </c>
      <c r="B8" s="536" t="s">
        <v>10</v>
      </c>
      <c r="C8" s="536"/>
      <c r="D8" s="536"/>
      <c r="E8" s="557" t="s">
        <v>200</v>
      </c>
      <c r="F8" s="557"/>
      <c r="G8" s="557"/>
      <c r="H8" s="557"/>
      <c r="I8" s="557"/>
      <c r="J8" s="557"/>
      <c r="K8" s="557"/>
      <c r="L8" s="557"/>
      <c r="M8" s="557"/>
      <c r="N8" s="557"/>
      <c r="O8" s="557"/>
      <c r="P8" s="557"/>
      <c r="Q8" s="249" t="s">
        <v>4</v>
      </c>
      <c r="R8" s="209" t="s">
        <v>292</v>
      </c>
      <c r="S8" s="292" t="s">
        <v>434</v>
      </c>
      <c r="T8" s="292" t="s">
        <v>447</v>
      </c>
    </row>
    <row r="9" spans="1:20" ht="15.75" customHeight="1" x14ac:dyDescent="0.15">
      <c r="A9" s="159" t="s">
        <v>202</v>
      </c>
      <c r="B9" s="537"/>
      <c r="C9" s="537"/>
      <c r="D9" s="537"/>
      <c r="E9" s="250">
        <v>1</v>
      </c>
      <c r="F9" s="250">
        <v>2</v>
      </c>
      <c r="G9" s="250">
        <v>3</v>
      </c>
      <c r="H9" s="250">
        <v>4</v>
      </c>
      <c r="I9" s="250">
        <v>5</v>
      </c>
      <c r="J9" s="250">
        <v>6</v>
      </c>
      <c r="K9" s="250">
        <v>7</v>
      </c>
      <c r="L9" s="250">
        <v>8</v>
      </c>
      <c r="M9" s="250">
        <v>9</v>
      </c>
      <c r="N9" s="250">
        <v>10</v>
      </c>
      <c r="O9" s="250">
        <v>11</v>
      </c>
      <c r="P9" s="250">
        <v>12</v>
      </c>
      <c r="Q9" s="160">
        <v>2023</v>
      </c>
      <c r="R9" s="210" t="s">
        <v>293</v>
      </c>
      <c r="S9" s="293">
        <v>2023</v>
      </c>
      <c r="T9" s="293">
        <v>2023</v>
      </c>
    </row>
    <row r="10" spans="1:20" ht="15.75" customHeight="1" x14ac:dyDescent="0.15">
      <c r="A10" s="161">
        <v>1</v>
      </c>
      <c r="B10" s="538">
        <v>2</v>
      </c>
      <c r="C10" s="538"/>
      <c r="D10" s="538"/>
      <c r="E10" s="251">
        <v>3</v>
      </c>
      <c r="F10" s="251">
        <v>4</v>
      </c>
      <c r="G10" s="251">
        <v>5</v>
      </c>
      <c r="H10" s="251">
        <v>6</v>
      </c>
      <c r="I10" s="251">
        <v>7</v>
      </c>
      <c r="J10" s="251">
        <v>8</v>
      </c>
      <c r="K10" s="251">
        <v>9</v>
      </c>
      <c r="L10" s="251">
        <v>10</v>
      </c>
      <c r="M10" s="251">
        <v>11</v>
      </c>
      <c r="N10" s="251">
        <v>12</v>
      </c>
      <c r="O10" s="251">
        <v>13</v>
      </c>
      <c r="P10" s="251">
        <v>14</v>
      </c>
      <c r="Q10" s="251">
        <v>15</v>
      </c>
      <c r="R10" s="162">
        <v>16</v>
      </c>
      <c r="S10" s="294">
        <v>17</v>
      </c>
      <c r="T10" s="294">
        <v>17</v>
      </c>
    </row>
    <row r="11" spans="1:20" ht="15.75" customHeight="1" x14ac:dyDescent="0.15">
      <c r="A11" s="163" t="s">
        <v>294</v>
      </c>
      <c r="B11" s="164" t="s">
        <v>295</v>
      </c>
      <c r="C11" s="165"/>
      <c r="D11" s="166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211"/>
      <c r="S11" s="295"/>
      <c r="T11" s="289"/>
    </row>
    <row r="12" spans="1:20" ht="15.75" customHeight="1" x14ac:dyDescent="0.15">
      <c r="A12" s="170" t="s">
        <v>296</v>
      </c>
      <c r="B12" s="242" t="s">
        <v>297</v>
      </c>
      <c r="C12" s="171"/>
      <c r="D12" s="172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211"/>
      <c r="S12" s="296"/>
      <c r="T12" s="290"/>
    </row>
    <row r="13" spans="1:20" ht="15.75" customHeight="1" x14ac:dyDescent="0.15">
      <c r="A13" s="170"/>
      <c r="B13" s="242" t="s">
        <v>427</v>
      </c>
      <c r="C13" s="171"/>
      <c r="D13" s="172"/>
      <c r="E13" s="168">
        <v>17550000</v>
      </c>
      <c r="F13" s="168">
        <v>17550000</v>
      </c>
      <c r="G13" s="168">
        <v>17550000</v>
      </c>
      <c r="H13" s="168">
        <v>17550000</v>
      </c>
      <c r="I13" s="168">
        <v>17550000</v>
      </c>
      <c r="J13" s="168">
        <v>17550000</v>
      </c>
      <c r="K13" s="168">
        <v>17550000</v>
      </c>
      <c r="L13" s="168">
        <v>17550000</v>
      </c>
      <c r="M13" s="168">
        <v>17550000</v>
      </c>
      <c r="N13" s="168">
        <v>17550000</v>
      </c>
      <c r="O13" s="168">
        <v>17550000</v>
      </c>
      <c r="P13" s="168">
        <v>17550000</v>
      </c>
      <c r="Q13" s="168">
        <f t="shared" ref="Q13:Q14" si="0">SUM(E13:P13)</f>
        <v>210600000</v>
      </c>
      <c r="R13" s="169"/>
      <c r="S13" s="296"/>
      <c r="T13" s="290"/>
    </row>
    <row r="14" spans="1:20" ht="15.75" customHeight="1" x14ac:dyDescent="0.15">
      <c r="A14" s="170"/>
      <c r="B14" s="242" t="s">
        <v>443</v>
      </c>
      <c r="C14" s="171"/>
      <c r="D14" s="172"/>
      <c r="E14" s="168">
        <f t="shared" ref="E14:P14" si="1">110000000-E13</f>
        <v>92450000</v>
      </c>
      <c r="F14" s="168">
        <f t="shared" si="1"/>
        <v>92450000</v>
      </c>
      <c r="G14" s="168">
        <f t="shared" si="1"/>
        <v>92450000</v>
      </c>
      <c r="H14" s="168">
        <f t="shared" si="1"/>
        <v>92450000</v>
      </c>
      <c r="I14" s="168">
        <f t="shared" si="1"/>
        <v>92450000</v>
      </c>
      <c r="J14" s="168">
        <f t="shared" si="1"/>
        <v>92450000</v>
      </c>
      <c r="K14" s="168">
        <f t="shared" si="1"/>
        <v>92450000</v>
      </c>
      <c r="L14" s="168">
        <f t="shared" si="1"/>
        <v>92450000</v>
      </c>
      <c r="M14" s="168">
        <f t="shared" si="1"/>
        <v>92450000</v>
      </c>
      <c r="N14" s="168">
        <f t="shared" si="1"/>
        <v>92450000</v>
      </c>
      <c r="O14" s="168">
        <f t="shared" si="1"/>
        <v>92450000</v>
      </c>
      <c r="P14" s="168">
        <f t="shared" si="1"/>
        <v>92450000</v>
      </c>
      <c r="Q14" s="168">
        <f t="shared" si="0"/>
        <v>1109400000</v>
      </c>
      <c r="R14" s="169"/>
      <c r="S14" s="297"/>
      <c r="T14" s="290"/>
    </row>
    <row r="15" spans="1:20" ht="15.75" customHeight="1" x14ac:dyDescent="0.15">
      <c r="A15" s="179"/>
      <c r="B15" s="545" t="s">
        <v>428</v>
      </c>
      <c r="C15" s="546"/>
      <c r="D15" s="547"/>
      <c r="E15" s="212">
        <f t="shared" ref="E15:Q15" si="2">SUM(E13:E14)</f>
        <v>110000000</v>
      </c>
      <c r="F15" s="212">
        <f t="shared" si="2"/>
        <v>110000000</v>
      </c>
      <c r="G15" s="212">
        <f t="shared" si="2"/>
        <v>110000000</v>
      </c>
      <c r="H15" s="212">
        <f t="shared" si="2"/>
        <v>110000000</v>
      </c>
      <c r="I15" s="212">
        <f t="shared" si="2"/>
        <v>110000000</v>
      </c>
      <c r="J15" s="212">
        <f t="shared" si="2"/>
        <v>110000000</v>
      </c>
      <c r="K15" s="212">
        <f t="shared" si="2"/>
        <v>110000000</v>
      </c>
      <c r="L15" s="212">
        <f t="shared" si="2"/>
        <v>110000000</v>
      </c>
      <c r="M15" s="212">
        <f t="shared" si="2"/>
        <v>110000000</v>
      </c>
      <c r="N15" s="212">
        <f t="shared" si="2"/>
        <v>110000000</v>
      </c>
      <c r="O15" s="212">
        <f t="shared" si="2"/>
        <v>110000000</v>
      </c>
      <c r="P15" s="212">
        <f t="shared" si="2"/>
        <v>110000000</v>
      </c>
      <c r="Q15" s="212">
        <f t="shared" si="2"/>
        <v>1320000000</v>
      </c>
      <c r="R15" s="265" t="s">
        <v>208</v>
      </c>
      <c r="S15" s="298" t="e">
        <f>'RINCIAN B. TDK LANGSUNG'!#REF!</f>
        <v>#REF!</v>
      </c>
      <c r="T15" s="298" t="e">
        <f>Q15-S15</f>
        <v>#REF!</v>
      </c>
    </row>
    <row r="16" spans="1:20" ht="15.75" customHeight="1" x14ac:dyDescent="0.15">
      <c r="A16" s="170" t="s">
        <v>300</v>
      </c>
      <c r="B16" s="242" t="s">
        <v>301</v>
      </c>
      <c r="C16" s="171"/>
      <c r="D16" s="172"/>
      <c r="E16" s="168">
        <v>20000000</v>
      </c>
      <c r="F16" s="168">
        <v>20000000</v>
      </c>
      <c r="G16" s="168">
        <v>20000000</v>
      </c>
      <c r="H16" s="168">
        <v>20000000</v>
      </c>
      <c r="I16" s="168">
        <v>20000000</v>
      </c>
      <c r="J16" s="168">
        <v>20000000</v>
      </c>
      <c r="K16" s="168">
        <v>20000000</v>
      </c>
      <c r="L16" s="168">
        <v>20000000</v>
      </c>
      <c r="M16" s="168">
        <v>20000000</v>
      </c>
      <c r="N16" s="168">
        <v>20000000</v>
      </c>
      <c r="O16" s="168">
        <v>20000000</v>
      </c>
      <c r="P16" s="168">
        <v>20000000</v>
      </c>
      <c r="Q16" s="168">
        <f t="shared" ref="Q16:Q63" si="3">SUM(E16:P16)</f>
        <v>240000000</v>
      </c>
      <c r="R16" s="169"/>
      <c r="S16" s="297" t="e">
        <f>'RINCIAN B. TDK LANGSUNG'!#REF!</f>
        <v>#REF!</v>
      </c>
      <c r="T16" s="291" t="e">
        <f>Q16-S16</f>
        <v>#REF!</v>
      </c>
    </row>
    <row r="17" spans="1:21" ht="15.75" customHeight="1" x14ac:dyDescent="0.15">
      <c r="A17" s="170" t="s">
        <v>429</v>
      </c>
      <c r="B17" s="242" t="s">
        <v>466</v>
      </c>
      <c r="C17" s="171"/>
      <c r="D17" s="172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302">
        <f>SUM(Q18:Q20)</f>
        <v>452800320</v>
      </c>
      <c r="R17" s="169"/>
      <c r="S17" s="297" t="e">
        <f>'RINCIAN B. TDK LANGSUNG'!#REF!</f>
        <v>#REF!</v>
      </c>
      <c r="T17" s="291" t="e">
        <f>Q17-S17</f>
        <v>#REF!</v>
      </c>
    </row>
    <row r="18" spans="1:21" ht="15.75" customHeight="1" x14ac:dyDescent="0.15">
      <c r="A18" s="170"/>
      <c r="B18" s="242" t="s">
        <v>467</v>
      </c>
      <c r="C18" s="171"/>
      <c r="D18" s="172"/>
      <c r="E18" s="168">
        <v>27500000</v>
      </c>
      <c r="F18" s="168">
        <v>27500000</v>
      </c>
      <c r="G18" s="168">
        <v>27500000</v>
      </c>
      <c r="H18" s="168">
        <v>27500000</v>
      </c>
      <c r="I18" s="168">
        <v>27500000</v>
      </c>
      <c r="J18" s="168">
        <v>27500000</v>
      </c>
      <c r="K18" s="168">
        <v>27500000</v>
      </c>
      <c r="L18" s="168">
        <v>27500000</v>
      </c>
      <c r="M18" s="168">
        <v>27500000</v>
      </c>
      <c r="N18" s="168">
        <v>27500000</v>
      </c>
      <c r="O18" s="168">
        <v>27500000</v>
      </c>
      <c r="P18" s="168">
        <v>27500000</v>
      </c>
      <c r="Q18" s="302">
        <f t="shared" si="3"/>
        <v>330000000</v>
      </c>
      <c r="R18" s="169"/>
      <c r="S18" s="296"/>
      <c r="T18" s="290"/>
    </row>
    <row r="19" spans="1:21" ht="15.75" customHeight="1" x14ac:dyDescent="0.15">
      <c r="A19" s="170"/>
      <c r="B19" s="242" t="s">
        <v>468</v>
      </c>
      <c r="C19" s="171"/>
      <c r="D19" s="172"/>
      <c r="E19" s="168"/>
      <c r="F19" s="168">
        <f>7000000+(4*3000000)</f>
        <v>19000000</v>
      </c>
      <c r="G19" s="168"/>
      <c r="H19" s="168">
        <f>3000000+11000000</f>
        <v>14000000</v>
      </c>
      <c r="I19" s="168">
        <v>3000000</v>
      </c>
      <c r="J19" s="168">
        <v>6000000</v>
      </c>
      <c r="K19" s="168"/>
      <c r="L19" s="168">
        <v>6000000</v>
      </c>
      <c r="M19" s="168"/>
      <c r="N19" s="168">
        <v>6000000</v>
      </c>
      <c r="O19" s="168">
        <v>3000000</v>
      </c>
      <c r="P19" s="168">
        <v>12000000</v>
      </c>
      <c r="Q19" s="302">
        <f t="shared" si="3"/>
        <v>69000000</v>
      </c>
      <c r="R19" s="169"/>
      <c r="S19" s="296"/>
      <c r="T19" s="290"/>
    </row>
    <row r="20" spans="1:21" ht="15.75" customHeight="1" x14ac:dyDescent="0.15">
      <c r="A20" s="170"/>
      <c r="B20" s="242" t="s">
        <v>469</v>
      </c>
      <c r="C20" s="171"/>
      <c r="D20" s="172"/>
      <c r="E20" s="168">
        <v>36250320</v>
      </c>
      <c r="F20" s="168"/>
      <c r="G20" s="168"/>
      <c r="H20" s="168"/>
      <c r="I20" s="168">
        <v>17550000</v>
      </c>
      <c r="J20" s="168"/>
      <c r="K20" s="168"/>
      <c r="L20" s="168"/>
      <c r="M20" s="168"/>
      <c r="N20" s="168"/>
      <c r="O20" s="168"/>
      <c r="P20" s="194"/>
      <c r="Q20" s="302">
        <f t="shared" si="3"/>
        <v>53800320</v>
      </c>
      <c r="R20" s="169"/>
      <c r="S20" s="296"/>
      <c r="T20" s="290"/>
    </row>
    <row r="21" spans="1:21" ht="15.75" customHeight="1" x14ac:dyDescent="0.15">
      <c r="A21" s="170"/>
      <c r="B21" s="242" t="s">
        <v>470</v>
      </c>
      <c r="C21" s="171"/>
      <c r="D21" s="172"/>
      <c r="E21" s="168"/>
      <c r="F21" s="168"/>
      <c r="G21" s="168"/>
      <c r="H21" s="168">
        <f>H15+'[7]P-10. Biaya Operasi'!H79+'[7]P-10. Biaya Operasi'!H44</f>
        <v>193500000</v>
      </c>
      <c r="I21" s="168"/>
      <c r="J21" s="168"/>
      <c r="K21" s="168"/>
      <c r="L21" s="168"/>
      <c r="M21" s="168"/>
      <c r="N21" s="168"/>
      <c r="O21" s="168"/>
      <c r="P21" s="194"/>
      <c r="Q21" s="168">
        <f t="shared" si="3"/>
        <v>193500000</v>
      </c>
      <c r="R21" s="169"/>
      <c r="S21" s="297" t="e">
        <f>'RINCIAN B. TDK LANGSUNG'!#REF!</f>
        <v>#REF!</v>
      </c>
      <c r="T21" s="291" t="e">
        <f>Q21-S21</f>
        <v>#REF!</v>
      </c>
    </row>
    <row r="22" spans="1:21" ht="15.75" customHeight="1" x14ac:dyDescent="0.15">
      <c r="A22" s="170"/>
      <c r="B22" s="242" t="s">
        <v>471</v>
      </c>
      <c r="C22" s="171"/>
      <c r="D22" s="172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279">
        <v>120000000</v>
      </c>
      <c r="Q22" s="168">
        <f t="shared" si="3"/>
        <v>120000000</v>
      </c>
      <c r="R22" s="169"/>
      <c r="S22" s="297" t="e">
        <f>'RINCIAN B. TDK LANGSUNG'!#REF!</f>
        <v>#REF!</v>
      </c>
      <c r="T22" s="291" t="e">
        <f t="shared" ref="T22:T27" si="4">Q22-S22</f>
        <v>#REF!</v>
      </c>
    </row>
    <row r="23" spans="1:21" ht="15.75" customHeight="1" x14ac:dyDescent="0.15">
      <c r="A23" s="170" t="s">
        <v>412</v>
      </c>
      <c r="B23" s="242" t="s">
        <v>430</v>
      </c>
      <c r="C23" s="171"/>
      <c r="D23" s="172"/>
      <c r="E23" s="168">
        <f>(500000*47)</f>
        <v>23500000</v>
      </c>
      <c r="F23" s="168"/>
      <c r="G23" s="168">
        <f>(600000*47)</f>
        <v>28200000</v>
      </c>
      <c r="H23" s="168"/>
      <c r="I23" s="168"/>
      <c r="J23" s="168"/>
      <c r="K23" s="168"/>
      <c r="L23" s="168"/>
      <c r="M23" s="168"/>
      <c r="N23" s="168"/>
      <c r="O23" s="168"/>
      <c r="P23" s="168"/>
      <c r="Q23" s="168">
        <f t="shared" si="3"/>
        <v>51700000</v>
      </c>
      <c r="R23" s="169"/>
      <c r="S23" s="297">
        <f>'RINCIAN B. TDK LANGSUNG'!Q23</f>
        <v>0</v>
      </c>
      <c r="T23" s="291">
        <f t="shared" si="4"/>
        <v>51700000</v>
      </c>
    </row>
    <row r="24" spans="1:21" ht="15.75" customHeight="1" x14ac:dyDescent="0.15">
      <c r="A24" s="170" t="s">
        <v>303</v>
      </c>
      <c r="B24" s="242" t="s">
        <v>304</v>
      </c>
      <c r="C24" s="171"/>
      <c r="D24" s="172"/>
      <c r="E24" s="168">
        <v>250000</v>
      </c>
      <c r="F24" s="168">
        <v>250000</v>
      </c>
      <c r="G24" s="168">
        <v>250000</v>
      </c>
      <c r="H24" s="168">
        <v>250000</v>
      </c>
      <c r="I24" s="168">
        <v>250000</v>
      </c>
      <c r="J24" s="168">
        <v>250000</v>
      </c>
      <c r="K24" s="168">
        <v>250000</v>
      </c>
      <c r="L24" s="168">
        <v>250000</v>
      </c>
      <c r="M24" s="168">
        <v>250000</v>
      </c>
      <c r="N24" s="168">
        <v>250000</v>
      </c>
      <c r="O24" s="168">
        <v>250000</v>
      </c>
      <c r="P24" s="168">
        <v>250000</v>
      </c>
      <c r="Q24" s="168">
        <f t="shared" si="3"/>
        <v>3000000</v>
      </c>
      <c r="R24" s="169"/>
      <c r="S24" s="297">
        <f>'RINCIAN B. TDK LANGSUNG'!Q24</f>
        <v>0</v>
      </c>
      <c r="T24" s="291">
        <f t="shared" si="4"/>
        <v>3000000</v>
      </c>
    </row>
    <row r="25" spans="1:21" ht="15.75" customHeight="1" x14ac:dyDescent="0.15">
      <c r="A25" s="170" t="s">
        <v>305</v>
      </c>
      <c r="B25" s="242" t="s">
        <v>306</v>
      </c>
      <c r="C25" s="171"/>
      <c r="D25" s="172"/>
      <c r="E25" s="168">
        <v>10000000</v>
      </c>
      <c r="F25" s="168">
        <v>12500000</v>
      </c>
      <c r="G25" s="168">
        <v>10000000</v>
      </c>
      <c r="H25" s="168">
        <v>10000000</v>
      </c>
      <c r="I25" s="168">
        <v>12500000</v>
      </c>
      <c r="J25" s="168">
        <v>12500000</v>
      </c>
      <c r="K25" s="168">
        <v>15000000</v>
      </c>
      <c r="L25" s="168">
        <v>15000000</v>
      </c>
      <c r="M25" s="168">
        <v>15000000</v>
      </c>
      <c r="N25" s="168">
        <v>15000000</v>
      </c>
      <c r="O25" s="168">
        <v>15000000</v>
      </c>
      <c r="P25" s="168">
        <v>12500000</v>
      </c>
      <c r="Q25" s="168">
        <f t="shared" si="3"/>
        <v>155000000</v>
      </c>
      <c r="R25" s="169"/>
      <c r="S25" s="297">
        <f>'RINCIAN B. TDK LANGSUNG'!Q25</f>
        <v>0</v>
      </c>
      <c r="T25" s="291">
        <f t="shared" si="4"/>
        <v>155000000</v>
      </c>
    </row>
    <row r="26" spans="1:21" ht="15.75" customHeight="1" x14ac:dyDescent="0.15">
      <c r="A26" s="170" t="s">
        <v>307</v>
      </c>
      <c r="B26" s="242" t="s">
        <v>308</v>
      </c>
      <c r="C26" s="171"/>
      <c r="D26" s="172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>
        <f t="shared" si="3"/>
        <v>0</v>
      </c>
      <c r="R26" s="169"/>
      <c r="S26" s="296"/>
      <c r="T26" s="291">
        <f t="shared" si="4"/>
        <v>0</v>
      </c>
    </row>
    <row r="27" spans="1:21" ht="15.75" customHeight="1" x14ac:dyDescent="0.15">
      <c r="A27" s="170"/>
      <c r="B27" s="242" t="s">
        <v>472</v>
      </c>
      <c r="C27" s="192"/>
      <c r="D27" s="193"/>
      <c r="E27" s="168">
        <v>7500000</v>
      </c>
      <c r="F27" s="168">
        <v>2500000</v>
      </c>
      <c r="G27" s="168">
        <v>2500000</v>
      </c>
      <c r="H27" s="168">
        <v>2500000</v>
      </c>
      <c r="I27" s="168">
        <v>5000000</v>
      </c>
      <c r="J27" s="168">
        <v>2500000</v>
      </c>
      <c r="K27" s="168">
        <v>2500000</v>
      </c>
      <c r="L27" s="168">
        <v>2500000</v>
      </c>
      <c r="M27" s="168">
        <v>2500000</v>
      </c>
      <c r="N27" s="168">
        <v>2500000</v>
      </c>
      <c r="O27" s="168">
        <v>2500000</v>
      </c>
      <c r="P27" s="168">
        <v>2500000</v>
      </c>
      <c r="Q27" s="168">
        <f t="shared" si="3"/>
        <v>37500000</v>
      </c>
      <c r="R27" s="169"/>
      <c r="S27" s="297">
        <f>'RINCIAN B. TDK LANGSUNG'!Q28</f>
        <v>0</v>
      </c>
      <c r="T27" s="291">
        <f t="shared" si="4"/>
        <v>37500000</v>
      </c>
    </row>
    <row r="28" spans="1:21" ht="15.75" customHeight="1" x14ac:dyDescent="0.15">
      <c r="A28" s="179"/>
      <c r="B28" s="545" t="s">
        <v>310</v>
      </c>
      <c r="C28" s="546"/>
      <c r="D28" s="547"/>
      <c r="E28" s="212">
        <f t="shared" ref="E28:P28" si="5">SUM(E15:E27)</f>
        <v>235000320</v>
      </c>
      <c r="F28" s="212">
        <f t="shared" si="5"/>
        <v>191750000</v>
      </c>
      <c r="G28" s="212">
        <f t="shared" si="5"/>
        <v>198450000</v>
      </c>
      <c r="H28" s="212">
        <f t="shared" si="5"/>
        <v>377750000</v>
      </c>
      <c r="I28" s="212">
        <f t="shared" si="5"/>
        <v>195800000</v>
      </c>
      <c r="J28" s="212">
        <f t="shared" si="5"/>
        <v>178750000</v>
      </c>
      <c r="K28" s="212">
        <f t="shared" si="5"/>
        <v>175250000</v>
      </c>
      <c r="L28" s="212">
        <f t="shared" si="5"/>
        <v>181250000</v>
      </c>
      <c r="M28" s="212">
        <f t="shared" si="5"/>
        <v>175250000</v>
      </c>
      <c r="N28" s="212">
        <f t="shared" si="5"/>
        <v>181250000</v>
      </c>
      <c r="O28" s="212">
        <f t="shared" si="5"/>
        <v>178250000</v>
      </c>
      <c r="P28" s="212">
        <f t="shared" si="5"/>
        <v>304750000</v>
      </c>
      <c r="Q28" s="180">
        <f>SUM(E28:P28)</f>
        <v>2573500320</v>
      </c>
      <c r="R28" s="265" t="s">
        <v>208</v>
      </c>
      <c r="S28" s="298" t="e">
        <f>SUM(S15:S27)</f>
        <v>#REF!</v>
      </c>
      <c r="T28" s="298" t="e">
        <f>SUM(T15:T27)</f>
        <v>#REF!</v>
      </c>
      <c r="U28" s="178"/>
    </row>
    <row r="29" spans="1:21" ht="15.75" customHeight="1" x14ac:dyDescent="0.15">
      <c r="A29" s="170" t="s">
        <v>311</v>
      </c>
      <c r="B29" s="198" t="s">
        <v>312</v>
      </c>
      <c r="C29" s="171"/>
      <c r="D29" s="172"/>
      <c r="E29" s="213"/>
      <c r="F29" s="213"/>
      <c r="G29" s="213"/>
      <c r="H29" s="213"/>
      <c r="I29" s="213"/>
      <c r="J29" s="213"/>
      <c r="K29" s="213"/>
      <c r="L29" s="168"/>
      <c r="M29" s="168"/>
      <c r="N29" s="168"/>
      <c r="O29" s="168"/>
      <c r="P29" s="168"/>
      <c r="Q29" s="168"/>
      <c r="R29" s="211"/>
      <c r="S29" s="296"/>
      <c r="T29" s="290"/>
    </row>
    <row r="30" spans="1:21" ht="15.75" customHeight="1" x14ac:dyDescent="0.15">
      <c r="A30" s="170" t="s">
        <v>313</v>
      </c>
      <c r="B30" s="551" t="s">
        <v>314</v>
      </c>
      <c r="C30" s="552"/>
      <c r="D30" s="553"/>
      <c r="E30" s="168">
        <v>2200000</v>
      </c>
      <c r="F30" s="168">
        <v>2200000</v>
      </c>
      <c r="G30" s="168">
        <v>2200000</v>
      </c>
      <c r="H30" s="168">
        <v>2200000</v>
      </c>
      <c r="I30" s="168">
        <v>2200000</v>
      </c>
      <c r="J30" s="168">
        <v>2200000</v>
      </c>
      <c r="K30" s="168">
        <v>2200000</v>
      </c>
      <c r="L30" s="168">
        <v>2200000</v>
      </c>
      <c r="M30" s="168">
        <v>2200000</v>
      </c>
      <c r="N30" s="168">
        <v>2200000</v>
      </c>
      <c r="O30" s="168">
        <v>2200000</v>
      </c>
      <c r="P30" s="168">
        <v>2200000</v>
      </c>
      <c r="Q30" s="168">
        <f t="shared" si="3"/>
        <v>26400000</v>
      </c>
      <c r="R30" s="169"/>
      <c r="S30" s="297">
        <f>'RINCIAN B. TDK LANGSUNG'!Q31</f>
        <v>0</v>
      </c>
      <c r="T30" s="291">
        <f>Q30-S30</f>
        <v>26400000</v>
      </c>
    </row>
    <row r="31" spans="1:21" ht="15.75" customHeight="1" x14ac:dyDescent="0.15">
      <c r="A31" s="170" t="s">
        <v>315</v>
      </c>
      <c r="B31" s="172" t="s">
        <v>316</v>
      </c>
      <c r="C31" s="171"/>
      <c r="D31" s="171"/>
      <c r="E31" s="213">
        <v>1500000</v>
      </c>
      <c r="F31" s="213"/>
      <c r="G31" s="213"/>
      <c r="H31" s="213"/>
      <c r="I31" s="213">
        <v>1500000</v>
      </c>
      <c r="J31" s="213"/>
      <c r="K31" s="213"/>
      <c r="L31" s="168"/>
      <c r="M31" s="168"/>
      <c r="N31" s="168">
        <v>1500000</v>
      </c>
      <c r="O31" s="168"/>
      <c r="P31" s="168"/>
      <c r="Q31" s="168">
        <f t="shared" si="3"/>
        <v>4500000</v>
      </c>
      <c r="R31" s="169"/>
      <c r="S31" s="297">
        <f>'RINCIAN B. TDK LANGSUNG'!Q32</f>
        <v>0</v>
      </c>
      <c r="T31" s="291">
        <f t="shared" ref="T31:T40" si="6">Q31-S31</f>
        <v>4500000</v>
      </c>
    </row>
    <row r="32" spans="1:21" ht="15.75" customHeight="1" x14ac:dyDescent="0.15">
      <c r="A32" s="170" t="s">
        <v>317</v>
      </c>
      <c r="B32" s="242" t="s">
        <v>162</v>
      </c>
      <c r="C32" s="171"/>
      <c r="D32" s="172"/>
      <c r="E32" s="213">
        <v>1500000</v>
      </c>
      <c r="F32" s="213">
        <v>500000</v>
      </c>
      <c r="G32" s="213">
        <v>500000</v>
      </c>
      <c r="H32" s="213">
        <v>500000</v>
      </c>
      <c r="I32" s="213">
        <v>500000</v>
      </c>
      <c r="J32" s="213">
        <v>1500000</v>
      </c>
      <c r="K32" s="213">
        <v>500000</v>
      </c>
      <c r="L32" s="213">
        <v>500000</v>
      </c>
      <c r="M32" s="213">
        <v>500000</v>
      </c>
      <c r="N32" s="213">
        <v>500000</v>
      </c>
      <c r="O32" s="213">
        <v>1500000</v>
      </c>
      <c r="P32" s="213">
        <v>500000</v>
      </c>
      <c r="Q32" s="168">
        <f t="shared" si="3"/>
        <v>9000000</v>
      </c>
      <c r="R32" s="169"/>
      <c r="S32" s="297">
        <f>'RINCIAN B. TDK LANGSUNG'!Q33</f>
        <v>0</v>
      </c>
      <c r="T32" s="291">
        <f t="shared" si="6"/>
        <v>9000000</v>
      </c>
    </row>
    <row r="33" spans="1:21" ht="15.75" customHeight="1" x14ac:dyDescent="0.15">
      <c r="A33" s="170" t="s">
        <v>318</v>
      </c>
      <c r="B33" s="242" t="s">
        <v>319</v>
      </c>
      <c r="C33" s="192"/>
      <c r="D33" s="193"/>
      <c r="E33" s="168">
        <v>100000</v>
      </c>
      <c r="F33" s="168">
        <v>100000</v>
      </c>
      <c r="G33" s="168">
        <v>100000</v>
      </c>
      <c r="H33" s="168">
        <v>100000</v>
      </c>
      <c r="I33" s="168">
        <v>100000</v>
      </c>
      <c r="J33" s="168">
        <v>100000</v>
      </c>
      <c r="K33" s="168">
        <v>100000</v>
      </c>
      <c r="L33" s="168">
        <v>100000</v>
      </c>
      <c r="M33" s="168">
        <v>100000</v>
      </c>
      <c r="N33" s="168">
        <v>100000</v>
      </c>
      <c r="O33" s="168">
        <v>100000</v>
      </c>
      <c r="P33" s="168">
        <v>100000</v>
      </c>
      <c r="Q33" s="168">
        <f t="shared" si="3"/>
        <v>1200000</v>
      </c>
      <c r="R33" s="169"/>
      <c r="S33" s="297">
        <f>'RINCIAN B. TDK LANGSUNG'!Q34</f>
        <v>0</v>
      </c>
      <c r="T33" s="291">
        <f t="shared" si="6"/>
        <v>1200000</v>
      </c>
    </row>
    <row r="34" spans="1:21" ht="15.75" customHeight="1" x14ac:dyDescent="0.15">
      <c r="A34" s="170" t="s">
        <v>321</v>
      </c>
      <c r="B34" s="242" t="s">
        <v>322</v>
      </c>
      <c r="C34" s="171"/>
      <c r="D34" s="172"/>
      <c r="E34" s="168">
        <v>4000000</v>
      </c>
      <c r="F34" s="168">
        <v>500000</v>
      </c>
      <c r="G34" s="168">
        <v>10000000</v>
      </c>
      <c r="H34" s="168">
        <v>4000000</v>
      </c>
      <c r="I34" s="168">
        <v>500000</v>
      </c>
      <c r="J34" s="168">
        <v>500000</v>
      </c>
      <c r="K34" s="168">
        <v>4000000</v>
      </c>
      <c r="L34" s="168">
        <v>500000</v>
      </c>
      <c r="M34" s="168">
        <v>500000</v>
      </c>
      <c r="N34" s="168">
        <v>4000000</v>
      </c>
      <c r="O34" s="168">
        <v>500000</v>
      </c>
      <c r="P34" s="168">
        <v>500000</v>
      </c>
      <c r="Q34" s="168">
        <f t="shared" si="3"/>
        <v>29500000</v>
      </c>
      <c r="R34" s="169"/>
      <c r="S34" s="297">
        <f>'RINCIAN B. TDK LANGSUNG'!Q37</f>
        <v>0</v>
      </c>
      <c r="T34" s="291">
        <f t="shared" si="6"/>
        <v>29500000</v>
      </c>
    </row>
    <row r="35" spans="1:21" ht="15.75" customHeight="1" x14ac:dyDescent="0.15">
      <c r="A35" s="170" t="s">
        <v>323</v>
      </c>
      <c r="B35" s="242" t="s">
        <v>324</v>
      </c>
      <c r="C35" s="171"/>
      <c r="D35" s="172"/>
      <c r="E35" s="168">
        <v>550000</v>
      </c>
      <c r="F35" s="168">
        <v>550000</v>
      </c>
      <c r="G35" s="168">
        <v>550000</v>
      </c>
      <c r="H35" s="168">
        <v>550000</v>
      </c>
      <c r="I35" s="168">
        <v>550000</v>
      </c>
      <c r="J35" s="168">
        <v>550000</v>
      </c>
      <c r="K35" s="168">
        <v>550000</v>
      </c>
      <c r="L35" s="168">
        <v>550000</v>
      </c>
      <c r="M35" s="168">
        <v>550000</v>
      </c>
      <c r="N35" s="168">
        <v>550000</v>
      </c>
      <c r="O35" s="168">
        <v>550000</v>
      </c>
      <c r="P35" s="168">
        <v>550000</v>
      </c>
      <c r="Q35" s="168">
        <f t="shared" si="3"/>
        <v>6600000</v>
      </c>
      <c r="R35" s="169"/>
      <c r="S35" s="297">
        <f>'RINCIAN B. TDK LANGSUNG'!Q38</f>
        <v>0</v>
      </c>
      <c r="T35" s="291">
        <f t="shared" si="6"/>
        <v>6600000</v>
      </c>
    </row>
    <row r="36" spans="1:21" ht="15.75" customHeight="1" x14ac:dyDescent="0.15">
      <c r="A36" s="170" t="s">
        <v>325</v>
      </c>
      <c r="B36" s="551" t="s">
        <v>326</v>
      </c>
      <c r="C36" s="552"/>
      <c r="D36" s="553"/>
      <c r="E36" s="168">
        <v>3500000</v>
      </c>
      <c r="F36" s="168">
        <v>3500000</v>
      </c>
      <c r="G36" s="168">
        <v>3500000</v>
      </c>
      <c r="H36" s="168">
        <v>3500000</v>
      </c>
      <c r="I36" s="168">
        <v>3500000</v>
      </c>
      <c r="J36" s="168">
        <v>3500000</v>
      </c>
      <c r="K36" s="168">
        <v>3500000</v>
      </c>
      <c r="L36" s="168">
        <v>3500000</v>
      </c>
      <c r="M36" s="168">
        <v>3500000</v>
      </c>
      <c r="N36" s="168">
        <v>3500000</v>
      </c>
      <c r="O36" s="168">
        <v>3500000</v>
      </c>
      <c r="P36" s="168">
        <v>3500000</v>
      </c>
      <c r="Q36" s="168">
        <f t="shared" si="3"/>
        <v>42000000</v>
      </c>
      <c r="R36" s="169"/>
      <c r="S36" s="297">
        <f>'RINCIAN B. TDK LANGSUNG'!Q39</f>
        <v>0</v>
      </c>
      <c r="T36" s="291">
        <f t="shared" si="6"/>
        <v>42000000</v>
      </c>
    </row>
    <row r="37" spans="1:21" ht="15.75" customHeight="1" x14ac:dyDescent="0.15">
      <c r="A37" s="217" t="s">
        <v>327</v>
      </c>
      <c r="B37" s="563" t="s">
        <v>328</v>
      </c>
      <c r="C37" s="564"/>
      <c r="D37" s="565"/>
      <c r="E37" s="221">
        <v>2300000</v>
      </c>
      <c r="F37" s="221">
        <v>2300000</v>
      </c>
      <c r="G37" s="221">
        <v>2300000</v>
      </c>
      <c r="H37" s="221">
        <v>2300000</v>
      </c>
      <c r="I37" s="221">
        <v>2300000</v>
      </c>
      <c r="J37" s="221">
        <v>2300000</v>
      </c>
      <c r="K37" s="221">
        <v>2300000</v>
      </c>
      <c r="L37" s="221">
        <v>2300000</v>
      </c>
      <c r="M37" s="221">
        <v>2300000</v>
      </c>
      <c r="N37" s="221">
        <v>2300000</v>
      </c>
      <c r="O37" s="221">
        <v>2300000</v>
      </c>
      <c r="P37" s="221">
        <v>2300000</v>
      </c>
      <c r="Q37" s="221">
        <f t="shared" si="3"/>
        <v>27600000</v>
      </c>
      <c r="R37" s="169"/>
      <c r="S37" s="297">
        <f>'RINCIAN B. TDK LANGSUNG'!Q40</f>
        <v>0</v>
      </c>
      <c r="T37" s="291">
        <f t="shared" si="6"/>
        <v>27600000</v>
      </c>
    </row>
    <row r="38" spans="1:21" ht="15.75" customHeight="1" x14ac:dyDescent="0.15">
      <c r="A38" s="190" t="s">
        <v>329</v>
      </c>
      <c r="B38" s="245" t="s">
        <v>330</v>
      </c>
      <c r="C38" s="165"/>
      <c r="D38" s="166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280"/>
      <c r="S38" s="296"/>
      <c r="T38" s="291">
        <f t="shared" si="6"/>
        <v>0</v>
      </c>
    </row>
    <row r="39" spans="1:21" ht="15.75" customHeight="1" x14ac:dyDescent="0.15">
      <c r="A39" s="197"/>
      <c r="B39" s="242" t="s">
        <v>332</v>
      </c>
      <c r="C39" s="171"/>
      <c r="D39" s="172"/>
      <c r="E39" s="168">
        <v>1800000</v>
      </c>
      <c r="F39" s="168">
        <v>1800000</v>
      </c>
      <c r="G39" s="168">
        <v>1800000</v>
      </c>
      <c r="H39" s="168">
        <v>1800000</v>
      </c>
      <c r="I39" s="168">
        <v>1800000</v>
      </c>
      <c r="J39" s="168">
        <v>1800000</v>
      </c>
      <c r="K39" s="168">
        <v>1800000</v>
      </c>
      <c r="L39" s="168">
        <v>1800000</v>
      </c>
      <c r="M39" s="168">
        <v>1800000</v>
      </c>
      <c r="N39" s="168">
        <v>1800000</v>
      </c>
      <c r="O39" s="168">
        <v>1800000</v>
      </c>
      <c r="P39" s="168">
        <v>1800000</v>
      </c>
      <c r="Q39" s="168">
        <f t="shared" si="3"/>
        <v>21600000</v>
      </c>
      <c r="R39" s="169"/>
      <c r="S39" s="297">
        <f>'RINCIAN B. TDK LANGSUNG'!Q42</f>
        <v>0</v>
      </c>
      <c r="T39" s="291">
        <f t="shared" si="6"/>
        <v>21600000</v>
      </c>
    </row>
    <row r="40" spans="1:21" ht="15.75" customHeight="1" x14ac:dyDescent="0.15">
      <c r="A40" s="197"/>
      <c r="B40" s="242" t="s">
        <v>333</v>
      </c>
      <c r="C40" s="171"/>
      <c r="D40" s="172"/>
      <c r="E40" s="168">
        <v>1000000</v>
      </c>
      <c r="F40" s="168">
        <v>1000000</v>
      </c>
      <c r="G40" s="168">
        <v>1000000</v>
      </c>
      <c r="H40" s="168">
        <v>1000000</v>
      </c>
      <c r="I40" s="168">
        <v>1000000</v>
      </c>
      <c r="J40" s="168">
        <v>1000000</v>
      </c>
      <c r="K40" s="168">
        <v>1000000</v>
      </c>
      <c r="L40" s="168">
        <v>1000000</v>
      </c>
      <c r="M40" s="168">
        <v>1000000</v>
      </c>
      <c r="N40" s="168">
        <v>1000000</v>
      </c>
      <c r="O40" s="168">
        <v>1000000</v>
      </c>
      <c r="P40" s="168">
        <v>1000000</v>
      </c>
      <c r="Q40" s="168">
        <f t="shared" si="3"/>
        <v>12000000</v>
      </c>
      <c r="R40" s="169"/>
      <c r="S40" s="297">
        <f>'RINCIAN B. TDK LANGSUNG'!Q43</f>
        <v>0</v>
      </c>
      <c r="T40" s="291">
        <f t="shared" si="6"/>
        <v>12000000</v>
      </c>
    </row>
    <row r="41" spans="1:21" ht="15.75" customHeight="1" x14ac:dyDescent="0.15">
      <c r="A41" s="161"/>
      <c r="B41" s="545" t="s">
        <v>334</v>
      </c>
      <c r="C41" s="546"/>
      <c r="D41" s="547"/>
      <c r="E41" s="214">
        <f>SUM(E30:E40)</f>
        <v>18450000</v>
      </c>
      <c r="F41" s="214">
        <f t="shared" ref="F41:P41" si="7">SUM(F30:F40)</f>
        <v>12450000</v>
      </c>
      <c r="G41" s="214">
        <f t="shared" si="7"/>
        <v>21950000</v>
      </c>
      <c r="H41" s="214">
        <f t="shared" si="7"/>
        <v>15950000</v>
      </c>
      <c r="I41" s="214">
        <f t="shared" si="7"/>
        <v>13950000</v>
      </c>
      <c r="J41" s="214">
        <f t="shared" si="7"/>
        <v>13450000</v>
      </c>
      <c r="K41" s="214">
        <f t="shared" si="7"/>
        <v>15950000</v>
      </c>
      <c r="L41" s="214">
        <f t="shared" si="7"/>
        <v>12450000</v>
      </c>
      <c r="M41" s="214">
        <f t="shared" si="7"/>
        <v>12450000</v>
      </c>
      <c r="N41" s="214">
        <f t="shared" si="7"/>
        <v>17450000</v>
      </c>
      <c r="O41" s="214">
        <f t="shared" si="7"/>
        <v>13450000</v>
      </c>
      <c r="P41" s="214">
        <f t="shared" si="7"/>
        <v>12450000</v>
      </c>
      <c r="Q41" s="212">
        <f>SUM(E41:P41)</f>
        <v>180400000</v>
      </c>
      <c r="R41" s="265" t="s">
        <v>320</v>
      </c>
      <c r="S41" s="298">
        <f>SUM(S30:S40)</f>
        <v>0</v>
      </c>
      <c r="T41" s="298">
        <f>SUM(T30:T40)</f>
        <v>180400000</v>
      </c>
      <c r="U41" s="178"/>
    </row>
    <row r="42" spans="1:21" ht="15.75" customHeight="1" x14ac:dyDescent="0.15">
      <c r="A42" s="170" t="s">
        <v>335</v>
      </c>
      <c r="B42" s="242" t="s">
        <v>336</v>
      </c>
      <c r="C42" s="171"/>
      <c r="D42" s="172"/>
      <c r="E42" s="213"/>
      <c r="F42" s="213"/>
      <c r="G42" s="213"/>
      <c r="H42" s="213"/>
      <c r="I42" s="213"/>
      <c r="J42" s="213"/>
      <c r="K42" s="213"/>
      <c r="L42" s="168"/>
      <c r="M42" s="168"/>
      <c r="N42" s="168"/>
      <c r="O42" s="168"/>
      <c r="P42" s="168"/>
      <c r="Q42" s="168">
        <f>SUM(E42:P42)</f>
        <v>0</v>
      </c>
      <c r="R42" s="169"/>
      <c r="S42" s="296"/>
      <c r="T42" s="290"/>
    </row>
    <row r="43" spans="1:21" ht="15.75" customHeight="1" x14ac:dyDescent="0.15">
      <c r="A43" s="170" t="s">
        <v>431</v>
      </c>
      <c r="B43" s="242" t="s">
        <v>432</v>
      </c>
      <c r="C43" s="171"/>
      <c r="D43" s="172"/>
      <c r="E43" s="213"/>
      <c r="F43" s="213"/>
      <c r="G43" s="213"/>
      <c r="H43" s="213"/>
      <c r="I43" s="213"/>
      <c r="J43" s="213"/>
      <c r="K43" s="213"/>
      <c r="L43" s="168"/>
      <c r="M43" s="168"/>
      <c r="N43" s="168"/>
      <c r="O43" s="168"/>
      <c r="P43" s="168"/>
      <c r="Q43" s="168">
        <f t="shared" si="3"/>
        <v>0</v>
      </c>
      <c r="R43" s="169"/>
      <c r="S43" s="297">
        <f>'RINCIAN B. TDK LANGSUNG'!Q46</f>
        <v>0</v>
      </c>
      <c r="T43" s="291">
        <f>Q43-S43</f>
        <v>0</v>
      </c>
    </row>
    <row r="44" spans="1:21" ht="15.75" customHeight="1" x14ac:dyDescent="0.15">
      <c r="A44" s="170" t="s">
        <v>338</v>
      </c>
      <c r="B44" s="242" t="s">
        <v>339</v>
      </c>
      <c r="C44" s="171"/>
      <c r="D44" s="172"/>
      <c r="E44" s="213">
        <v>2000000</v>
      </c>
      <c r="F44" s="213">
        <v>200000</v>
      </c>
      <c r="G44" s="213">
        <v>200000</v>
      </c>
      <c r="H44" s="213">
        <v>200000</v>
      </c>
      <c r="I44" s="213">
        <v>2000000</v>
      </c>
      <c r="J44" s="213">
        <v>200000</v>
      </c>
      <c r="K44" s="213">
        <v>2000000</v>
      </c>
      <c r="L44" s="213">
        <v>2000000</v>
      </c>
      <c r="M44" s="213">
        <v>200000</v>
      </c>
      <c r="N44" s="213">
        <v>200000</v>
      </c>
      <c r="O44" s="213">
        <v>200000</v>
      </c>
      <c r="P44" s="213">
        <v>1000000</v>
      </c>
      <c r="Q44" s="168">
        <f t="shared" si="3"/>
        <v>10400000</v>
      </c>
      <c r="R44" s="169"/>
      <c r="S44" s="297">
        <f>'RINCIAN B. TDK LANGSUNG'!Q47</f>
        <v>0</v>
      </c>
      <c r="T44" s="291">
        <f t="shared" ref="T44:T45" si="8">Q44-S44</f>
        <v>10400000</v>
      </c>
    </row>
    <row r="45" spans="1:21" ht="15.75" customHeight="1" x14ac:dyDescent="0.15">
      <c r="A45" s="170" t="s">
        <v>340</v>
      </c>
      <c r="B45" s="242" t="s">
        <v>341</v>
      </c>
      <c r="C45" s="171"/>
      <c r="D45" s="172"/>
      <c r="E45" s="168">
        <v>3000000</v>
      </c>
      <c r="F45" s="168">
        <v>200000</v>
      </c>
      <c r="G45" s="168">
        <v>200000</v>
      </c>
      <c r="H45" s="168">
        <v>200000</v>
      </c>
      <c r="I45" s="168">
        <v>3000000</v>
      </c>
      <c r="J45" s="168">
        <v>200000</v>
      </c>
      <c r="K45" s="168">
        <v>200000</v>
      </c>
      <c r="L45" s="168">
        <v>3000000</v>
      </c>
      <c r="M45" s="168">
        <v>200000</v>
      </c>
      <c r="N45" s="168">
        <v>200000</v>
      </c>
      <c r="O45" s="168">
        <v>3000000</v>
      </c>
      <c r="P45" s="168">
        <v>200000</v>
      </c>
      <c r="Q45" s="168">
        <f t="shared" si="3"/>
        <v>13600000</v>
      </c>
      <c r="R45" s="169"/>
      <c r="S45" s="297">
        <f>'RINCIAN B. TDK LANGSUNG'!Q48</f>
        <v>0</v>
      </c>
      <c r="T45" s="291">
        <f t="shared" si="8"/>
        <v>13600000</v>
      </c>
    </row>
    <row r="46" spans="1:21" ht="15.75" customHeight="1" x14ac:dyDescent="0.15">
      <c r="A46" s="161"/>
      <c r="B46" s="539" t="s">
        <v>342</v>
      </c>
      <c r="C46" s="540"/>
      <c r="D46" s="541"/>
      <c r="E46" s="214">
        <f>SUM(E43:E45)</f>
        <v>5000000</v>
      </c>
      <c r="F46" s="214">
        <f t="shared" ref="F46:P46" si="9">SUM(F43:F45)</f>
        <v>400000</v>
      </c>
      <c r="G46" s="214">
        <f t="shared" si="9"/>
        <v>400000</v>
      </c>
      <c r="H46" s="214">
        <f t="shared" si="9"/>
        <v>400000</v>
      </c>
      <c r="I46" s="214">
        <f t="shared" si="9"/>
        <v>5000000</v>
      </c>
      <c r="J46" s="214">
        <f t="shared" si="9"/>
        <v>400000</v>
      </c>
      <c r="K46" s="214">
        <f t="shared" si="9"/>
        <v>2200000</v>
      </c>
      <c r="L46" s="214">
        <f t="shared" si="9"/>
        <v>5000000</v>
      </c>
      <c r="M46" s="214">
        <f t="shared" si="9"/>
        <v>400000</v>
      </c>
      <c r="N46" s="214">
        <f t="shared" si="9"/>
        <v>400000</v>
      </c>
      <c r="O46" s="214">
        <f t="shared" si="9"/>
        <v>3200000</v>
      </c>
      <c r="P46" s="214">
        <f t="shared" si="9"/>
        <v>1200000</v>
      </c>
      <c r="Q46" s="212">
        <f t="shared" si="3"/>
        <v>24000000</v>
      </c>
      <c r="R46" s="265" t="s">
        <v>337</v>
      </c>
      <c r="S46" s="298">
        <f>SUM(S43:S45)</f>
        <v>0</v>
      </c>
      <c r="T46" s="298">
        <f>SUM(T43:T45)</f>
        <v>24000000</v>
      </c>
      <c r="U46" s="178"/>
    </row>
    <row r="47" spans="1:21" ht="15.75" customHeight="1" x14ac:dyDescent="0.15">
      <c r="A47" s="170" t="s">
        <v>343</v>
      </c>
      <c r="B47" s="551" t="s">
        <v>344</v>
      </c>
      <c r="C47" s="552"/>
      <c r="D47" s="553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9"/>
      <c r="S47" s="296"/>
      <c r="T47" s="290"/>
    </row>
    <row r="48" spans="1:21" ht="15.75" customHeight="1" x14ac:dyDescent="0.15">
      <c r="A48" s="170"/>
      <c r="B48" s="242" t="s">
        <v>473</v>
      </c>
      <c r="C48" s="171"/>
      <c r="D48" s="172"/>
      <c r="E48" s="213"/>
      <c r="F48" s="168"/>
      <c r="G48" s="168"/>
      <c r="H48" s="168"/>
      <c r="I48" s="168">
        <v>100000000</v>
      </c>
      <c r="J48" s="168"/>
      <c r="K48" s="168"/>
      <c r="L48" s="168"/>
      <c r="M48" s="168"/>
      <c r="N48" s="168"/>
      <c r="O48" s="168"/>
      <c r="P48" s="168"/>
      <c r="Q48" s="168">
        <f t="shared" si="3"/>
        <v>100000000</v>
      </c>
      <c r="R48" s="174"/>
      <c r="S48" s="297">
        <f>'RINCIAN B. TDK LANGSUNG'!Q51</f>
        <v>0</v>
      </c>
      <c r="T48" s="291">
        <f>Q48-S48</f>
        <v>100000000</v>
      </c>
    </row>
    <row r="49" spans="1:21" ht="15.75" customHeight="1" x14ac:dyDescent="0.15">
      <c r="A49" s="179"/>
      <c r="B49" s="545" t="s">
        <v>346</v>
      </c>
      <c r="C49" s="546"/>
      <c r="D49" s="547"/>
      <c r="E49" s="180">
        <f t="shared" ref="E49:P49" si="10">SUM(E48:E48)</f>
        <v>0</v>
      </c>
      <c r="F49" s="180">
        <f t="shared" si="10"/>
        <v>0</v>
      </c>
      <c r="G49" s="180">
        <f t="shared" si="10"/>
        <v>0</v>
      </c>
      <c r="H49" s="180">
        <f t="shared" si="10"/>
        <v>0</v>
      </c>
      <c r="I49" s="180">
        <f t="shared" si="10"/>
        <v>100000000</v>
      </c>
      <c r="J49" s="180">
        <f t="shared" si="10"/>
        <v>0</v>
      </c>
      <c r="K49" s="180">
        <f t="shared" si="10"/>
        <v>0</v>
      </c>
      <c r="L49" s="180">
        <f t="shared" si="10"/>
        <v>0</v>
      </c>
      <c r="M49" s="180">
        <f t="shared" si="10"/>
        <v>0</v>
      </c>
      <c r="N49" s="180">
        <f t="shared" si="10"/>
        <v>0</v>
      </c>
      <c r="O49" s="180">
        <f t="shared" si="10"/>
        <v>0</v>
      </c>
      <c r="P49" s="180">
        <f t="shared" si="10"/>
        <v>0</v>
      </c>
      <c r="Q49" s="180">
        <f>SUM(E49:P49)</f>
        <v>100000000</v>
      </c>
      <c r="R49" s="266" t="s">
        <v>345</v>
      </c>
      <c r="S49" s="298">
        <f>SUM(S48)</f>
        <v>0</v>
      </c>
      <c r="T49" s="298">
        <f>SUM(T48)</f>
        <v>100000000</v>
      </c>
    </row>
    <row r="50" spans="1:21" ht="15.75" customHeight="1" x14ac:dyDescent="0.15">
      <c r="A50" s="170" t="s">
        <v>347</v>
      </c>
      <c r="B50" s="551" t="s">
        <v>348</v>
      </c>
      <c r="C50" s="552"/>
      <c r="D50" s="553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>
        <f t="shared" si="3"/>
        <v>0</v>
      </c>
      <c r="R50" s="169"/>
      <c r="S50" s="296"/>
      <c r="T50" s="290"/>
    </row>
    <row r="51" spans="1:21" ht="15.75" customHeight="1" x14ac:dyDescent="0.15">
      <c r="A51" s="170" t="s">
        <v>349</v>
      </c>
      <c r="B51" s="242" t="s">
        <v>350</v>
      </c>
      <c r="C51" s="171"/>
      <c r="D51" s="172"/>
      <c r="E51" s="168">
        <v>500000</v>
      </c>
      <c r="F51" s="168">
        <v>500000</v>
      </c>
      <c r="G51" s="168">
        <v>500000</v>
      </c>
      <c r="H51" s="168">
        <v>500000</v>
      </c>
      <c r="I51" s="168">
        <v>4000000</v>
      </c>
      <c r="J51" s="168">
        <v>500000</v>
      </c>
      <c r="K51" s="168">
        <v>500000</v>
      </c>
      <c r="L51" s="168">
        <v>500000</v>
      </c>
      <c r="M51" s="168">
        <v>500000</v>
      </c>
      <c r="N51" s="168">
        <v>500000</v>
      </c>
      <c r="O51" s="168">
        <v>4000000</v>
      </c>
      <c r="P51" s="168">
        <v>500000</v>
      </c>
      <c r="Q51" s="168">
        <f t="shared" si="3"/>
        <v>13000000</v>
      </c>
      <c r="R51" s="169"/>
      <c r="S51" s="297">
        <f>'RINCIAN B. TDK LANGSUNG'!Q54</f>
        <v>0</v>
      </c>
      <c r="T51" s="291">
        <f>Q51-S51</f>
        <v>13000000</v>
      </c>
    </row>
    <row r="52" spans="1:21" ht="15.75" customHeight="1" x14ac:dyDescent="0.15">
      <c r="A52" s="170" t="s">
        <v>351</v>
      </c>
      <c r="B52" s="242" t="s">
        <v>352</v>
      </c>
      <c r="C52" s="192"/>
      <c r="D52" s="193"/>
      <c r="E52" s="213">
        <f>3000000+(200*12000)+3000000+1200000</f>
        <v>9600000</v>
      </c>
      <c r="F52" s="213">
        <f>3000000+(200*12000)</f>
        <v>5400000</v>
      </c>
      <c r="G52" s="213">
        <f>3000000+(200*12000)+7000000+2100000</f>
        <v>14500000</v>
      </c>
      <c r="H52" s="213">
        <f>3000000+(200*12000)</f>
        <v>5400000</v>
      </c>
      <c r="I52" s="213">
        <f>3000000+(200*12000)</f>
        <v>5400000</v>
      </c>
      <c r="J52" s="213">
        <f>3000000+(200*12000)</f>
        <v>5400000</v>
      </c>
      <c r="K52" s="213">
        <f>3000000+(200*12000)+300000</f>
        <v>5700000</v>
      </c>
      <c r="L52" s="213">
        <f>3000000+(200*12000)</f>
        <v>5400000</v>
      </c>
      <c r="M52" s="213">
        <f>3000000+(200*12000)</f>
        <v>5400000</v>
      </c>
      <c r="N52" s="213">
        <f>3000000+(200*12000)+(12*300000)</f>
        <v>9000000</v>
      </c>
      <c r="O52" s="213">
        <f>3000000+(200*12000)</f>
        <v>5400000</v>
      </c>
      <c r="P52" s="213">
        <f>3000000+(200*12000)</f>
        <v>5400000</v>
      </c>
      <c r="Q52" s="168">
        <f t="shared" si="3"/>
        <v>82000000</v>
      </c>
      <c r="R52" s="169"/>
      <c r="S52" s="297">
        <f>'RINCIAN B. TDK LANGSUNG'!Q55</f>
        <v>0</v>
      </c>
      <c r="T52" s="291">
        <f t="shared" ref="T52:T55" si="11">Q52-S52</f>
        <v>82000000</v>
      </c>
    </row>
    <row r="53" spans="1:21" ht="15.75" customHeight="1" x14ac:dyDescent="0.15">
      <c r="A53" s="170" t="s">
        <v>353</v>
      </c>
      <c r="B53" s="242" t="s">
        <v>354</v>
      </c>
      <c r="C53" s="171"/>
      <c r="D53" s="172"/>
      <c r="E53" s="213">
        <v>500000</v>
      </c>
      <c r="F53" s="213">
        <v>500000</v>
      </c>
      <c r="G53" s="213">
        <v>500000</v>
      </c>
      <c r="H53" s="213">
        <v>500000</v>
      </c>
      <c r="I53" s="213">
        <v>500000</v>
      </c>
      <c r="J53" s="213">
        <v>15000000</v>
      </c>
      <c r="K53" s="213">
        <v>500000</v>
      </c>
      <c r="L53" s="213">
        <v>500000</v>
      </c>
      <c r="M53" s="213">
        <v>500000</v>
      </c>
      <c r="N53" s="213">
        <v>500000</v>
      </c>
      <c r="O53" s="213">
        <v>500000</v>
      </c>
      <c r="P53" s="213">
        <v>500000</v>
      </c>
      <c r="Q53" s="168">
        <f t="shared" si="3"/>
        <v>20500000</v>
      </c>
      <c r="R53" s="169"/>
      <c r="S53" s="297">
        <f>'RINCIAN B. TDK LANGSUNG'!Q56</f>
        <v>0</v>
      </c>
      <c r="T53" s="291">
        <f t="shared" si="11"/>
        <v>20500000</v>
      </c>
    </row>
    <row r="54" spans="1:21" ht="15.75" customHeight="1" x14ac:dyDescent="0.15">
      <c r="A54" s="170" t="s">
        <v>416</v>
      </c>
      <c r="B54" s="551" t="s">
        <v>417</v>
      </c>
      <c r="C54" s="552"/>
      <c r="D54" s="553"/>
      <c r="E54" s="168">
        <v>1500000</v>
      </c>
      <c r="F54" s="168">
        <v>1500000</v>
      </c>
      <c r="G54" s="168">
        <v>1500000</v>
      </c>
      <c r="H54" s="168">
        <v>1500000</v>
      </c>
      <c r="I54" s="168">
        <v>1500000</v>
      </c>
      <c r="J54" s="168">
        <v>1500000</v>
      </c>
      <c r="K54" s="168">
        <v>1500000</v>
      </c>
      <c r="L54" s="168">
        <v>1500000</v>
      </c>
      <c r="M54" s="168">
        <v>1500000</v>
      </c>
      <c r="N54" s="168">
        <v>1500000</v>
      </c>
      <c r="O54" s="168">
        <v>1500000</v>
      </c>
      <c r="P54" s="168">
        <v>1500000</v>
      </c>
      <c r="Q54" s="168">
        <f t="shared" si="3"/>
        <v>18000000</v>
      </c>
      <c r="R54" s="169"/>
      <c r="S54" s="297">
        <f>'RINCIAN B. TDK LANGSUNG'!Q57</f>
        <v>0</v>
      </c>
      <c r="T54" s="291">
        <f t="shared" si="11"/>
        <v>18000000</v>
      </c>
    </row>
    <row r="55" spans="1:21" ht="15.75" customHeight="1" x14ac:dyDescent="0.15">
      <c r="A55" s="170" t="s">
        <v>355</v>
      </c>
      <c r="B55" s="551" t="s">
        <v>356</v>
      </c>
      <c r="C55" s="552"/>
      <c r="D55" s="553"/>
      <c r="E55" s="168">
        <v>500000</v>
      </c>
      <c r="F55" s="168">
        <v>500000</v>
      </c>
      <c r="G55" s="168">
        <v>500000</v>
      </c>
      <c r="H55" s="168">
        <v>500000</v>
      </c>
      <c r="I55" s="168">
        <v>500000</v>
      </c>
      <c r="J55" s="168">
        <v>500000</v>
      </c>
      <c r="K55" s="168">
        <v>500000</v>
      </c>
      <c r="L55" s="168">
        <v>500000</v>
      </c>
      <c r="M55" s="168">
        <v>500000</v>
      </c>
      <c r="N55" s="168">
        <v>500000</v>
      </c>
      <c r="O55" s="168">
        <v>500000</v>
      </c>
      <c r="P55" s="168">
        <v>500000</v>
      </c>
      <c r="Q55" s="168">
        <f t="shared" si="3"/>
        <v>6000000</v>
      </c>
      <c r="R55" s="169"/>
      <c r="S55" s="297">
        <f>'RINCIAN B. TDK LANGSUNG'!Q58</f>
        <v>0</v>
      </c>
      <c r="T55" s="291">
        <f t="shared" si="11"/>
        <v>6000000</v>
      </c>
    </row>
    <row r="56" spans="1:21" ht="15.75" customHeight="1" x14ac:dyDescent="0.15">
      <c r="A56" s="179"/>
      <c r="B56" s="545" t="s">
        <v>262</v>
      </c>
      <c r="C56" s="546"/>
      <c r="D56" s="547"/>
      <c r="E56" s="180">
        <f>SUM(E51:E55)</f>
        <v>12600000</v>
      </c>
      <c r="F56" s="180">
        <f t="shared" ref="F56:P56" si="12">SUM(F51:F55)</f>
        <v>8400000</v>
      </c>
      <c r="G56" s="180">
        <f t="shared" si="12"/>
        <v>17500000</v>
      </c>
      <c r="H56" s="180">
        <f t="shared" si="12"/>
        <v>8400000</v>
      </c>
      <c r="I56" s="180">
        <f t="shared" si="12"/>
        <v>11900000</v>
      </c>
      <c r="J56" s="180">
        <f t="shared" si="12"/>
        <v>22900000</v>
      </c>
      <c r="K56" s="180">
        <f t="shared" si="12"/>
        <v>8700000</v>
      </c>
      <c r="L56" s="180">
        <f t="shared" si="12"/>
        <v>8400000</v>
      </c>
      <c r="M56" s="180">
        <f t="shared" si="12"/>
        <v>8400000</v>
      </c>
      <c r="N56" s="180">
        <f t="shared" si="12"/>
        <v>12000000</v>
      </c>
      <c r="O56" s="180">
        <f t="shared" si="12"/>
        <v>11900000</v>
      </c>
      <c r="P56" s="180">
        <f t="shared" si="12"/>
        <v>8400000</v>
      </c>
      <c r="Q56" s="180">
        <f t="shared" si="3"/>
        <v>139500000</v>
      </c>
      <c r="R56" s="265" t="s">
        <v>226</v>
      </c>
      <c r="S56" s="298">
        <f>SUM(S51:S55)</f>
        <v>0</v>
      </c>
      <c r="T56" s="298">
        <f>SUM(T51:T55)</f>
        <v>139500000</v>
      </c>
      <c r="U56" s="178">
        <f>Q56-S56</f>
        <v>139500000</v>
      </c>
    </row>
    <row r="57" spans="1:21" ht="15.75" customHeight="1" x14ac:dyDescent="0.15">
      <c r="A57" s="170" t="s">
        <v>196</v>
      </c>
      <c r="B57" s="551" t="s">
        <v>357</v>
      </c>
      <c r="C57" s="552"/>
      <c r="D57" s="553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9"/>
      <c r="S57" s="296"/>
      <c r="T57" s="290"/>
    </row>
    <row r="58" spans="1:21" ht="15.75" customHeight="1" x14ac:dyDescent="0.15">
      <c r="A58" s="170" t="s">
        <v>358</v>
      </c>
      <c r="B58" s="551" t="s">
        <v>359</v>
      </c>
      <c r="C58" s="552"/>
      <c r="D58" s="553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>
        <v>50000000</v>
      </c>
      <c r="Q58" s="168">
        <f t="shared" si="3"/>
        <v>50000000</v>
      </c>
      <c r="R58" s="174" t="s">
        <v>474</v>
      </c>
      <c r="S58" s="297" t="e">
        <f>'RINCIAN B. TDK LANGSUNG'!#REF!</f>
        <v>#REF!</v>
      </c>
      <c r="T58" s="291" t="e">
        <f>Q58-S58</f>
        <v>#REF!</v>
      </c>
    </row>
    <row r="59" spans="1:21" ht="15.75" customHeight="1" x14ac:dyDescent="0.15">
      <c r="A59" s="170" t="s">
        <v>360</v>
      </c>
      <c r="B59" s="242" t="s">
        <v>361</v>
      </c>
      <c r="C59" s="243"/>
      <c r="D59" s="244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>
        <f t="shared" si="3"/>
        <v>0</v>
      </c>
      <c r="R59" s="174" t="s">
        <v>474</v>
      </c>
      <c r="S59" s="297" t="e">
        <f>'RINCIAN B. TDK LANGSUNG'!#REF!</f>
        <v>#REF!</v>
      </c>
      <c r="T59" s="291" t="e">
        <f>Q59-S59</f>
        <v>#REF!</v>
      </c>
    </row>
    <row r="60" spans="1:21" ht="15.75" customHeight="1" x14ac:dyDescent="0.15">
      <c r="A60" s="179"/>
      <c r="B60" s="545" t="s">
        <v>362</v>
      </c>
      <c r="C60" s="546"/>
      <c r="D60" s="547"/>
      <c r="E60" s="180">
        <f t="shared" ref="E60:O60" si="13">SUM(E57:E59)</f>
        <v>0</v>
      </c>
      <c r="F60" s="180">
        <f t="shared" si="13"/>
        <v>0</v>
      </c>
      <c r="G60" s="180">
        <f t="shared" si="13"/>
        <v>0</v>
      </c>
      <c r="H60" s="180">
        <f t="shared" si="13"/>
        <v>0</v>
      </c>
      <c r="I60" s="180">
        <f t="shared" si="13"/>
        <v>0</v>
      </c>
      <c r="J60" s="180">
        <f t="shared" si="13"/>
        <v>0</v>
      </c>
      <c r="K60" s="180">
        <f t="shared" si="13"/>
        <v>0</v>
      </c>
      <c r="L60" s="180">
        <f t="shared" si="13"/>
        <v>0</v>
      </c>
      <c r="M60" s="180">
        <f t="shared" si="13"/>
        <v>0</v>
      </c>
      <c r="N60" s="180">
        <f t="shared" si="13"/>
        <v>0</v>
      </c>
      <c r="O60" s="180">
        <f t="shared" si="13"/>
        <v>0</v>
      </c>
      <c r="P60" s="180">
        <f>SUM(P57:P59)</f>
        <v>50000000</v>
      </c>
      <c r="Q60" s="180">
        <f t="shared" si="3"/>
        <v>50000000</v>
      </c>
      <c r="R60" s="265"/>
      <c r="S60" s="298" t="e">
        <f>SUM(S58:S59)</f>
        <v>#REF!</v>
      </c>
      <c r="T60" s="298" t="e">
        <f>SUM(T58:T59)</f>
        <v>#REF!</v>
      </c>
    </row>
    <row r="61" spans="1:21" ht="15.75" customHeight="1" x14ac:dyDescent="0.15">
      <c r="A61" s="170" t="s">
        <v>363</v>
      </c>
      <c r="B61" s="242" t="s">
        <v>364</v>
      </c>
      <c r="C61" s="215"/>
      <c r="D61" s="216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>
        <f t="shared" si="3"/>
        <v>0</v>
      </c>
      <c r="R61" s="169"/>
      <c r="S61" s="296"/>
      <c r="T61" s="290"/>
    </row>
    <row r="62" spans="1:21" ht="15.75" customHeight="1" x14ac:dyDescent="0.15">
      <c r="A62" s="170" t="s">
        <v>365</v>
      </c>
      <c r="B62" s="242" t="s">
        <v>366</v>
      </c>
      <c r="C62" s="215"/>
      <c r="D62" s="216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9"/>
      <c r="S62" s="296"/>
      <c r="T62" s="290"/>
    </row>
    <row r="63" spans="1:21" ht="15.75" customHeight="1" x14ac:dyDescent="0.15">
      <c r="A63" s="170"/>
      <c r="B63" s="242" t="s">
        <v>367</v>
      </c>
      <c r="C63" s="215"/>
      <c r="D63" s="216"/>
      <c r="E63" s="168">
        <v>1850000</v>
      </c>
      <c r="F63" s="168">
        <v>1850000</v>
      </c>
      <c r="G63" s="168">
        <v>1850000</v>
      </c>
      <c r="H63" s="168">
        <v>1850000</v>
      </c>
      <c r="I63" s="168">
        <v>1850000</v>
      </c>
      <c r="J63" s="168">
        <v>1850000</v>
      </c>
      <c r="K63" s="168">
        <v>1850000</v>
      </c>
      <c r="L63" s="168">
        <v>1850000</v>
      </c>
      <c r="M63" s="168">
        <v>1850000</v>
      </c>
      <c r="N63" s="168">
        <v>1850000</v>
      </c>
      <c r="O63" s="168">
        <v>1850000</v>
      </c>
      <c r="P63" s="168">
        <v>1850000</v>
      </c>
      <c r="Q63" s="168">
        <f t="shared" si="3"/>
        <v>22200000</v>
      </c>
      <c r="R63" s="169" t="s">
        <v>220</v>
      </c>
      <c r="S63" s="297" t="e">
        <f>'RINCIAN B. TDK LANGSUNG'!#REF!</f>
        <v>#REF!</v>
      </c>
      <c r="T63" s="291" t="e">
        <f>Q63-S63</f>
        <v>#REF!</v>
      </c>
    </row>
    <row r="64" spans="1:21" ht="15.75" customHeight="1" x14ac:dyDescent="0.15">
      <c r="A64" s="170"/>
      <c r="B64" s="242" t="s">
        <v>368</v>
      </c>
      <c r="C64" s="243"/>
      <c r="D64" s="244"/>
      <c r="E64" s="168">
        <v>700000</v>
      </c>
      <c r="F64" s="168">
        <v>700000</v>
      </c>
      <c r="G64" s="168">
        <v>700000</v>
      </c>
      <c r="H64" s="168">
        <v>700000</v>
      </c>
      <c r="I64" s="168">
        <v>700000</v>
      </c>
      <c r="J64" s="168">
        <v>700000</v>
      </c>
      <c r="K64" s="168">
        <v>700000</v>
      </c>
      <c r="L64" s="168">
        <v>700000</v>
      </c>
      <c r="M64" s="168">
        <v>700000</v>
      </c>
      <c r="N64" s="168">
        <v>700000</v>
      </c>
      <c r="O64" s="168">
        <v>700000</v>
      </c>
      <c r="P64" s="168">
        <v>700000</v>
      </c>
      <c r="Q64" s="168">
        <f t="shared" ref="Q64:Q82" si="14">SUM(E64:P64)</f>
        <v>8400000</v>
      </c>
      <c r="R64" s="169" t="s">
        <v>220</v>
      </c>
      <c r="S64" s="297" t="e">
        <f>'RINCIAN B. TDK LANGSUNG'!#REF!</f>
        <v>#REF!</v>
      </c>
      <c r="T64" s="291" t="e">
        <f t="shared" ref="T64:T79" si="15">Q64-S64</f>
        <v>#REF!</v>
      </c>
    </row>
    <row r="65" spans="1:21" ht="15.75" customHeight="1" x14ac:dyDescent="0.15">
      <c r="A65" s="170" t="s">
        <v>369</v>
      </c>
      <c r="B65" s="242" t="s">
        <v>370</v>
      </c>
      <c r="C65" s="243"/>
      <c r="D65" s="244"/>
      <c r="E65" s="168">
        <v>18500000</v>
      </c>
      <c r="F65" s="168">
        <v>18500000</v>
      </c>
      <c r="G65" s="168">
        <v>18500000</v>
      </c>
      <c r="H65" s="168">
        <v>18500000</v>
      </c>
      <c r="I65" s="168">
        <v>18500000</v>
      </c>
      <c r="J65" s="168">
        <v>18500000</v>
      </c>
      <c r="K65" s="168">
        <v>18500000</v>
      </c>
      <c r="L65" s="168">
        <v>18500000</v>
      </c>
      <c r="M65" s="168">
        <v>18500000</v>
      </c>
      <c r="N65" s="168">
        <v>18500000</v>
      </c>
      <c r="O65" s="168">
        <v>18500000</v>
      </c>
      <c r="P65" s="168">
        <v>18500000</v>
      </c>
      <c r="Q65" s="168">
        <f t="shared" si="14"/>
        <v>222000000</v>
      </c>
      <c r="R65" s="169" t="s">
        <v>208</v>
      </c>
      <c r="S65" s="297">
        <f>'RINCIAN B. TDK LANGSUNG'!Q63</f>
        <v>0</v>
      </c>
      <c r="T65" s="291">
        <f t="shared" si="15"/>
        <v>222000000</v>
      </c>
    </row>
    <row r="66" spans="1:21" ht="15.75" customHeight="1" x14ac:dyDescent="0.15">
      <c r="A66" s="170" t="s">
        <v>371</v>
      </c>
      <c r="B66" s="242" t="s">
        <v>372</v>
      </c>
      <c r="C66" s="243"/>
      <c r="D66" s="244"/>
      <c r="E66" s="168">
        <v>30000000</v>
      </c>
      <c r="F66" s="168">
        <v>30000000</v>
      </c>
      <c r="G66" s="168">
        <v>30000000</v>
      </c>
      <c r="H66" s="168">
        <v>30000000</v>
      </c>
      <c r="I66" s="168">
        <v>30000000</v>
      </c>
      <c r="J66" s="168">
        <v>30000000</v>
      </c>
      <c r="K66" s="168">
        <v>30000000</v>
      </c>
      <c r="L66" s="168">
        <v>30000000</v>
      </c>
      <c r="M66" s="168">
        <v>30000000</v>
      </c>
      <c r="N66" s="168">
        <v>30000000</v>
      </c>
      <c r="O66" s="168">
        <v>30000000</v>
      </c>
      <c r="P66" s="168">
        <v>30000000</v>
      </c>
      <c r="Q66" s="168">
        <f t="shared" si="14"/>
        <v>360000000</v>
      </c>
      <c r="R66" s="169" t="s">
        <v>220</v>
      </c>
      <c r="S66" s="297">
        <f>'RINCIAN B. TDK LANGSUNG'!Q64</f>
        <v>0</v>
      </c>
      <c r="T66" s="291">
        <f t="shared" si="15"/>
        <v>360000000</v>
      </c>
    </row>
    <row r="67" spans="1:21" ht="15.75" customHeight="1" x14ac:dyDescent="0.15">
      <c r="A67" s="170" t="s">
        <v>373</v>
      </c>
      <c r="B67" s="242" t="s">
        <v>374</v>
      </c>
      <c r="C67" s="243"/>
      <c r="D67" s="244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>
        <f t="shared" si="14"/>
        <v>0</v>
      </c>
      <c r="R67" s="169"/>
      <c r="S67" s="296"/>
      <c r="T67" s="291">
        <f t="shared" si="15"/>
        <v>0</v>
      </c>
    </row>
    <row r="68" spans="1:21" ht="15.75" customHeight="1" x14ac:dyDescent="0.15">
      <c r="A68" s="170"/>
      <c r="B68" s="242" t="s">
        <v>375</v>
      </c>
      <c r="C68" s="243"/>
      <c r="D68" s="244"/>
      <c r="E68" s="168">
        <v>25000000</v>
      </c>
      <c r="F68" s="168"/>
      <c r="G68" s="168">
        <v>50000000</v>
      </c>
      <c r="H68" s="168"/>
      <c r="I68" s="168"/>
      <c r="J68" s="168"/>
      <c r="K68" s="168"/>
      <c r="L68" s="168"/>
      <c r="M68" s="168"/>
      <c r="N68" s="168"/>
      <c r="O68" s="168"/>
      <c r="P68" s="168"/>
      <c r="Q68" s="168">
        <f t="shared" si="14"/>
        <v>75000000</v>
      </c>
      <c r="R68" s="169" t="s">
        <v>220</v>
      </c>
      <c r="S68" s="297">
        <f>'RINCIAN B. TDK LANGSUNG'!Q66</f>
        <v>0</v>
      </c>
      <c r="T68" s="291">
        <f t="shared" si="15"/>
        <v>75000000</v>
      </c>
    </row>
    <row r="69" spans="1:21" ht="15.75" customHeight="1" x14ac:dyDescent="0.15">
      <c r="A69" s="217"/>
      <c r="B69" s="218" t="s">
        <v>376</v>
      </c>
      <c r="C69" s="219"/>
      <c r="D69" s="220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>
        <f t="shared" si="14"/>
        <v>0</v>
      </c>
      <c r="R69" s="222" t="s">
        <v>220</v>
      </c>
      <c r="S69" s="296"/>
      <c r="T69" s="291">
        <f t="shared" si="15"/>
        <v>0</v>
      </c>
    </row>
    <row r="70" spans="1:21" ht="15.75" customHeight="1" x14ac:dyDescent="0.15">
      <c r="A70" s="190" t="s">
        <v>377</v>
      </c>
      <c r="B70" s="245" t="s">
        <v>378</v>
      </c>
      <c r="C70" s="246"/>
      <c r="D70" s="24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>
        <f t="shared" si="14"/>
        <v>0</v>
      </c>
      <c r="R70" s="223" t="s">
        <v>475</v>
      </c>
      <c r="S70" s="296"/>
      <c r="T70" s="291">
        <f t="shared" si="15"/>
        <v>0</v>
      </c>
    </row>
    <row r="71" spans="1:21" ht="15.75" customHeight="1" x14ac:dyDescent="0.15">
      <c r="A71" s="170" t="s">
        <v>379</v>
      </c>
      <c r="B71" s="242" t="s">
        <v>380</v>
      </c>
      <c r="C71" s="243"/>
      <c r="D71" s="244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>
        <f t="shared" si="14"/>
        <v>0</v>
      </c>
      <c r="R71" s="169"/>
      <c r="S71" s="296"/>
      <c r="T71" s="291">
        <f t="shared" si="15"/>
        <v>0</v>
      </c>
    </row>
    <row r="72" spans="1:21" ht="15.75" customHeight="1" x14ac:dyDescent="0.15">
      <c r="A72" s="217"/>
      <c r="B72" s="218" t="s">
        <v>381</v>
      </c>
      <c r="C72" s="219"/>
      <c r="D72" s="220"/>
      <c r="E72" s="221">
        <v>15000000</v>
      </c>
      <c r="F72" s="221">
        <v>15000000</v>
      </c>
      <c r="G72" s="221">
        <v>15000000</v>
      </c>
      <c r="H72" s="221">
        <v>15000000</v>
      </c>
      <c r="I72" s="221">
        <v>15000000</v>
      </c>
      <c r="J72" s="221">
        <v>15000000</v>
      </c>
      <c r="K72" s="221">
        <v>15000000</v>
      </c>
      <c r="L72" s="221">
        <v>15000000</v>
      </c>
      <c r="M72" s="221">
        <v>15000000</v>
      </c>
      <c r="N72" s="221">
        <v>15000000</v>
      </c>
      <c r="O72" s="221">
        <v>15000000</v>
      </c>
      <c r="P72" s="221">
        <v>15000000</v>
      </c>
      <c r="Q72" s="221">
        <f t="shared" si="14"/>
        <v>180000000</v>
      </c>
      <c r="R72" s="222" t="s">
        <v>220</v>
      </c>
      <c r="S72" s="297" t="e">
        <f>'RINCIAN B. TDK LANGSUNG'!#REF!</f>
        <v>#REF!</v>
      </c>
      <c r="T72" s="291" t="e">
        <f t="shared" si="15"/>
        <v>#REF!</v>
      </c>
    </row>
    <row r="73" spans="1:21" ht="15.75" customHeight="1" x14ac:dyDescent="0.15">
      <c r="A73" s="190"/>
      <c r="B73" s="245" t="s">
        <v>382</v>
      </c>
      <c r="C73" s="246"/>
      <c r="D73" s="247"/>
      <c r="E73" s="167">
        <v>2750000</v>
      </c>
      <c r="F73" s="167">
        <v>2750000</v>
      </c>
      <c r="G73" s="167">
        <v>2750000</v>
      </c>
      <c r="H73" s="167">
        <v>2750000</v>
      </c>
      <c r="I73" s="167">
        <v>2750000</v>
      </c>
      <c r="J73" s="167">
        <v>2750000</v>
      </c>
      <c r="K73" s="167">
        <v>2750000</v>
      </c>
      <c r="L73" s="167">
        <v>2750000</v>
      </c>
      <c r="M73" s="167">
        <v>2750000</v>
      </c>
      <c r="N73" s="167">
        <v>2750000</v>
      </c>
      <c r="O73" s="167">
        <v>2750000</v>
      </c>
      <c r="P73" s="167">
        <v>2750000</v>
      </c>
      <c r="Q73" s="167">
        <f t="shared" si="14"/>
        <v>33000000</v>
      </c>
      <c r="R73" s="222" t="s">
        <v>220</v>
      </c>
      <c r="S73" s="297" t="e">
        <f>'RINCIAN B. TDK LANGSUNG'!#REF!</f>
        <v>#REF!</v>
      </c>
      <c r="T73" s="291" t="e">
        <f t="shared" si="15"/>
        <v>#REF!</v>
      </c>
    </row>
    <row r="74" spans="1:21" ht="15.75" customHeight="1" x14ac:dyDescent="0.15">
      <c r="A74" s="170" t="s">
        <v>383</v>
      </c>
      <c r="B74" s="242" t="s">
        <v>384</v>
      </c>
      <c r="C74" s="243"/>
      <c r="D74" s="244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>
        <f t="shared" si="14"/>
        <v>0</v>
      </c>
      <c r="R74" s="169"/>
      <c r="S74" s="297">
        <f>'RINCIAN B. TDK LANGSUNG'!Q71</f>
        <v>0</v>
      </c>
      <c r="T74" s="291">
        <f t="shared" si="15"/>
        <v>0</v>
      </c>
    </row>
    <row r="75" spans="1:21" ht="15.75" customHeight="1" x14ac:dyDescent="0.15">
      <c r="A75" s="170"/>
      <c r="B75" s="242" t="s">
        <v>385</v>
      </c>
      <c r="C75" s="243"/>
      <c r="D75" s="244"/>
      <c r="E75" s="213"/>
      <c r="F75" s="213"/>
      <c r="G75" s="213"/>
      <c r="H75" s="213"/>
      <c r="I75" s="213"/>
      <c r="J75" s="213"/>
      <c r="K75" s="168"/>
      <c r="L75" s="168"/>
      <c r="M75" s="168">
        <v>1500000</v>
      </c>
      <c r="N75" s="168"/>
      <c r="O75" s="168"/>
      <c r="P75" s="168"/>
      <c r="Q75" s="168">
        <f t="shared" si="14"/>
        <v>1500000</v>
      </c>
      <c r="R75" s="222" t="s">
        <v>220</v>
      </c>
      <c r="S75" s="296"/>
      <c r="T75" s="291">
        <f t="shared" si="15"/>
        <v>1500000</v>
      </c>
    </row>
    <row r="76" spans="1:21" ht="15.75" customHeight="1" x14ac:dyDescent="0.15">
      <c r="A76" s="170" t="s">
        <v>386</v>
      </c>
      <c r="B76" s="242" t="s">
        <v>387</v>
      </c>
      <c r="C76" s="243"/>
      <c r="D76" s="244"/>
      <c r="E76" s="213"/>
      <c r="F76" s="213"/>
      <c r="G76" s="213"/>
      <c r="H76" s="213"/>
      <c r="I76" s="213"/>
      <c r="J76" s="213"/>
      <c r="K76" s="213"/>
      <c r="L76" s="168"/>
      <c r="M76" s="168"/>
      <c r="N76" s="168"/>
      <c r="O76" s="168"/>
      <c r="P76" s="168"/>
      <c r="Q76" s="168">
        <f t="shared" si="14"/>
        <v>0</v>
      </c>
      <c r="R76" s="169"/>
      <c r="S76" s="296"/>
      <c r="T76" s="291">
        <f t="shared" si="15"/>
        <v>0</v>
      </c>
    </row>
    <row r="77" spans="1:21" ht="15.75" customHeight="1" x14ac:dyDescent="0.15">
      <c r="A77" s="170"/>
      <c r="B77" s="551" t="s">
        <v>476</v>
      </c>
      <c r="C77" s="552"/>
      <c r="D77" s="553"/>
      <c r="E77" s="168"/>
      <c r="F77" s="168"/>
      <c r="G77" s="168"/>
      <c r="H77" s="168"/>
      <c r="I77" s="168"/>
      <c r="J77" s="168">
        <v>50000000</v>
      </c>
      <c r="K77" s="168"/>
      <c r="L77" s="168"/>
      <c r="M77" s="168"/>
      <c r="N77" s="168"/>
      <c r="O77" s="168"/>
      <c r="P77" s="168"/>
      <c r="Q77" s="168">
        <f t="shared" si="14"/>
        <v>50000000</v>
      </c>
      <c r="R77" s="169" t="s">
        <v>220</v>
      </c>
      <c r="S77" s="297">
        <f>'RINCIAN B. TDK LANGSUNG'!Q72</f>
        <v>0</v>
      </c>
      <c r="T77" s="291">
        <f t="shared" si="15"/>
        <v>50000000</v>
      </c>
    </row>
    <row r="78" spans="1:21" ht="15.75" customHeight="1" x14ac:dyDescent="0.15">
      <c r="A78" s="170"/>
      <c r="B78" s="242" t="s">
        <v>460</v>
      </c>
      <c r="C78" s="243"/>
      <c r="D78" s="244"/>
      <c r="E78" s="168"/>
      <c r="F78" s="168"/>
      <c r="G78" s="168"/>
      <c r="H78" s="168"/>
      <c r="I78" s="168"/>
      <c r="J78" s="168"/>
      <c r="K78" s="168"/>
      <c r="L78" s="168">
        <f>(47*750000)+25000000</f>
        <v>60250000</v>
      </c>
      <c r="M78" s="168"/>
      <c r="N78" s="168"/>
      <c r="O78" s="168"/>
      <c r="P78" s="168"/>
      <c r="Q78" s="168">
        <f t="shared" si="14"/>
        <v>60250000</v>
      </c>
      <c r="R78" s="169"/>
      <c r="S78" s="297">
        <f>'RINCIAN B. TDK LANGSUNG'!Q73</f>
        <v>0</v>
      </c>
      <c r="T78" s="291">
        <f t="shared" si="15"/>
        <v>60250000</v>
      </c>
    </row>
    <row r="79" spans="1:21" ht="15.75" customHeight="1" x14ac:dyDescent="0.15">
      <c r="A79" s="170"/>
      <c r="B79" s="242" t="s">
        <v>394</v>
      </c>
      <c r="C79" s="243"/>
      <c r="D79" s="244"/>
      <c r="E79" s="213">
        <f>1500000+(290000*47)</f>
        <v>15130000</v>
      </c>
      <c r="F79" s="213">
        <v>1500000</v>
      </c>
      <c r="G79" s="213">
        <v>1500000</v>
      </c>
      <c r="H79" s="213">
        <v>1500000</v>
      </c>
      <c r="I79" s="213">
        <v>1500000</v>
      </c>
      <c r="J79" s="213">
        <v>1500000</v>
      </c>
      <c r="K79" s="213">
        <v>1500000</v>
      </c>
      <c r="L79" s="213">
        <v>1500000</v>
      </c>
      <c r="M79" s="213">
        <v>1500000</v>
      </c>
      <c r="N79" s="213">
        <v>1500000</v>
      </c>
      <c r="O79" s="213">
        <v>1500000</v>
      </c>
      <c r="P79" s="213">
        <v>1500000</v>
      </c>
      <c r="Q79" s="168">
        <f t="shared" si="14"/>
        <v>31630000</v>
      </c>
      <c r="R79" s="169" t="s">
        <v>220</v>
      </c>
      <c r="S79" s="297">
        <f>'RINCIAN B. TDK LANGSUNG'!Q74</f>
        <v>0</v>
      </c>
      <c r="T79" s="291">
        <f t="shared" si="15"/>
        <v>31630000</v>
      </c>
    </row>
    <row r="80" spans="1:21" ht="15.75" customHeight="1" x14ac:dyDescent="0.15">
      <c r="A80" s="179"/>
      <c r="B80" s="545" t="s">
        <v>395</v>
      </c>
      <c r="C80" s="546"/>
      <c r="D80" s="547"/>
      <c r="E80" s="180">
        <f t="shared" ref="E80:O80" si="16">SUM(E61:E79)</f>
        <v>108930000</v>
      </c>
      <c r="F80" s="180">
        <f t="shared" si="16"/>
        <v>70300000</v>
      </c>
      <c r="G80" s="180">
        <f t="shared" si="16"/>
        <v>120300000</v>
      </c>
      <c r="H80" s="180">
        <f t="shared" si="16"/>
        <v>70300000</v>
      </c>
      <c r="I80" s="180">
        <f t="shared" si="16"/>
        <v>70300000</v>
      </c>
      <c r="J80" s="180">
        <f t="shared" si="16"/>
        <v>120300000</v>
      </c>
      <c r="K80" s="180">
        <f t="shared" si="16"/>
        <v>70300000</v>
      </c>
      <c r="L80" s="180">
        <f t="shared" si="16"/>
        <v>130550000</v>
      </c>
      <c r="M80" s="180">
        <f t="shared" si="16"/>
        <v>71800000</v>
      </c>
      <c r="N80" s="180">
        <f t="shared" si="16"/>
        <v>70300000</v>
      </c>
      <c r="O80" s="180">
        <f t="shared" si="16"/>
        <v>70300000</v>
      </c>
      <c r="P80" s="180">
        <f>SUM(P61:P79)</f>
        <v>70300000</v>
      </c>
      <c r="Q80" s="180">
        <f t="shared" si="14"/>
        <v>1043980000</v>
      </c>
      <c r="R80" s="181"/>
      <c r="S80" s="303" t="e">
        <f>SUM(S63:S79)</f>
        <v>#REF!</v>
      </c>
      <c r="T80" s="303" t="e">
        <f>SUM(T63:T79)</f>
        <v>#REF!</v>
      </c>
      <c r="U80" s="178" t="e">
        <f>Q80-S80</f>
        <v>#REF!</v>
      </c>
    </row>
    <row r="81" spans="1:21" ht="15.75" customHeight="1" x14ac:dyDescent="0.15">
      <c r="A81" s="179"/>
      <c r="B81" s="545" t="s">
        <v>396</v>
      </c>
      <c r="C81" s="546"/>
      <c r="D81" s="547"/>
      <c r="E81" s="221">
        <f t="shared" ref="E81:P81" si="17">E80+E56+E46+E41+E28+E49+E60</f>
        <v>379980320</v>
      </c>
      <c r="F81" s="221">
        <f t="shared" si="17"/>
        <v>283300000</v>
      </c>
      <c r="G81" s="221">
        <f t="shared" si="17"/>
        <v>358600000</v>
      </c>
      <c r="H81" s="221">
        <f t="shared" si="17"/>
        <v>472800000</v>
      </c>
      <c r="I81" s="221">
        <f t="shared" si="17"/>
        <v>396950000</v>
      </c>
      <c r="J81" s="221">
        <f t="shared" si="17"/>
        <v>335800000</v>
      </c>
      <c r="K81" s="221">
        <f t="shared" si="17"/>
        <v>272400000</v>
      </c>
      <c r="L81" s="221">
        <f t="shared" si="17"/>
        <v>337650000</v>
      </c>
      <c r="M81" s="221">
        <f t="shared" si="17"/>
        <v>268300000</v>
      </c>
      <c r="N81" s="221">
        <f t="shared" si="17"/>
        <v>281400000</v>
      </c>
      <c r="O81" s="221">
        <f>O80+O56+O46+O41+O28+O49+O60</f>
        <v>277100000</v>
      </c>
      <c r="P81" s="221">
        <f t="shared" si="17"/>
        <v>447100000</v>
      </c>
      <c r="Q81" s="180">
        <f t="shared" si="14"/>
        <v>4111380320</v>
      </c>
      <c r="R81" s="169"/>
      <c r="S81" s="221" t="e">
        <f>S80+S56+S46+S41+S28+S49+S60</f>
        <v>#REF!</v>
      </c>
      <c r="T81" s="221" t="e">
        <f>T80+T56+T46+T41+T28+T49+T60</f>
        <v>#REF!</v>
      </c>
      <c r="U81" s="178" t="e">
        <f>Q81-S81</f>
        <v>#REF!</v>
      </c>
    </row>
    <row r="82" spans="1:21" ht="15.75" customHeight="1" x14ac:dyDescent="0.15">
      <c r="A82" s="170" t="s">
        <v>197</v>
      </c>
      <c r="B82" s="566" t="s">
        <v>397</v>
      </c>
      <c r="C82" s="567"/>
      <c r="D82" s="568"/>
      <c r="E82" s="224">
        <f>12130334+10323166+12195784+4778383+1267969+1000000</f>
        <v>41695636</v>
      </c>
      <c r="F82" s="224">
        <f t="shared" ref="F82:P82" si="18">12130334+10323166+12195784+4778383+1267969+1000000</f>
        <v>41695636</v>
      </c>
      <c r="G82" s="224">
        <f t="shared" si="18"/>
        <v>41695636</v>
      </c>
      <c r="H82" s="224">
        <f t="shared" si="18"/>
        <v>41695636</v>
      </c>
      <c r="I82" s="224">
        <f t="shared" si="18"/>
        <v>41695636</v>
      </c>
      <c r="J82" s="224">
        <f t="shared" si="18"/>
        <v>41695636</v>
      </c>
      <c r="K82" s="224">
        <f t="shared" si="18"/>
        <v>41695636</v>
      </c>
      <c r="L82" s="224">
        <f t="shared" si="18"/>
        <v>41695636</v>
      </c>
      <c r="M82" s="224">
        <f t="shared" si="18"/>
        <v>41695636</v>
      </c>
      <c r="N82" s="224">
        <f t="shared" si="18"/>
        <v>41695636</v>
      </c>
      <c r="O82" s="224">
        <f t="shared" si="18"/>
        <v>41695636</v>
      </c>
      <c r="P82" s="224">
        <f t="shared" si="18"/>
        <v>41695636</v>
      </c>
      <c r="Q82" s="168">
        <f t="shared" si="14"/>
        <v>500347632</v>
      </c>
      <c r="R82" s="181" t="s">
        <v>398</v>
      </c>
      <c r="S82" s="303">
        <f>'RINCIAN B. TDK LANGSUNG'!Q78+'RINCIAN B. TDK LANGSUNG'!Q79</f>
        <v>0</v>
      </c>
      <c r="T82" s="298">
        <f>Q82-S82</f>
        <v>500347632</v>
      </c>
    </row>
    <row r="83" spans="1:21" ht="15.75" customHeight="1" thickBot="1" x14ac:dyDescent="0.2">
      <c r="A83" s="199"/>
      <c r="B83" s="554" t="s">
        <v>399</v>
      </c>
      <c r="C83" s="555"/>
      <c r="D83" s="556"/>
      <c r="E83" s="225">
        <f>SUM(E81:E82)</f>
        <v>421675956</v>
      </c>
      <c r="F83" s="225">
        <f t="shared" ref="F83:O83" si="19">SUM(F81:F82)</f>
        <v>324995636</v>
      </c>
      <c r="G83" s="225">
        <f t="shared" si="19"/>
        <v>400295636</v>
      </c>
      <c r="H83" s="225">
        <f t="shared" si="19"/>
        <v>514495636</v>
      </c>
      <c r="I83" s="225">
        <f t="shared" si="19"/>
        <v>438645636</v>
      </c>
      <c r="J83" s="225">
        <f t="shared" si="19"/>
        <v>377495636</v>
      </c>
      <c r="K83" s="225">
        <f t="shared" si="19"/>
        <v>314095636</v>
      </c>
      <c r="L83" s="225">
        <f t="shared" si="19"/>
        <v>379345636</v>
      </c>
      <c r="M83" s="225">
        <f t="shared" si="19"/>
        <v>309995636</v>
      </c>
      <c r="N83" s="225">
        <f t="shared" si="19"/>
        <v>323095636</v>
      </c>
      <c r="O83" s="225">
        <f t="shared" si="19"/>
        <v>318795636</v>
      </c>
      <c r="P83" s="225">
        <f>SUM(P81:P82)</f>
        <v>488795636</v>
      </c>
      <c r="Q83" s="225">
        <f>SUM(Q81:Q82)</f>
        <v>4611727952</v>
      </c>
      <c r="R83" s="226"/>
      <c r="S83" s="303" t="e">
        <f>SUM(S81:S82)</f>
        <v>#REF!</v>
      </c>
      <c r="T83" s="303" t="e">
        <f>SUM(T81:T82)</f>
        <v>#REF!</v>
      </c>
      <c r="U83" s="178" t="e">
        <f>Q83-S83</f>
        <v>#REF!</v>
      </c>
    </row>
    <row r="84" spans="1:21" ht="12.75" customHeight="1" thickTop="1" x14ac:dyDescent="0.15">
      <c r="A84" s="202"/>
      <c r="E84" s="227"/>
      <c r="F84" s="227"/>
      <c r="G84" s="227"/>
      <c r="H84" s="227"/>
      <c r="I84" s="227"/>
      <c r="J84" s="227"/>
      <c r="K84" s="227"/>
      <c r="L84" s="228"/>
      <c r="M84" s="228"/>
      <c r="N84" s="228"/>
      <c r="O84" s="228"/>
      <c r="P84" s="228"/>
      <c r="Q84" s="228">
        <f>Q83+'[7]P-10. Biaya Operasi'!Q97</f>
        <v>9579960717</v>
      </c>
      <c r="S84" s="178">
        <f>'RINCIAN B. TDK LANGSUNG'!Q80</f>
        <v>0</v>
      </c>
    </row>
    <row r="85" spans="1:21" ht="12.75" customHeight="1" x14ac:dyDescent="0.15">
      <c r="A85" s="202"/>
      <c r="E85" s="227"/>
      <c r="F85" s="227"/>
      <c r="G85" s="227"/>
      <c r="H85" s="227"/>
      <c r="I85" s="227"/>
      <c r="J85" s="227"/>
      <c r="K85" s="227"/>
      <c r="L85" s="228"/>
      <c r="M85" s="228"/>
      <c r="N85" s="228"/>
      <c r="O85" s="228"/>
      <c r="P85" s="228"/>
      <c r="Q85" s="228"/>
      <c r="R85" s="230"/>
    </row>
    <row r="86" spans="1:21" ht="12.75" customHeight="1" x14ac:dyDescent="0.15">
      <c r="A86" s="202"/>
      <c r="L86" s="231"/>
      <c r="M86" s="231"/>
      <c r="P86" s="233"/>
      <c r="Q86" s="231"/>
      <c r="R86" s="234"/>
    </row>
    <row r="87" spans="1:21" ht="12.75" customHeight="1" x14ac:dyDescent="0.15">
      <c r="A87" s="202"/>
      <c r="Q87" s="231"/>
      <c r="R87" s="234"/>
    </row>
    <row r="88" spans="1:21" ht="12.75" customHeight="1" x14ac:dyDescent="0.15">
      <c r="A88" s="202"/>
      <c r="M88" s="231"/>
    </row>
    <row r="89" spans="1:21" ht="12.75" customHeight="1" x14ac:dyDescent="0.15">
      <c r="A89" s="202"/>
    </row>
    <row r="90" spans="1:21" ht="12.75" customHeight="1" x14ac:dyDescent="0.15">
      <c r="A90" s="202"/>
      <c r="Q90" s="231"/>
    </row>
    <row r="91" spans="1:21" ht="12.75" customHeight="1" x14ac:dyDescent="0.15">
      <c r="A91" s="202"/>
    </row>
    <row r="92" spans="1:21" s="203" customFormat="1" ht="12.75" customHeight="1" x14ac:dyDescent="0.15">
      <c r="A92" s="202"/>
      <c r="C92" s="158"/>
      <c r="D92" s="158"/>
      <c r="E92" s="158"/>
      <c r="F92" s="158"/>
      <c r="G92" s="158"/>
      <c r="H92" s="158"/>
      <c r="I92" s="158"/>
      <c r="J92" s="158"/>
      <c r="K92" s="158"/>
      <c r="L92" s="232"/>
      <c r="M92" s="232"/>
      <c r="N92" s="232"/>
      <c r="O92" s="232"/>
      <c r="P92" s="232"/>
      <c r="Q92" s="231"/>
      <c r="R92" s="229"/>
    </row>
    <row r="93" spans="1:21" s="203" customFormat="1" ht="12.75" customHeight="1" x14ac:dyDescent="0.15">
      <c r="A93" s="202"/>
      <c r="C93" s="158"/>
      <c r="D93" s="158"/>
      <c r="E93" s="158"/>
      <c r="F93" s="158"/>
      <c r="G93" s="158"/>
      <c r="H93" s="158"/>
      <c r="I93" s="158"/>
      <c r="J93" s="158"/>
      <c r="K93" s="158"/>
      <c r="L93" s="232"/>
      <c r="M93" s="232"/>
      <c r="N93" s="232"/>
      <c r="O93" s="232"/>
      <c r="P93" s="232"/>
      <c r="Q93" s="231"/>
      <c r="R93" s="229"/>
    </row>
    <row r="94" spans="1:21" s="203" customFormat="1" ht="12.75" customHeight="1" x14ac:dyDescent="0.15">
      <c r="A94" s="202"/>
      <c r="C94" s="158"/>
      <c r="D94" s="158"/>
      <c r="E94" s="158"/>
      <c r="F94" s="158"/>
      <c r="G94" s="158"/>
      <c r="H94" s="158"/>
      <c r="I94" s="158"/>
      <c r="J94" s="158"/>
      <c r="K94" s="158"/>
      <c r="L94" s="232"/>
      <c r="M94" s="232"/>
      <c r="N94" s="232"/>
      <c r="O94" s="232"/>
      <c r="P94" s="232"/>
      <c r="Q94" s="232"/>
      <c r="R94" s="229"/>
    </row>
    <row r="95" spans="1:21" s="203" customFormat="1" ht="12.75" customHeight="1" x14ac:dyDescent="0.15">
      <c r="A95" s="202"/>
      <c r="C95" s="158"/>
      <c r="D95" s="158"/>
      <c r="E95" s="158"/>
      <c r="F95" s="158"/>
      <c r="G95" s="158"/>
      <c r="H95" s="158"/>
      <c r="I95" s="158"/>
      <c r="J95" s="158"/>
      <c r="K95" s="158"/>
      <c r="L95" s="232"/>
      <c r="M95" s="232"/>
      <c r="N95" s="232"/>
      <c r="O95" s="232"/>
      <c r="P95" s="232"/>
      <c r="Q95" s="232"/>
      <c r="R95" s="229"/>
    </row>
    <row r="96" spans="1:21" s="203" customFormat="1" ht="12.75" customHeight="1" x14ac:dyDescent="0.15">
      <c r="A96" s="202"/>
      <c r="C96" s="158"/>
      <c r="D96" s="158"/>
      <c r="E96" s="158"/>
      <c r="F96" s="158"/>
      <c r="G96" s="158"/>
      <c r="H96" s="158"/>
      <c r="I96" s="158"/>
      <c r="J96" s="158"/>
      <c r="K96" s="158"/>
      <c r="L96" s="232"/>
      <c r="M96" s="232"/>
      <c r="N96" s="232"/>
      <c r="O96" s="232"/>
      <c r="P96" s="232"/>
      <c r="Q96" s="232"/>
      <c r="R96" s="229"/>
    </row>
    <row r="97" spans="1:18" s="203" customFormat="1" ht="12.75" customHeight="1" x14ac:dyDescent="0.15">
      <c r="A97" s="202"/>
      <c r="C97" s="158"/>
      <c r="D97" s="158"/>
      <c r="E97" s="158"/>
      <c r="F97" s="158"/>
      <c r="G97" s="158"/>
      <c r="H97" s="158"/>
      <c r="I97" s="158"/>
      <c r="J97" s="158"/>
      <c r="K97" s="158"/>
      <c r="L97" s="232"/>
      <c r="M97" s="232"/>
      <c r="N97" s="232"/>
      <c r="O97" s="232"/>
      <c r="P97" s="232"/>
      <c r="Q97" s="232"/>
      <c r="R97" s="229"/>
    </row>
    <row r="98" spans="1:18" s="203" customFormat="1" ht="12.75" customHeight="1" x14ac:dyDescent="0.15">
      <c r="A98" s="202"/>
      <c r="C98" s="158"/>
      <c r="D98" s="158"/>
      <c r="E98" s="158"/>
      <c r="F98" s="158"/>
      <c r="G98" s="158"/>
      <c r="H98" s="158"/>
      <c r="I98" s="158"/>
      <c r="J98" s="158"/>
      <c r="K98" s="158"/>
      <c r="L98" s="232"/>
      <c r="M98" s="232"/>
      <c r="N98" s="232"/>
      <c r="O98" s="232"/>
      <c r="P98" s="232"/>
      <c r="Q98" s="232"/>
      <c r="R98" s="229"/>
    </row>
    <row r="99" spans="1:18" s="203" customFormat="1" ht="12.75" customHeight="1" x14ac:dyDescent="0.15">
      <c r="A99" s="202"/>
      <c r="C99" s="158"/>
      <c r="D99" s="158"/>
      <c r="E99" s="158"/>
      <c r="F99" s="158"/>
      <c r="G99" s="158"/>
      <c r="H99" s="158"/>
      <c r="I99" s="158"/>
      <c r="J99" s="158"/>
      <c r="K99" s="158"/>
      <c r="L99" s="232"/>
      <c r="M99" s="232"/>
      <c r="N99" s="232"/>
      <c r="O99" s="232"/>
      <c r="P99" s="232"/>
      <c r="Q99" s="232"/>
      <c r="R99" s="229"/>
    </row>
    <row r="100" spans="1:18" s="203" customFormat="1" ht="12.75" customHeight="1" x14ac:dyDescent="0.15">
      <c r="A100" s="202"/>
      <c r="C100" s="158"/>
      <c r="D100" s="158"/>
      <c r="E100" s="158"/>
      <c r="F100" s="158"/>
      <c r="G100" s="158"/>
      <c r="H100" s="158"/>
      <c r="I100" s="158"/>
      <c r="J100" s="158"/>
      <c r="K100" s="158"/>
      <c r="L100" s="232"/>
      <c r="M100" s="232"/>
      <c r="N100" s="232"/>
      <c r="O100" s="232"/>
      <c r="P100" s="232"/>
      <c r="Q100" s="232"/>
      <c r="R100" s="229"/>
    </row>
    <row r="101" spans="1:18" s="203" customFormat="1" ht="12.75" customHeight="1" x14ac:dyDescent="0.15">
      <c r="A101" s="202"/>
      <c r="C101" s="158"/>
      <c r="D101" s="158"/>
      <c r="E101" s="158"/>
      <c r="F101" s="158"/>
      <c r="G101" s="158"/>
      <c r="H101" s="158"/>
      <c r="I101" s="158"/>
      <c r="J101" s="158"/>
      <c r="K101" s="158"/>
      <c r="L101" s="232"/>
      <c r="M101" s="232"/>
      <c r="N101" s="232"/>
      <c r="O101" s="232"/>
      <c r="P101" s="232"/>
      <c r="Q101" s="232"/>
      <c r="R101" s="229"/>
    </row>
    <row r="102" spans="1:18" s="203" customFormat="1" ht="12.75" customHeight="1" x14ac:dyDescent="0.15">
      <c r="A102" s="202"/>
      <c r="C102" s="158"/>
      <c r="D102" s="158"/>
      <c r="E102" s="158"/>
      <c r="F102" s="158"/>
      <c r="G102" s="158"/>
      <c r="H102" s="158"/>
      <c r="I102" s="158"/>
      <c r="J102" s="158"/>
      <c r="K102" s="158"/>
      <c r="L102" s="232"/>
      <c r="M102" s="232"/>
      <c r="N102" s="232"/>
      <c r="O102" s="232"/>
      <c r="P102" s="232"/>
      <c r="Q102" s="232"/>
      <c r="R102" s="229"/>
    </row>
    <row r="103" spans="1:18" s="203" customFormat="1" ht="12.75" customHeight="1" x14ac:dyDescent="0.15">
      <c r="A103" s="202"/>
      <c r="C103" s="158"/>
      <c r="D103" s="158"/>
      <c r="E103" s="158"/>
      <c r="F103" s="158"/>
      <c r="G103" s="158"/>
      <c r="H103" s="158"/>
      <c r="I103" s="158"/>
      <c r="J103" s="158"/>
      <c r="K103" s="158"/>
      <c r="L103" s="232"/>
      <c r="M103" s="232"/>
      <c r="N103" s="232"/>
      <c r="O103" s="232"/>
      <c r="P103" s="232"/>
      <c r="Q103" s="232"/>
      <c r="R103" s="229"/>
    </row>
    <row r="104" spans="1:18" s="203" customFormat="1" ht="12.75" customHeight="1" x14ac:dyDescent="0.15">
      <c r="A104" s="202"/>
      <c r="C104" s="158"/>
      <c r="D104" s="158"/>
      <c r="E104" s="158"/>
      <c r="F104" s="158"/>
      <c r="G104" s="158"/>
      <c r="H104" s="158"/>
      <c r="I104" s="158"/>
      <c r="J104" s="158"/>
      <c r="K104" s="158"/>
      <c r="L104" s="232"/>
      <c r="M104" s="232"/>
      <c r="N104" s="232"/>
      <c r="O104" s="232"/>
      <c r="P104" s="232"/>
      <c r="Q104" s="232"/>
      <c r="R104" s="229"/>
    </row>
    <row r="105" spans="1:18" s="203" customFormat="1" ht="12.75" customHeight="1" x14ac:dyDescent="0.15">
      <c r="A105" s="202"/>
      <c r="C105" s="158"/>
      <c r="D105" s="158"/>
      <c r="E105" s="158"/>
      <c r="F105" s="158"/>
      <c r="G105" s="158"/>
      <c r="H105" s="158"/>
      <c r="I105" s="158"/>
      <c r="J105" s="158"/>
      <c r="K105" s="158"/>
      <c r="L105" s="232"/>
      <c r="M105" s="232"/>
      <c r="N105" s="232"/>
      <c r="O105" s="232"/>
      <c r="P105" s="232"/>
      <c r="Q105" s="232"/>
      <c r="R105" s="229"/>
    </row>
    <row r="106" spans="1:18" s="203" customFormat="1" ht="12.75" customHeight="1" x14ac:dyDescent="0.15">
      <c r="A106" s="202"/>
      <c r="C106" s="158"/>
      <c r="D106" s="158"/>
      <c r="E106" s="158"/>
      <c r="F106" s="158"/>
      <c r="G106" s="158"/>
      <c r="H106" s="158"/>
      <c r="I106" s="158"/>
      <c r="J106" s="158"/>
      <c r="K106" s="158"/>
      <c r="L106" s="232"/>
      <c r="M106" s="232"/>
      <c r="N106" s="232"/>
      <c r="O106" s="232"/>
      <c r="P106" s="232"/>
      <c r="Q106" s="232"/>
      <c r="R106" s="229"/>
    </row>
    <row r="107" spans="1:18" s="203" customFormat="1" ht="12.75" customHeight="1" x14ac:dyDescent="0.15">
      <c r="A107" s="202"/>
      <c r="C107" s="158"/>
      <c r="D107" s="158"/>
      <c r="E107" s="158"/>
      <c r="F107" s="158"/>
      <c r="G107" s="158"/>
      <c r="H107" s="158"/>
      <c r="I107" s="158"/>
      <c r="J107" s="158"/>
      <c r="K107" s="158"/>
      <c r="L107" s="232"/>
      <c r="M107" s="232"/>
      <c r="N107" s="232"/>
      <c r="O107" s="232"/>
      <c r="P107" s="232"/>
      <c r="Q107" s="232"/>
      <c r="R107" s="229"/>
    </row>
    <row r="108" spans="1:18" s="203" customFormat="1" ht="12.75" customHeight="1" x14ac:dyDescent="0.15">
      <c r="A108" s="202"/>
      <c r="C108" s="158"/>
      <c r="D108" s="158"/>
      <c r="E108" s="158"/>
      <c r="F108" s="158"/>
      <c r="G108" s="158"/>
      <c r="H108" s="158"/>
      <c r="I108" s="158"/>
      <c r="J108" s="158"/>
      <c r="K108" s="158"/>
      <c r="L108" s="232"/>
      <c r="M108" s="232"/>
      <c r="N108" s="232"/>
      <c r="O108" s="232"/>
      <c r="P108" s="232"/>
      <c r="Q108" s="232"/>
      <c r="R108" s="229"/>
    </row>
    <row r="109" spans="1:18" s="203" customFormat="1" ht="12.75" customHeight="1" x14ac:dyDescent="0.15">
      <c r="A109" s="202"/>
      <c r="C109" s="158"/>
      <c r="D109" s="158"/>
      <c r="E109" s="158"/>
      <c r="F109" s="158"/>
      <c r="G109" s="158"/>
      <c r="H109" s="158"/>
      <c r="I109" s="158"/>
      <c r="J109" s="158"/>
      <c r="K109" s="158"/>
      <c r="L109" s="232"/>
      <c r="M109" s="232"/>
      <c r="N109" s="232"/>
      <c r="O109" s="232"/>
      <c r="P109" s="232"/>
      <c r="Q109" s="232"/>
      <c r="R109" s="229"/>
    </row>
    <row r="110" spans="1:18" s="203" customFormat="1" ht="12.75" customHeight="1" x14ac:dyDescent="0.15">
      <c r="A110" s="202"/>
      <c r="C110" s="158"/>
      <c r="D110" s="158"/>
      <c r="E110" s="158"/>
      <c r="F110" s="158"/>
      <c r="G110" s="158"/>
      <c r="H110" s="158"/>
      <c r="I110" s="158"/>
      <c r="J110" s="158"/>
      <c r="K110" s="158"/>
      <c r="L110" s="232"/>
      <c r="M110" s="232"/>
      <c r="N110" s="232"/>
      <c r="O110" s="232"/>
      <c r="P110" s="232"/>
      <c r="Q110" s="232"/>
      <c r="R110" s="229"/>
    </row>
    <row r="111" spans="1:18" s="203" customFormat="1" ht="12.75" customHeight="1" x14ac:dyDescent="0.15">
      <c r="A111" s="202"/>
      <c r="C111" s="158"/>
      <c r="D111" s="158"/>
      <c r="E111" s="158"/>
      <c r="F111" s="158"/>
      <c r="G111" s="158"/>
      <c r="H111" s="158"/>
      <c r="I111" s="158"/>
      <c r="J111" s="158"/>
      <c r="K111" s="158"/>
      <c r="L111" s="232"/>
      <c r="M111" s="232"/>
      <c r="N111" s="232"/>
      <c r="O111" s="232"/>
      <c r="P111" s="232"/>
      <c r="Q111" s="232"/>
      <c r="R111" s="229"/>
    </row>
    <row r="112" spans="1:18" s="203" customFormat="1" ht="12.75" customHeight="1" x14ac:dyDescent="0.15">
      <c r="A112" s="202"/>
      <c r="C112" s="158"/>
      <c r="D112" s="158"/>
      <c r="E112" s="158"/>
      <c r="F112" s="158"/>
      <c r="G112" s="158"/>
      <c r="H112" s="158"/>
      <c r="I112" s="158"/>
      <c r="J112" s="158"/>
      <c r="K112" s="158"/>
      <c r="L112" s="232"/>
      <c r="M112" s="232"/>
      <c r="N112" s="232"/>
      <c r="O112" s="232"/>
      <c r="P112" s="232"/>
      <c r="Q112" s="232"/>
      <c r="R112" s="229"/>
    </row>
    <row r="113" spans="1:18" s="203" customFormat="1" ht="12.75" customHeight="1" x14ac:dyDescent="0.15">
      <c r="A113" s="202"/>
      <c r="C113" s="158"/>
      <c r="D113" s="158"/>
      <c r="E113" s="158"/>
      <c r="F113" s="158"/>
      <c r="G113" s="158"/>
      <c r="H113" s="158"/>
      <c r="I113" s="158"/>
      <c r="J113" s="158"/>
      <c r="K113" s="158"/>
      <c r="L113" s="232"/>
      <c r="M113" s="232"/>
      <c r="N113" s="232"/>
      <c r="O113" s="232"/>
      <c r="P113" s="232"/>
      <c r="Q113" s="232"/>
      <c r="R113" s="229"/>
    </row>
    <row r="114" spans="1:18" s="203" customFormat="1" ht="12.75" customHeight="1" x14ac:dyDescent="0.15">
      <c r="A114" s="202"/>
      <c r="C114" s="158"/>
      <c r="D114" s="158"/>
      <c r="E114" s="158"/>
      <c r="F114" s="158"/>
      <c r="G114" s="158"/>
      <c r="H114" s="158"/>
      <c r="I114" s="158"/>
      <c r="J114" s="158"/>
      <c r="K114" s="158"/>
      <c r="L114" s="232"/>
      <c r="M114" s="232"/>
      <c r="N114" s="232"/>
      <c r="O114" s="232"/>
      <c r="P114" s="232"/>
      <c r="Q114" s="232"/>
      <c r="R114" s="229"/>
    </row>
    <row r="115" spans="1:18" s="203" customFormat="1" ht="12.75" customHeight="1" x14ac:dyDescent="0.15">
      <c r="A115" s="202"/>
      <c r="C115" s="158"/>
      <c r="D115" s="158"/>
      <c r="E115" s="158"/>
      <c r="F115" s="158"/>
      <c r="G115" s="158"/>
      <c r="H115" s="158"/>
      <c r="I115" s="158"/>
      <c r="J115" s="158"/>
      <c r="K115" s="158"/>
      <c r="L115" s="232"/>
      <c r="M115" s="232"/>
      <c r="N115" s="232"/>
      <c r="O115" s="232"/>
      <c r="P115" s="232"/>
      <c r="Q115" s="232"/>
      <c r="R115" s="229"/>
    </row>
    <row r="116" spans="1:18" s="203" customFormat="1" ht="12.75" customHeight="1" x14ac:dyDescent="0.15">
      <c r="A116" s="202"/>
      <c r="C116" s="158"/>
      <c r="D116" s="158"/>
      <c r="E116" s="158"/>
      <c r="F116" s="158"/>
      <c r="G116" s="158"/>
      <c r="H116" s="158"/>
      <c r="I116" s="158"/>
      <c r="J116" s="158"/>
      <c r="K116" s="158"/>
      <c r="L116" s="232"/>
      <c r="M116" s="232"/>
      <c r="N116" s="232"/>
      <c r="O116" s="232"/>
      <c r="P116" s="232"/>
      <c r="Q116" s="232"/>
      <c r="R116" s="229"/>
    </row>
    <row r="117" spans="1:18" s="203" customFormat="1" ht="12.75" customHeight="1" x14ac:dyDescent="0.15">
      <c r="A117" s="202"/>
      <c r="C117" s="158"/>
      <c r="D117" s="158"/>
      <c r="E117" s="158"/>
      <c r="F117" s="158"/>
      <c r="G117" s="158"/>
      <c r="H117" s="158"/>
      <c r="I117" s="158"/>
      <c r="J117" s="158"/>
      <c r="K117" s="158"/>
      <c r="L117" s="232"/>
      <c r="M117" s="232"/>
      <c r="N117" s="232"/>
      <c r="O117" s="232"/>
      <c r="P117" s="232"/>
      <c r="Q117" s="232"/>
      <c r="R117" s="229"/>
    </row>
    <row r="118" spans="1:18" s="203" customFormat="1" ht="12.75" customHeight="1" x14ac:dyDescent="0.15">
      <c r="A118" s="202"/>
      <c r="C118" s="158"/>
      <c r="D118" s="158"/>
      <c r="E118" s="158"/>
      <c r="F118" s="158"/>
      <c r="G118" s="158"/>
      <c r="H118" s="158"/>
      <c r="I118" s="158"/>
      <c r="J118" s="158"/>
      <c r="K118" s="158"/>
      <c r="L118" s="232"/>
      <c r="M118" s="232"/>
      <c r="N118" s="232"/>
      <c r="O118" s="232"/>
      <c r="P118" s="232"/>
      <c r="Q118" s="232"/>
      <c r="R118" s="229"/>
    </row>
    <row r="119" spans="1:18" s="203" customFormat="1" ht="12.75" customHeight="1" x14ac:dyDescent="0.15">
      <c r="A119" s="202"/>
      <c r="C119" s="158"/>
      <c r="D119" s="158"/>
      <c r="E119" s="158"/>
      <c r="F119" s="158"/>
      <c r="G119" s="158"/>
      <c r="H119" s="158"/>
      <c r="I119" s="158"/>
      <c r="J119" s="158"/>
      <c r="K119" s="158"/>
      <c r="L119" s="232"/>
      <c r="M119" s="232"/>
      <c r="N119" s="232"/>
      <c r="O119" s="232"/>
      <c r="P119" s="232"/>
      <c r="Q119" s="232"/>
      <c r="R119" s="229"/>
    </row>
    <row r="120" spans="1:18" s="203" customFormat="1" ht="12.75" customHeight="1" x14ac:dyDescent="0.15">
      <c r="A120" s="202"/>
      <c r="C120" s="158"/>
      <c r="D120" s="158"/>
      <c r="E120" s="158"/>
      <c r="F120" s="158"/>
      <c r="G120" s="158"/>
      <c r="H120" s="158"/>
      <c r="I120" s="158"/>
      <c r="J120" s="158"/>
      <c r="K120" s="158"/>
      <c r="L120" s="232"/>
      <c r="M120" s="232"/>
      <c r="N120" s="232"/>
      <c r="O120" s="232"/>
      <c r="P120" s="232"/>
      <c r="Q120" s="232"/>
      <c r="R120" s="229"/>
    </row>
    <row r="121" spans="1:18" s="203" customFormat="1" ht="12.75" customHeight="1" x14ac:dyDescent="0.15">
      <c r="A121" s="202"/>
      <c r="C121" s="158"/>
      <c r="D121" s="158"/>
      <c r="E121" s="158"/>
      <c r="F121" s="158"/>
      <c r="G121" s="158"/>
      <c r="H121" s="158"/>
      <c r="I121" s="158"/>
      <c r="J121" s="158"/>
      <c r="K121" s="158"/>
      <c r="L121" s="232"/>
      <c r="M121" s="232"/>
      <c r="N121" s="232"/>
      <c r="O121" s="232"/>
      <c r="P121" s="232"/>
      <c r="Q121" s="232"/>
      <c r="R121" s="229"/>
    </row>
    <row r="122" spans="1:18" s="203" customFormat="1" ht="12.75" customHeight="1" x14ac:dyDescent="0.15">
      <c r="A122" s="202"/>
      <c r="C122" s="158"/>
      <c r="D122" s="158"/>
      <c r="E122" s="158"/>
      <c r="F122" s="158"/>
      <c r="G122" s="158"/>
      <c r="H122" s="158"/>
      <c r="I122" s="158"/>
      <c r="J122" s="158"/>
      <c r="K122" s="158"/>
      <c r="L122" s="232"/>
      <c r="M122" s="232"/>
      <c r="N122" s="232"/>
      <c r="O122" s="232"/>
      <c r="P122" s="232"/>
      <c r="Q122" s="232"/>
      <c r="R122" s="229"/>
    </row>
    <row r="123" spans="1:18" s="203" customFormat="1" ht="12.75" customHeight="1" x14ac:dyDescent="0.15">
      <c r="A123" s="202"/>
      <c r="C123" s="158"/>
      <c r="D123" s="158"/>
      <c r="E123" s="158"/>
      <c r="F123" s="158"/>
      <c r="G123" s="158"/>
      <c r="H123" s="158"/>
      <c r="I123" s="158"/>
      <c r="J123" s="158"/>
      <c r="K123" s="158"/>
      <c r="L123" s="232"/>
      <c r="M123" s="232"/>
      <c r="N123" s="232"/>
      <c r="O123" s="232"/>
      <c r="P123" s="232"/>
      <c r="Q123" s="232"/>
      <c r="R123" s="229"/>
    </row>
    <row r="124" spans="1:18" s="203" customFormat="1" ht="12.75" customHeight="1" x14ac:dyDescent="0.15">
      <c r="A124" s="202"/>
      <c r="C124" s="158"/>
      <c r="D124" s="158"/>
      <c r="E124" s="158"/>
      <c r="F124" s="158"/>
      <c r="G124" s="158"/>
      <c r="H124" s="158"/>
      <c r="I124" s="158"/>
      <c r="J124" s="158"/>
      <c r="K124" s="158"/>
      <c r="L124" s="232"/>
      <c r="M124" s="232"/>
      <c r="N124" s="232"/>
      <c r="O124" s="232"/>
      <c r="P124" s="232"/>
      <c r="Q124" s="232"/>
      <c r="R124" s="229"/>
    </row>
    <row r="125" spans="1:18" s="203" customFormat="1" ht="12.75" customHeight="1" x14ac:dyDescent="0.15">
      <c r="A125" s="202"/>
      <c r="C125" s="158"/>
      <c r="D125" s="158"/>
      <c r="E125" s="158"/>
      <c r="F125" s="158"/>
      <c r="G125" s="158"/>
      <c r="H125" s="158"/>
      <c r="I125" s="158"/>
      <c r="J125" s="158"/>
      <c r="K125" s="158"/>
      <c r="L125" s="232"/>
      <c r="M125" s="232"/>
      <c r="N125" s="232"/>
      <c r="O125" s="232"/>
      <c r="P125" s="232"/>
      <c r="Q125" s="232"/>
      <c r="R125" s="229"/>
    </row>
    <row r="126" spans="1:18" s="203" customFormat="1" ht="12.75" customHeight="1" x14ac:dyDescent="0.15">
      <c r="A126" s="202"/>
      <c r="C126" s="158"/>
      <c r="D126" s="158"/>
      <c r="E126" s="158"/>
      <c r="F126" s="158"/>
      <c r="G126" s="158"/>
      <c r="H126" s="158"/>
      <c r="I126" s="158"/>
      <c r="J126" s="158"/>
      <c r="K126" s="158"/>
      <c r="L126" s="232"/>
      <c r="M126" s="232"/>
      <c r="N126" s="232"/>
      <c r="O126" s="232"/>
      <c r="P126" s="232"/>
      <c r="Q126" s="232"/>
      <c r="R126" s="229"/>
    </row>
    <row r="127" spans="1:18" s="203" customFormat="1" ht="12.75" customHeight="1" x14ac:dyDescent="0.15">
      <c r="A127" s="202"/>
      <c r="C127" s="158"/>
      <c r="D127" s="158"/>
      <c r="E127" s="158"/>
      <c r="F127" s="158"/>
      <c r="G127" s="158"/>
      <c r="H127" s="158"/>
      <c r="I127" s="158"/>
      <c r="J127" s="158"/>
      <c r="K127" s="158"/>
      <c r="L127" s="232"/>
      <c r="M127" s="232"/>
      <c r="N127" s="232"/>
      <c r="O127" s="232"/>
      <c r="P127" s="232"/>
      <c r="Q127" s="232"/>
      <c r="R127" s="229"/>
    </row>
    <row r="128" spans="1:18" s="203" customFormat="1" ht="12.75" customHeight="1" x14ac:dyDescent="0.15">
      <c r="A128" s="202"/>
      <c r="C128" s="158"/>
      <c r="D128" s="158"/>
      <c r="E128" s="158"/>
      <c r="F128" s="158"/>
      <c r="G128" s="158"/>
      <c r="H128" s="158"/>
      <c r="I128" s="158"/>
      <c r="J128" s="158"/>
      <c r="K128" s="158"/>
      <c r="L128" s="232"/>
      <c r="M128" s="232"/>
      <c r="N128" s="232"/>
      <c r="O128" s="232"/>
      <c r="P128" s="232"/>
      <c r="Q128" s="232"/>
      <c r="R128" s="229"/>
    </row>
    <row r="129" spans="1:18" s="203" customFormat="1" ht="12.75" customHeight="1" x14ac:dyDescent="0.15">
      <c r="A129" s="202"/>
      <c r="C129" s="158"/>
      <c r="D129" s="158"/>
      <c r="E129" s="158"/>
      <c r="F129" s="158"/>
      <c r="G129" s="158"/>
      <c r="H129" s="158"/>
      <c r="I129" s="158"/>
      <c r="J129" s="158"/>
      <c r="K129" s="158"/>
      <c r="L129" s="232"/>
      <c r="M129" s="232"/>
      <c r="N129" s="232"/>
      <c r="O129" s="232"/>
      <c r="P129" s="232"/>
      <c r="Q129" s="232"/>
      <c r="R129" s="229"/>
    </row>
    <row r="130" spans="1:18" s="203" customFormat="1" ht="12.75" customHeight="1" x14ac:dyDescent="0.15">
      <c r="A130" s="202"/>
      <c r="C130" s="158"/>
      <c r="D130" s="158"/>
      <c r="E130" s="158"/>
      <c r="F130" s="158"/>
      <c r="G130" s="158"/>
      <c r="H130" s="158"/>
      <c r="I130" s="158"/>
      <c r="J130" s="158"/>
      <c r="K130" s="158"/>
      <c r="L130" s="232"/>
      <c r="M130" s="232"/>
      <c r="N130" s="232"/>
      <c r="O130" s="232"/>
      <c r="P130" s="232"/>
      <c r="Q130" s="232"/>
      <c r="R130" s="229"/>
    </row>
    <row r="131" spans="1:18" s="203" customFormat="1" ht="12.75" customHeight="1" x14ac:dyDescent="0.15">
      <c r="A131" s="202"/>
      <c r="C131" s="158"/>
      <c r="D131" s="158"/>
      <c r="E131" s="158"/>
      <c r="F131" s="158"/>
      <c r="G131" s="158"/>
      <c r="H131" s="158"/>
      <c r="I131" s="158"/>
      <c r="J131" s="158"/>
      <c r="K131" s="158"/>
      <c r="L131" s="232"/>
      <c r="M131" s="232"/>
      <c r="N131" s="232"/>
      <c r="O131" s="232"/>
      <c r="P131" s="232"/>
      <c r="Q131" s="232"/>
      <c r="R131" s="229"/>
    </row>
    <row r="132" spans="1:18" s="203" customFormat="1" ht="12.75" customHeight="1" x14ac:dyDescent="0.15">
      <c r="A132" s="202"/>
      <c r="C132" s="158"/>
      <c r="D132" s="158"/>
      <c r="E132" s="158"/>
      <c r="F132" s="158"/>
      <c r="G132" s="158"/>
      <c r="H132" s="158"/>
      <c r="I132" s="158"/>
      <c r="J132" s="158"/>
      <c r="K132" s="158"/>
      <c r="L132" s="232"/>
      <c r="M132" s="232"/>
      <c r="N132" s="232"/>
      <c r="O132" s="232"/>
      <c r="P132" s="232"/>
      <c r="Q132" s="232"/>
      <c r="R132" s="229"/>
    </row>
    <row r="133" spans="1:18" s="203" customFormat="1" ht="12.75" customHeight="1" x14ac:dyDescent="0.15">
      <c r="A133" s="202"/>
      <c r="C133" s="158"/>
      <c r="D133" s="158"/>
      <c r="E133" s="158"/>
      <c r="F133" s="158"/>
      <c r="G133" s="158"/>
      <c r="H133" s="158"/>
      <c r="I133" s="158"/>
      <c r="J133" s="158"/>
      <c r="K133" s="158"/>
      <c r="L133" s="232"/>
      <c r="M133" s="232"/>
      <c r="N133" s="232"/>
      <c r="O133" s="232"/>
      <c r="P133" s="232"/>
      <c r="Q133" s="232"/>
      <c r="R133" s="229"/>
    </row>
    <row r="134" spans="1:18" s="203" customFormat="1" ht="12.75" customHeight="1" x14ac:dyDescent="0.15">
      <c r="A134" s="202"/>
      <c r="C134" s="158"/>
      <c r="D134" s="158"/>
      <c r="E134" s="158"/>
      <c r="F134" s="158"/>
      <c r="G134" s="158"/>
      <c r="H134" s="158"/>
      <c r="I134" s="158"/>
      <c r="J134" s="158"/>
      <c r="K134" s="158"/>
      <c r="L134" s="232"/>
      <c r="M134" s="232"/>
      <c r="N134" s="232"/>
      <c r="O134" s="232"/>
      <c r="P134" s="232"/>
      <c r="Q134" s="232"/>
      <c r="R134" s="229"/>
    </row>
    <row r="135" spans="1:18" s="203" customFormat="1" ht="12.75" customHeight="1" x14ac:dyDescent="0.15">
      <c r="A135" s="202"/>
      <c r="C135" s="158"/>
      <c r="D135" s="158"/>
      <c r="E135" s="158"/>
      <c r="F135" s="158"/>
      <c r="G135" s="158"/>
      <c r="H135" s="158"/>
      <c r="I135" s="158"/>
      <c r="J135" s="158"/>
      <c r="K135" s="158"/>
      <c r="L135" s="232"/>
      <c r="M135" s="232"/>
      <c r="N135" s="232"/>
      <c r="O135" s="232"/>
      <c r="P135" s="232"/>
      <c r="Q135" s="232"/>
      <c r="R135" s="229"/>
    </row>
    <row r="136" spans="1:18" s="203" customFormat="1" ht="12.75" customHeight="1" x14ac:dyDescent="0.15">
      <c r="A136" s="202"/>
      <c r="C136" s="158"/>
      <c r="D136" s="158"/>
      <c r="E136" s="158"/>
      <c r="F136" s="158"/>
      <c r="G136" s="158"/>
      <c r="H136" s="158"/>
      <c r="I136" s="158"/>
      <c r="J136" s="158"/>
      <c r="K136" s="158"/>
      <c r="L136" s="232"/>
      <c r="M136" s="232"/>
      <c r="N136" s="232"/>
      <c r="O136" s="232"/>
      <c r="P136" s="232"/>
      <c r="Q136" s="232"/>
      <c r="R136" s="229"/>
    </row>
    <row r="137" spans="1:18" s="203" customFormat="1" ht="12.75" customHeight="1" x14ac:dyDescent="0.15">
      <c r="A137" s="202"/>
      <c r="C137" s="158"/>
      <c r="D137" s="158"/>
      <c r="E137" s="158"/>
      <c r="F137" s="158"/>
      <c r="G137" s="158"/>
      <c r="H137" s="158"/>
      <c r="I137" s="158"/>
      <c r="J137" s="158"/>
      <c r="K137" s="158"/>
      <c r="L137" s="232"/>
      <c r="M137" s="232"/>
      <c r="N137" s="232"/>
      <c r="O137" s="232"/>
      <c r="P137" s="232"/>
      <c r="Q137" s="232"/>
      <c r="R137" s="229"/>
    </row>
  </sheetData>
  <mergeCells count="27">
    <mergeCell ref="B10:D10"/>
    <mergeCell ref="L2:M2"/>
    <mergeCell ref="A4:R4"/>
    <mergeCell ref="A5:R5"/>
    <mergeCell ref="B8:D9"/>
    <mergeCell ref="E8:P8"/>
    <mergeCell ref="B55:D55"/>
    <mergeCell ref="B15:D15"/>
    <mergeCell ref="B28:D28"/>
    <mergeCell ref="B30:D30"/>
    <mergeCell ref="B36:D36"/>
    <mergeCell ref="B37:D37"/>
    <mergeCell ref="B41:D41"/>
    <mergeCell ref="B46:D46"/>
    <mergeCell ref="B47:D47"/>
    <mergeCell ref="B49:D49"/>
    <mergeCell ref="B50:D50"/>
    <mergeCell ref="B54:D54"/>
    <mergeCell ref="B81:D81"/>
    <mergeCell ref="B82:D82"/>
    <mergeCell ref="B83:D83"/>
    <mergeCell ref="B56:D56"/>
    <mergeCell ref="B57:D57"/>
    <mergeCell ref="B58:D58"/>
    <mergeCell ref="B60:D60"/>
    <mergeCell ref="B77:D77"/>
    <mergeCell ref="B80:D80"/>
  </mergeCells>
  <pageMargins left="0.43307086614173229" right="0.9055118110236221" top="0.55118110236220474" bottom="0.74803149606299213" header="0.31496062992125984" footer="0.31496062992125984"/>
  <pageSetup paperSize="5" scale="92" orientation="landscape" horizontalDpi="4294967293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A357-84B5-4974-9402-8E55323E6156}">
  <sheetPr>
    <tabColor rgb="FFFFFF00"/>
  </sheetPr>
  <dimension ref="A1:U149"/>
  <sheetViews>
    <sheetView showGridLines="0" showWhiteSpace="0" view="pageBreakPreview" topLeftCell="E1" zoomScale="120" zoomScaleSheetLayoutView="120" zoomScalePageLayoutView="110" workbookViewId="0">
      <pane ySplit="10" topLeftCell="A23" activePane="bottomLeft" state="frozen"/>
      <selection pane="bottomLeft" activeCell="S33" sqref="S33"/>
    </sheetView>
  </sheetViews>
  <sheetFormatPr defaultColWidth="9.140625" defaultRowHeight="12.75" customHeight="1" x14ac:dyDescent="0.15"/>
  <cols>
    <col min="1" max="1" width="6.5703125" style="158" customWidth="1"/>
    <col min="2" max="2" width="2.85546875" style="203" customWidth="1"/>
    <col min="3" max="3" width="3.140625" style="158" customWidth="1"/>
    <col min="4" max="4" width="22.85546875" style="158" customWidth="1"/>
    <col min="5" max="16" width="11.5703125" style="158" customWidth="1"/>
    <col min="17" max="17" width="11.28515625" style="158" bestFit="1" customWidth="1"/>
    <col min="18" max="19" width="11.28515625" style="158" customWidth="1"/>
    <col min="20" max="20" width="18" style="205" customWidth="1"/>
    <col min="21" max="21" width="14.140625" style="158" customWidth="1"/>
    <col min="22" max="16384" width="9.140625" style="158"/>
  </cols>
  <sheetData>
    <row r="1" spans="1:20" s="153" customFormat="1" ht="12.75" customHeight="1" x14ac:dyDescent="0.2">
      <c r="A1" s="150" t="s">
        <v>11</v>
      </c>
      <c r="B1" s="151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2"/>
    </row>
    <row r="2" spans="1:20" s="153" customFormat="1" ht="12.75" customHeight="1" x14ac:dyDescent="0.2">
      <c r="A2" s="150" t="s">
        <v>29</v>
      </c>
      <c r="B2" s="151"/>
      <c r="C2" s="150"/>
      <c r="D2" s="150"/>
      <c r="E2" s="150"/>
      <c r="F2" s="150"/>
      <c r="G2" s="150"/>
      <c r="H2" s="150"/>
      <c r="I2" s="150"/>
      <c r="J2" s="150"/>
      <c r="K2" s="574"/>
      <c r="L2" s="575"/>
      <c r="M2" s="150"/>
      <c r="N2" s="575"/>
      <c r="O2" s="575"/>
      <c r="P2" s="150"/>
      <c r="Q2" s="154" t="s">
        <v>420</v>
      </c>
      <c r="R2" s="155"/>
      <c r="S2" s="155"/>
      <c r="T2" s="152"/>
    </row>
    <row r="3" spans="1:20" s="153" customFormat="1" ht="12.75" customHeight="1" x14ac:dyDescent="0.2">
      <c r="A3" s="150"/>
      <c r="B3" s="151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5"/>
      <c r="R3" s="155"/>
      <c r="S3" s="155"/>
      <c r="T3" s="152"/>
    </row>
    <row r="4" spans="1:20" s="153" customFormat="1" ht="12.75" customHeight="1" x14ac:dyDescent="0.2">
      <c r="A4" s="532" t="s">
        <v>421</v>
      </c>
      <c r="B4" s="532"/>
      <c r="C4" s="532"/>
      <c r="D4" s="532"/>
      <c r="E4" s="532"/>
      <c r="F4" s="532"/>
      <c r="G4" s="532"/>
      <c r="H4" s="532"/>
      <c r="I4" s="532"/>
      <c r="J4" s="532"/>
      <c r="K4" s="532"/>
      <c r="L4" s="532"/>
      <c r="M4" s="532"/>
      <c r="N4" s="532"/>
      <c r="O4" s="532"/>
      <c r="P4" s="532"/>
      <c r="Q4" s="532"/>
      <c r="R4" s="532"/>
      <c r="S4" s="532"/>
      <c r="T4" s="532"/>
    </row>
    <row r="5" spans="1:20" s="153" customFormat="1" ht="12.75" customHeight="1" x14ac:dyDescent="0.2">
      <c r="A5" s="532" t="s">
        <v>454</v>
      </c>
      <c r="B5" s="532"/>
      <c r="C5" s="532"/>
      <c r="D5" s="532"/>
      <c r="E5" s="532"/>
      <c r="F5" s="532"/>
      <c r="G5" s="532"/>
      <c r="H5" s="532"/>
      <c r="I5" s="532"/>
      <c r="J5" s="532"/>
      <c r="K5" s="532"/>
      <c r="L5" s="532"/>
      <c r="M5" s="532"/>
      <c r="N5" s="532"/>
      <c r="O5" s="532"/>
      <c r="P5" s="532"/>
      <c r="Q5" s="532"/>
      <c r="R5" s="532"/>
      <c r="S5" s="532"/>
      <c r="T5" s="532"/>
    </row>
    <row r="6" spans="1:20" s="153" customFormat="1" ht="5.25" customHeight="1" x14ac:dyDescent="0.2">
      <c r="A6" s="248"/>
      <c r="B6" s="248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</row>
    <row r="7" spans="1:20" s="153" customFormat="1" ht="12.75" customHeight="1" thickBot="1" x14ac:dyDescent="0.25">
      <c r="A7" s="156" t="s">
        <v>5</v>
      </c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</row>
    <row r="8" spans="1:20" ht="15.75" customHeight="1" thickTop="1" x14ac:dyDescent="0.15">
      <c r="A8" s="157" t="s">
        <v>199</v>
      </c>
      <c r="B8" s="536" t="s">
        <v>10</v>
      </c>
      <c r="C8" s="536"/>
      <c r="D8" s="536"/>
      <c r="E8" s="557" t="s">
        <v>200</v>
      </c>
      <c r="F8" s="557"/>
      <c r="G8" s="557"/>
      <c r="H8" s="557"/>
      <c r="I8" s="557"/>
      <c r="J8" s="557"/>
      <c r="K8" s="557"/>
      <c r="L8" s="557"/>
      <c r="M8" s="557"/>
      <c r="N8" s="557"/>
      <c r="O8" s="557"/>
      <c r="P8" s="557"/>
      <c r="Q8" s="249" t="s">
        <v>4</v>
      </c>
      <c r="R8" s="235" t="s">
        <v>434</v>
      </c>
      <c r="S8" s="235" t="s">
        <v>447</v>
      </c>
      <c r="T8" s="572" t="s">
        <v>201</v>
      </c>
    </row>
    <row r="9" spans="1:20" ht="14.25" customHeight="1" x14ac:dyDescent="0.15">
      <c r="A9" s="159" t="s">
        <v>202</v>
      </c>
      <c r="B9" s="537"/>
      <c r="C9" s="537"/>
      <c r="D9" s="537"/>
      <c r="E9" s="250">
        <v>1</v>
      </c>
      <c r="F9" s="250">
        <v>2</v>
      </c>
      <c r="G9" s="250">
        <v>3</v>
      </c>
      <c r="H9" s="250">
        <v>4</v>
      </c>
      <c r="I9" s="250">
        <v>5</v>
      </c>
      <c r="J9" s="250">
        <v>6</v>
      </c>
      <c r="K9" s="250">
        <v>7</v>
      </c>
      <c r="L9" s="250">
        <v>8</v>
      </c>
      <c r="M9" s="250">
        <v>9</v>
      </c>
      <c r="N9" s="250">
        <v>10</v>
      </c>
      <c r="O9" s="250">
        <v>11</v>
      </c>
      <c r="P9" s="250">
        <v>12</v>
      </c>
      <c r="Q9" s="160">
        <v>2022</v>
      </c>
      <c r="R9" s="236">
        <v>2022</v>
      </c>
      <c r="S9" s="236">
        <v>2022</v>
      </c>
      <c r="T9" s="573"/>
    </row>
    <row r="10" spans="1:20" ht="15.75" customHeight="1" x14ac:dyDescent="0.15">
      <c r="A10" s="161">
        <v>1</v>
      </c>
      <c r="B10" s="538">
        <v>2</v>
      </c>
      <c r="C10" s="538"/>
      <c r="D10" s="538"/>
      <c r="E10" s="251">
        <v>3</v>
      </c>
      <c r="F10" s="251">
        <v>4</v>
      </c>
      <c r="G10" s="251">
        <v>5</v>
      </c>
      <c r="H10" s="251">
        <v>6</v>
      </c>
      <c r="I10" s="251">
        <v>7</v>
      </c>
      <c r="J10" s="251">
        <v>8</v>
      </c>
      <c r="K10" s="251">
        <v>9</v>
      </c>
      <c r="L10" s="251">
        <v>10</v>
      </c>
      <c r="M10" s="251">
        <v>11</v>
      </c>
      <c r="N10" s="251">
        <v>12</v>
      </c>
      <c r="O10" s="251">
        <v>13</v>
      </c>
      <c r="P10" s="251">
        <v>14</v>
      </c>
      <c r="Q10" s="251">
        <v>15</v>
      </c>
      <c r="R10" s="241">
        <v>16</v>
      </c>
      <c r="S10" s="241">
        <v>17</v>
      </c>
      <c r="T10" s="162">
        <v>18</v>
      </c>
    </row>
    <row r="11" spans="1:20" ht="15.75" customHeight="1" x14ac:dyDescent="0.15">
      <c r="A11" s="163" t="s">
        <v>187</v>
      </c>
      <c r="B11" s="164" t="s">
        <v>203</v>
      </c>
      <c r="C11" s="165"/>
      <c r="D11" s="166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8">
        <f t="shared" ref="Q11:Q12" si="0">SUM(F11:P11)</f>
        <v>0</v>
      </c>
      <c r="R11" s="237"/>
      <c r="S11" s="237"/>
      <c r="T11" s="169"/>
    </row>
    <row r="12" spans="1:20" ht="15.75" customHeight="1" x14ac:dyDescent="0.15">
      <c r="A12" s="170" t="s">
        <v>204</v>
      </c>
      <c r="B12" s="242" t="s">
        <v>205</v>
      </c>
      <c r="C12" s="171"/>
      <c r="D12" s="172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>
        <f t="shared" si="0"/>
        <v>0</v>
      </c>
      <c r="R12" s="237"/>
      <c r="S12" s="237"/>
      <c r="T12" s="169"/>
    </row>
    <row r="13" spans="1:20" ht="15.75" customHeight="1" x14ac:dyDescent="0.15">
      <c r="A13" s="170" t="s">
        <v>206</v>
      </c>
      <c r="B13" s="242" t="s">
        <v>207</v>
      </c>
      <c r="C13" s="171"/>
      <c r="D13" s="172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>
        <f t="shared" ref="Q13:Q16" si="1">SUM(E13:P13)</f>
        <v>0</v>
      </c>
      <c r="R13" s="237"/>
      <c r="S13" s="237"/>
      <c r="T13" s="169" t="s">
        <v>208</v>
      </c>
    </row>
    <row r="14" spans="1:20" ht="15.75" customHeight="1" x14ac:dyDescent="0.15">
      <c r="A14" s="170" t="s">
        <v>209</v>
      </c>
      <c r="B14" s="242" t="s">
        <v>210</v>
      </c>
      <c r="C14" s="171"/>
      <c r="D14" s="172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>
        <f t="shared" si="1"/>
        <v>0</v>
      </c>
      <c r="R14" s="237"/>
      <c r="S14" s="237"/>
      <c r="T14" s="173"/>
    </row>
    <row r="15" spans="1:20" ht="15.75" customHeight="1" x14ac:dyDescent="0.15">
      <c r="A15" s="170"/>
      <c r="B15" s="242"/>
      <c r="C15" s="171" t="s">
        <v>422</v>
      </c>
      <c r="D15" s="172"/>
      <c r="E15" s="168">
        <v>1500000</v>
      </c>
      <c r="F15" s="168">
        <v>1500000</v>
      </c>
      <c r="G15" s="168">
        <v>1500000</v>
      </c>
      <c r="H15" s="168">
        <v>1500000</v>
      </c>
      <c r="I15" s="168">
        <v>1500000</v>
      </c>
      <c r="J15" s="168">
        <v>1500000</v>
      </c>
      <c r="K15" s="168">
        <v>1500000</v>
      </c>
      <c r="L15" s="168">
        <v>1500000</v>
      </c>
      <c r="M15" s="168">
        <v>1500000</v>
      </c>
      <c r="N15" s="168">
        <v>1500000</v>
      </c>
      <c r="O15" s="168">
        <v>1500000</v>
      </c>
      <c r="P15" s="168">
        <v>1500000</v>
      </c>
      <c r="Q15" s="168">
        <f t="shared" si="1"/>
        <v>18000000</v>
      </c>
      <c r="R15" s="237"/>
      <c r="S15" s="237"/>
      <c r="T15" s="174"/>
    </row>
    <row r="16" spans="1:20" ht="15.75" customHeight="1" x14ac:dyDescent="0.15">
      <c r="A16" s="170"/>
      <c r="B16" s="242"/>
      <c r="C16" s="171" t="s">
        <v>423</v>
      </c>
      <c r="D16" s="172"/>
      <c r="E16" s="168"/>
      <c r="F16" s="168"/>
      <c r="G16" s="168"/>
      <c r="H16" s="168"/>
      <c r="I16" s="168"/>
      <c r="J16" s="168">
        <v>20000000</v>
      </c>
      <c r="K16" s="168">
        <v>20000000</v>
      </c>
      <c r="L16" s="168">
        <v>20000000</v>
      </c>
      <c r="M16" s="168">
        <v>20000000</v>
      </c>
      <c r="N16" s="168">
        <v>20000000</v>
      </c>
      <c r="O16" s="168"/>
      <c r="P16" s="168"/>
      <c r="Q16" s="168">
        <f t="shared" si="1"/>
        <v>100000000</v>
      </c>
      <c r="R16" s="237"/>
      <c r="S16" s="237"/>
      <c r="T16" s="174"/>
    </row>
    <row r="17" spans="1:21" s="253" customFormat="1" ht="15.75" customHeight="1" x14ac:dyDescent="0.15">
      <c r="A17" s="197"/>
      <c r="B17" s="198"/>
      <c r="C17" s="192" t="s">
        <v>435</v>
      </c>
      <c r="D17" s="193"/>
      <c r="E17" s="177">
        <f>SUM(E15:E16)</f>
        <v>1500000</v>
      </c>
      <c r="F17" s="177">
        <f t="shared" ref="F17:P17" si="2">SUM(F15:F16)</f>
        <v>1500000</v>
      </c>
      <c r="G17" s="177">
        <f t="shared" si="2"/>
        <v>1500000</v>
      </c>
      <c r="H17" s="177">
        <f t="shared" si="2"/>
        <v>1500000</v>
      </c>
      <c r="I17" s="177">
        <f t="shared" si="2"/>
        <v>1500000</v>
      </c>
      <c r="J17" s="177">
        <f t="shared" si="2"/>
        <v>21500000</v>
      </c>
      <c r="K17" s="177">
        <f t="shared" si="2"/>
        <v>21500000</v>
      </c>
      <c r="L17" s="177">
        <f t="shared" si="2"/>
        <v>21500000</v>
      </c>
      <c r="M17" s="177">
        <f t="shared" si="2"/>
        <v>21500000</v>
      </c>
      <c r="N17" s="177">
        <f t="shared" si="2"/>
        <v>21500000</v>
      </c>
      <c r="O17" s="177">
        <f t="shared" si="2"/>
        <v>1500000</v>
      </c>
      <c r="P17" s="177">
        <f t="shared" si="2"/>
        <v>1500000</v>
      </c>
      <c r="Q17" s="177">
        <f>SUM(Q15:Q16)</f>
        <v>118000000</v>
      </c>
      <c r="R17" s="254">
        <f>'RINCIAN B. LANGSUNG USAHA'!Q18</f>
        <v>0</v>
      </c>
      <c r="S17" s="254">
        <f>Q17-R17</f>
        <v>118000000</v>
      </c>
      <c r="T17" s="174" t="s">
        <v>211</v>
      </c>
    </row>
    <row r="18" spans="1:21" ht="15.75" customHeight="1" x14ac:dyDescent="0.15">
      <c r="A18" s="170" t="s">
        <v>212</v>
      </c>
      <c r="B18" s="242" t="s">
        <v>213</v>
      </c>
      <c r="C18" s="171"/>
      <c r="D18" s="172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>
        <f>SUM(E18:P18)</f>
        <v>0</v>
      </c>
      <c r="R18" s="237"/>
      <c r="S18" s="254"/>
      <c r="T18" s="175"/>
    </row>
    <row r="19" spans="1:21" ht="15.75" customHeight="1" x14ac:dyDescent="0.15">
      <c r="A19" s="170"/>
      <c r="B19" s="242"/>
      <c r="C19" s="171" t="s">
        <v>436</v>
      </c>
      <c r="D19" s="172"/>
      <c r="E19" s="168">
        <v>44943795</v>
      </c>
      <c r="F19" s="168">
        <v>52094279</v>
      </c>
      <c r="G19" s="168">
        <v>44199643</v>
      </c>
      <c r="H19" s="168">
        <v>45000000</v>
      </c>
      <c r="I19" s="168">
        <v>45000000</v>
      </c>
      <c r="J19" s="168">
        <v>45000000</v>
      </c>
      <c r="K19" s="168">
        <v>45000000</v>
      </c>
      <c r="L19" s="168">
        <v>45000000</v>
      </c>
      <c r="M19" s="168">
        <v>45000000</v>
      </c>
      <c r="N19" s="168">
        <v>45000000</v>
      </c>
      <c r="O19" s="168">
        <v>45000000</v>
      </c>
      <c r="P19" s="168">
        <v>45000000</v>
      </c>
      <c r="Q19" s="168">
        <f>SUM(E19:P19)</f>
        <v>546237717</v>
      </c>
      <c r="R19" s="237"/>
      <c r="S19" s="254"/>
      <c r="T19" s="175"/>
    </row>
    <row r="20" spans="1:21" ht="15.75" customHeight="1" x14ac:dyDescent="0.15">
      <c r="A20" s="170"/>
      <c r="B20" s="242"/>
      <c r="C20" s="171" t="s">
        <v>437</v>
      </c>
      <c r="D20" s="172"/>
      <c r="E20" s="168">
        <v>4993172</v>
      </c>
      <c r="F20" s="168">
        <v>7330841</v>
      </c>
      <c r="G20" s="168">
        <v>7111536</v>
      </c>
      <c r="H20" s="168">
        <v>6500000</v>
      </c>
      <c r="I20" s="168">
        <v>6500000</v>
      </c>
      <c r="J20" s="168">
        <v>6500000</v>
      </c>
      <c r="K20" s="168">
        <v>6500000</v>
      </c>
      <c r="L20" s="168">
        <v>6500000</v>
      </c>
      <c r="M20" s="168">
        <v>6500000</v>
      </c>
      <c r="N20" s="168">
        <v>6500000</v>
      </c>
      <c r="O20" s="168">
        <v>6500000</v>
      </c>
      <c r="P20" s="168">
        <v>6500000</v>
      </c>
      <c r="Q20" s="168">
        <f>SUM(E20:P20)</f>
        <v>77935549</v>
      </c>
      <c r="R20" s="237"/>
      <c r="S20" s="254"/>
      <c r="T20" s="175"/>
    </row>
    <row r="21" spans="1:21" ht="15.75" customHeight="1" x14ac:dyDescent="0.15">
      <c r="A21" s="170"/>
      <c r="B21" s="242"/>
      <c r="C21" s="171" t="s">
        <v>438</v>
      </c>
      <c r="D21" s="172"/>
      <c r="E21" s="168">
        <v>18021188</v>
      </c>
      <c r="F21" s="168">
        <v>18987404</v>
      </c>
      <c r="G21" s="168">
        <v>22605944</v>
      </c>
      <c r="H21" s="168">
        <v>21000000</v>
      </c>
      <c r="I21" s="168">
        <v>21000000</v>
      </c>
      <c r="J21" s="168">
        <v>21000000</v>
      </c>
      <c r="K21" s="168">
        <v>21000000</v>
      </c>
      <c r="L21" s="168">
        <v>21000000</v>
      </c>
      <c r="M21" s="168">
        <v>21000000</v>
      </c>
      <c r="N21" s="168">
        <v>21000000</v>
      </c>
      <c r="O21" s="168">
        <v>21000000</v>
      </c>
      <c r="P21" s="168">
        <v>21000000</v>
      </c>
      <c r="Q21" s="168">
        <f>SUM(E21:P21)</f>
        <v>248614536</v>
      </c>
      <c r="R21" s="237"/>
      <c r="S21" s="254"/>
      <c r="T21" s="175"/>
    </row>
    <row r="22" spans="1:21" s="253" customFormat="1" ht="15.75" customHeight="1" x14ac:dyDescent="0.15">
      <c r="A22" s="197"/>
      <c r="B22" s="198"/>
      <c r="C22" s="192" t="s">
        <v>439</v>
      </c>
      <c r="D22" s="193"/>
      <c r="E22" s="177">
        <f>SUM(E19:E21)</f>
        <v>67958155</v>
      </c>
      <c r="F22" s="177">
        <f t="shared" ref="F22:P22" si="3">SUM(F19:F21)</f>
        <v>78412524</v>
      </c>
      <c r="G22" s="177">
        <f t="shared" si="3"/>
        <v>73917123</v>
      </c>
      <c r="H22" s="177">
        <f t="shared" si="3"/>
        <v>72500000</v>
      </c>
      <c r="I22" s="177">
        <f t="shared" si="3"/>
        <v>72500000</v>
      </c>
      <c r="J22" s="177">
        <f t="shared" si="3"/>
        <v>72500000</v>
      </c>
      <c r="K22" s="177">
        <f t="shared" si="3"/>
        <v>72500000</v>
      </c>
      <c r="L22" s="177">
        <f t="shared" si="3"/>
        <v>72500000</v>
      </c>
      <c r="M22" s="177">
        <f t="shared" si="3"/>
        <v>72500000</v>
      </c>
      <c r="N22" s="177">
        <f t="shared" si="3"/>
        <v>72500000</v>
      </c>
      <c r="O22" s="177">
        <f t="shared" si="3"/>
        <v>72500000</v>
      </c>
      <c r="P22" s="177">
        <f t="shared" si="3"/>
        <v>72500000</v>
      </c>
      <c r="Q22" s="177">
        <f>SUM(Q19:Q21)</f>
        <v>872787802</v>
      </c>
      <c r="R22" s="254">
        <f>'RINCIAN B. LANGSUNG USAHA'!Q19</f>
        <v>0</v>
      </c>
      <c r="S22" s="254">
        <f t="shared" ref="S22:S24" si="4">Q22-R22</f>
        <v>872787802</v>
      </c>
      <c r="T22" s="175" t="s">
        <v>214</v>
      </c>
    </row>
    <row r="23" spans="1:21" ht="15.75" customHeight="1" x14ac:dyDescent="0.15">
      <c r="A23" s="170" t="s">
        <v>215</v>
      </c>
      <c r="B23" s="176" t="s">
        <v>424</v>
      </c>
      <c r="C23" s="171"/>
      <c r="D23" s="172"/>
      <c r="E23" s="168">
        <v>500000</v>
      </c>
      <c r="F23" s="168">
        <v>0</v>
      </c>
      <c r="G23" s="168">
        <v>0</v>
      </c>
      <c r="H23" s="168">
        <v>500000</v>
      </c>
      <c r="I23" s="168">
        <v>0</v>
      </c>
      <c r="J23" s="168">
        <v>500000</v>
      </c>
      <c r="K23" s="168">
        <v>0</v>
      </c>
      <c r="L23" s="168">
        <v>0</v>
      </c>
      <c r="M23" s="168">
        <v>0</v>
      </c>
      <c r="N23" s="168">
        <v>0</v>
      </c>
      <c r="O23" s="168">
        <v>500000</v>
      </c>
      <c r="P23" s="168">
        <v>0</v>
      </c>
      <c r="Q23" s="168">
        <f>SUM(E23:P23)</f>
        <v>2000000</v>
      </c>
      <c r="R23" s="237">
        <f>'RINCIAN B. LANGSUNG USAHA'!Q20</f>
        <v>0</v>
      </c>
      <c r="S23" s="254">
        <f t="shared" si="4"/>
        <v>2000000</v>
      </c>
      <c r="T23" s="175" t="s">
        <v>217</v>
      </c>
    </row>
    <row r="24" spans="1:21" ht="15.75" customHeight="1" x14ac:dyDescent="0.15">
      <c r="A24" s="170" t="s">
        <v>218</v>
      </c>
      <c r="B24" s="176" t="s">
        <v>219</v>
      </c>
      <c r="C24" s="171"/>
      <c r="D24" s="172"/>
      <c r="E24" s="168"/>
      <c r="F24" s="168">
        <v>500000</v>
      </c>
      <c r="G24" s="168"/>
      <c r="H24" s="168"/>
      <c r="I24" s="168">
        <v>500000</v>
      </c>
      <c r="J24" s="168"/>
      <c r="K24" s="168"/>
      <c r="L24" s="168"/>
      <c r="M24" s="168">
        <v>500000</v>
      </c>
      <c r="N24" s="168"/>
      <c r="O24" s="168"/>
      <c r="P24" s="168">
        <v>500000</v>
      </c>
      <c r="Q24" s="168">
        <f t="shared" ref="Q24" si="5">SUM(E24:P24)</f>
        <v>2000000</v>
      </c>
      <c r="R24" s="237">
        <f>'RINCIAN B. LANGSUNG USAHA'!Q21</f>
        <v>0</v>
      </c>
      <c r="S24" s="254">
        <f t="shared" si="4"/>
        <v>2000000</v>
      </c>
      <c r="T24" s="169" t="s">
        <v>220</v>
      </c>
      <c r="U24" s="178"/>
    </row>
    <row r="25" spans="1:21" ht="15.75" customHeight="1" x14ac:dyDescent="0.15">
      <c r="A25" s="179"/>
      <c r="B25" s="539" t="s">
        <v>221</v>
      </c>
      <c r="C25" s="540"/>
      <c r="D25" s="541"/>
      <c r="E25" s="212">
        <f>E12+E13+E17+E22+E23+E24</f>
        <v>69958155</v>
      </c>
      <c r="F25" s="212">
        <f t="shared" ref="F25:P25" si="6">F12+F13+F17+F22+F23+F24</f>
        <v>80412524</v>
      </c>
      <c r="G25" s="212">
        <f t="shared" si="6"/>
        <v>75417123</v>
      </c>
      <c r="H25" s="212">
        <f t="shared" si="6"/>
        <v>74500000</v>
      </c>
      <c r="I25" s="212">
        <f t="shared" si="6"/>
        <v>74500000</v>
      </c>
      <c r="J25" s="212">
        <f t="shared" si="6"/>
        <v>94500000</v>
      </c>
      <c r="K25" s="212">
        <f t="shared" si="6"/>
        <v>94000000</v>
      </c>
      <c r="L25" s="212">
        <f t="shared" si="6"/>
        <v>94000000</v>
      </c>
      <c r="M25" s="212">
        <f t="shared" si="6"/>
        <v>94500000</v>
      </c>
      <c r="N25" s="212">
        <f t="shared" si="6"/>
        <v>94000000</v>
      </c>
      <c r="O25" s="212">
        <f t="shared" si="6"/>
        <v>74500000</v>
      </c>
      <c r="P25" s="212">
        <f t="shared" si="6"/>
        <v>74500000</v>
      </c>
      <c r="Q25" s="212">
        <f>SUM(E25:P25)</f>
        <v>994787802</v>
      </c>
      <c r="R25" s="212">
        <f>R17+R22+R23+R24</f>
        <v>0</v>
      </c>
      <c r="S25" s="212">
        <f>S17+S22+S23+S24</f>
        <v>994787802</v>
      </c>
      <c r="T25" s="181"/>
    </row>
    <row r="26" spans="1:21" ht="15.75" customHeight="1" x14ac:dyDescent="0.15">
      <c r="A26" s="170" t="s">
        <v>222</v>
      </c>
      <c r="B26" s="242" t="s">
        <v>223</v>
      </c>
      <c r="C26" s="171"/>
      <c r="D26" s="172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237"/>
      <c r="S26" s="237"/>
      <c r="T26" s="169"/>
    </row>
    <row r="27" spans="1:21" ht="15.75" customHeight="1" x14ac:dyDescent="0.15">
      <c r="A27" s="170" t="s">
        <v>224</v>
      </c>
      <c r="B27" s="242" t="s">
        <v>225</v>
      </c>
      <c r="C27" s="171"/>
      <c r="D27" s="172"/>
      <c r="E27" s="168"/>
      <c r="F27" s="168"/>
      <c r="G27" s="168"/>
      <c r="H27" s="168"/>
      <c r="I27" s="168"/>
      <c r="J27" s="168"/>
      <c r="K27" s="168">
        <v>10000000</v>
      </c>
      <c r="L27" s="168"/>
      <c r="M27" s="168"/>
      <c r="N27" s="168"/>
      <c r="O27" s="168"/>
      <c r="P27" s="168"/>
      <c r="Q27" s="168">
        <f t="shared" ref="Q27:Q59" si="7">SUM(E27:P27)</f>
        <v>10000000</v>
      </c>
      <c r="R27" s="254">
        <f>'RINCIAN B. LANGSUNG USAHA'!Q24</f>
        <v>0</v>
      </c>
      <c r="S27" s="254">
        <f t="shared" ref="S27:S32" si="8">Q27-R27</f>
        <v>10000000</v>
      </c>
      <c r="T27" s="169"/>
    </row>
    <row r="28" spans="1:21" ht="15.75" customHeight="1" x14ac:dyDescent="0.15">
      <c r="A28" s="170" t="s">
        <v>227</v>
      </c>
      <c r="B28" s="242" t="s">
        <v>228</v>
      </c>
      <c r="C28" s="171"/>
      <c r="D28" s="172"/>
      <c r="E28" s="168"/>
      <c r="F28" s="168"/>
      <c r="G28" s="168"/>
      <c r="H28" s="168"/>
      <c r="I28" s="168"/>
      <c r="J28" s="168"/>
      <c r="K28" s="168"/>
      <c r="L28" s="257"/>
      <c r="M28" s="168"/>
      <c r="N28" s="168"/>
      <c r="O28" s="168"/>
      <c r="P28" s="168"/>
      <c r="Q28" s="168">
        <f t="shared" si="7"/>
        <v>0</v>
      </c>
      <c r="R28" s="254">
        <f>'RINCIAN B. LANGSUNG USAHA'!Q25</f>
        <v>0</v>
      </c>
      <c r="S28" s="254">
        <f t="shared" si="8"/>
        <v>0</v>
      </c>
      <c r="T28" s="169"/>
    </row>
    <row r="29" spans="1:21" ht="15.75" customHeight="1" x14ac:dyDescent="0.15">
      <c r="A29" s="170" t="s">
        <v>229</v>
      </c>
      <c r="B29" s="242" t="s">
        <v>230</v>
      </c>
      <c r="C29" s="171"/>
      <c r="D29" s="172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>
        <f t="shared" si="7"/>
        <v>0</v>
      </c>
      <c r="R29" s="254">
        <f>'RINCIAN B. LANGSUNG USAHA'!Q26</f>
        <v>0</v>
      </c>
      <c r="S29" s="254">
        <f t="shared" si="8"/>
        <v>0</v>
      </c>
      <c r="T29" s="169"/>
    </row>
    <row r="30" spans="1:21" ht="15.75" customHeight="1" x14ac:dyDescent="0.15">
      <c r="A30" s="170" t="s">
        <v>231</v>
      </c>
      <c r="B30" s="242" t="s">
        <v>232</v>
      </c>
      <c r="C30" s="171"/>
      <c r="D30" s="172"/>
      <c r="E30" s="168"/>
      <c r="F30" s="168">
        <v>1500000</v>
      </c>
      <c r="G30" s="168"/>
      <c r="H30" s="168"/>
      <c r="I30" s="168"/>
      <c r="J30" s="168"/>
      <c r="K30" s="168">
        <v>1500000</v>
      </c>
      <c r="L30" s="168"/>
      <c r="M30" s="168"/>
      <c r="N30" s="168"/>
      <c r="O30" s="168">
        <v>1500000</v>
      </c>
      <c r="P30" s="168"/>
      <c r="Q30" s="168">
        <f t="shared" si="7"/>
        <v>4500000</v>
      </c>
      <c r="R30" s="254">
        <f>'RINCIAN B. LANGSUNG USAHA'!Q27</f>
        <v>0</v>
      </c>
      <c r="S30" s="254">
        <f t="shared" si="8"/>
        <v>4500000</v>
      </c>
      <c r="T30" s="169"/>
    </row>
    <row r="31" spans="1:21" ht="15.75" customHeight="1" x14ac:dyDescent="0.15">
      <c r="A31" s="170" t="s">
        <v>233</v>
      </c>
      <c r="B31" s="242" t="s">
        <v>234</v>
      </c>
      <c r="C31" s="171"/>
      <c r="D31" s="172"/>
      <c r="E31" s="168">
        <v>25000000</v>
      </c>
      <c r="F31" s="168">
        <v>16500000</v>
      </c>
      <c r="G31" s="168"/>
      <c r="H31" s="168"/>
      <c r="I31" s="168"/>
      <c r="J31" s="168">
        <v>16500000</v>
      </c>
      <c r="K31" s="168"/>
      <c r="L31" s="168"/>
      <c r="M31" s="168"/>
      <c r="N31" s="168">
        <v>16500000</v>
      </c>
      <c r="O31" s="168"/>
      <c r="P31" s="168"/>
      <c r="Q31" s="168">
        <f t="shared" si="7"/>
        <v>74500000</v>
      </c>
      <c r="R31" s="254">
        <f>'RINCIAN B. LANGSUNG USAHA'!Q28</f>
        <v>0</v>
      </c>
      <c r="S31" s="254">
        <f t="shared" si="8"/>
        <v>74500000</v>
      </c>
      <c r="T31" s="169"/>
    </row>
    <row r="32" spans="1:21" ht="15.75" customHeight="1" x14ac:dyDescent="0.15">
      <c r="A32" s="170" t="s">
        <v>235</v>
      </c>
      <c r="B32" s="242" t="s">
        <v>236</v>
      </c>
      <c r="C32" s="171"/>
      <c r="D32" s="172"/>
      <c r="E32" s="168">
        <v>500000</v>
      </c>
      <c r="F32" s="168">
        <v>500000</v>
      </c>
      <c r="G32" s="168">
        <v>500000</v>
      </c>
      <c r="H32" s="168">
        <v>500000</v>
      </c>
      <c r="I32" s="168">
        <v>500000</v>
      </c>
      <c r="J32" s="168">
        <v>500000</v>
      </c>
      <c r="K32" s="168">
        <v>500000</v>
      </c>
      <c r="L32" s="168">
        <v>500000</v>
      </c>
      <c r="M32" s="168">
        <v>500000</v>
      </c>
      <c r="N32" s="168">
        <v>500000</v>
      </c>
      <c r="O32" s="168">
        <v>500000</v>
      </c>
      <c r="P32" s="168">
        <v>500000</v>
      </c>
      <c r="Q32" s="168">
        <f t="shared" si="7"/>
        <v>6000000</v>
      </c>
      <c r="R32" s="254">
        <f>'RINCIAN B. LANGSUNG USAHA'!Q29</f>
        <v>0</v>
      </c>
      <c r="S32" s="254">
        <f t="shared" si="8"/>
        <v>6000000</v>
      </c>
      <c r="T32" s="169"/>
    </row>
    <row r="33" spans="1:20" ht="15.75" customHeight="1" x14ac:dyDescent="0.15">
      <c r="A33" s="179"/>
      <c r="B33" s="539" t="s">
        <v>237</v>
      </c>
      <c r="C33" s="540"/>
      <c r="D33" s="541"/>
      <c r="E33" s="212">
        <f>SUM(E27:E32)</f>
        <v>25500000</v>
      </c>
      <c r="F33" s="212">
        <f t="shared" ref="F33:P33" si="9">SUM(F27:F32)</f>
        <v>18500000</v>
      </c>
      <c r="G33" s="212">
        <f t="shared" si="9"/>
        <v>500000</v>
      </c>
      <c r="H33" s="212">
        <f t="shared" si="9"/>
        <v>500000</v>
      </c>
      <c r="I33" s="212">
        <f t="shared" si="9"/>
        <v>500000</v>
      </c>
      <c r="J33" s="212">
        <f>SUM(J27:J32)</f>
        <v>17000000</v>
      </c>
      <c r="K33" s="212">
        <f t="shared" si="9"/>
        <v>12000000</v>
      </c>
      <c r="L33" s="212">
        <f>SUM(L27:L32)</f>
        <v>500000</v>
      </c>
      <c r="M33" s="212">
        <f t="shared" si="9"/>
        <v>500000</v>
      </c>
      <c r="N33" s="212">
        <f t="shared" si="9"/>
        <v>17000000</v>
      </c>
      <c r="O33" s="212">
        <f t="shared" si="9"/>
        <v>2000000</v>
      </c>
      <c r="P33" s="212">
        <f t="shared" si="9"/>
        <v>500000</v>
      </c>
      <c r="Q33" s="212">
        <f t="shared" si="7"/>
        <v>95000000</v>
      </c>
      <c r="R33" s="212">
        <f>SUM(R27:R32)</f>
        <v>0</v>
      </c>
      <c r="S33" s="212">
        <f>SUM(S27:S32)</f>
        <v>95000000</v>
      </c>
      <c r="T33" s="181" t="s">
        <v>226</v>
      </c>
    </row>
    <row r="34" spans="1:20" ht="15.75" customHeight="1" x14ac:dyDescent="0.15">
      <c r="A34" s="170" t="s">
        <v>238</v>
      </c>
      <c r="B34" s="242" t="s">
        <v>239</v>
      </c>
      <c r="C34" s="171"/>
      <c r="D34" s="172"/>
      <c r="E34" s="168"/>
      <c r="F34" s="168">
        <v>16215420</v>
      </c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80">
        <f>SUM(E34:P34)</f>
        <v>16215420</v>
      </c>
      <c r="R34" s="237">
        <f>'RINCIAN B. LANGSUNG USAHA'!Q31</f>
        <v>0</v>
      </c>
      <c r="S34" s="237"/>
      <c r="T34" s="182" t="s">
        <v>455</v>
      </c>
    </row>
    <row r="35" spans="1:20" ht="15.75" customHeight="1" x14ac:dyDescent="0.15">
      <c r="A35" s="179"/>
      <c r="B35" s="528" t="s">
        <v>240</v>
      </c>
      <c r="C35" s="529"/>
      <c r="D35" s="530"/>
      <c r="E35" s="180">
        <f>E33+E25+E34</f>
        <v>95458155</v>
      </c>
      <c r="F35" s="180">
        <f t="shared" ref="F35:P35" si="10">F33+F25+F34</f>
        <v>115127944</v>
      </c>
      <c r="G35" s="180">
        <f t="shared" si="10"/>
        <v>75917123</v>
      </c>
      <c r="H35" s="180">
        <f t="shared" si="10"/>
        <v>75000000</v>
      </c>
      <c r="I35" s="180">
        <f t="shared" si="10"/>
        <v>75000000</v>
      </c>
      <c r="J35" s="180">
        <f t="shared" si="10"/>
        <v>111500000</v>
      </c>
      <c r="K35" s="180">
        <f t="shared" si="10"/>
        <v>106000000</v>
      </c>
      <c r="L35" s="180">
        <f>L33+L25+L34</f>
        <v>94500000</v>
      </c>
      <c r="M35" s="180">
        <f t="shared" si="10"/>
        <v>95000000</v>
      </c>
      <c r="N35" s="180">
        <f t="shared" si="10"/>
        <v>111000000</v>
      </c>
      <c r="O35" s="180">
        <f t="shared" si="10"/>
        <v>76500000</v>
      </c>
      <c r="P35" s="180">
        <f t="shared" si="10"/>
        <v>75000000</v>
      </c>
      <c r="Q35" s="168">
        <f>SUM(E35:P35)</f>
        <v>1106003222</v>
      </c>
      <c r="R35" s="180">
        <f>R33+R25+R34</f>
        <v>0</v>
      </c>
      <c r="S35" s="180">
        <f t="shared" ref="S35" si="11">S33+S25+S34</f>
        <v>1089787802</v>
      </c>
      <c r="T35" s="183"/>
    </row>
    <row r="36" spans="1:20" ht="15.75" customHeight="1" x14ac:dyDescent="0.15">
      <c r="A36" s="179" t="s">
        <v>192</v>
      </c>
      <c r="B36" s="252" t="s">
        <v>241</v>
      </c>
      <c r="C36" s="184"/>
      <c r="D36" s="185"/>
      <c r="E36" s="180">
        <v>25700000</v>
      </c>
      <c r="F36" s="180">
        <f>25700000+4600000</f>
        <v>30300000</v>
      </c>
      <c r="G36" s="180">
        <f t="shared" ref="G36:P36" si="12">25700000+4600000</f>
        <v>30300000</v>
      </c>
      <c r="H36" s="180">
        <f t="shared" si="12"/>
        <v>30300000</v>
      </c>
      <c r="I36" s="180">
        <f t="shared" si="12"/>
        <v>30300000</v>
      </c>
      <c r="J36" s="180">
        <f t="shared" si="12"/>
        <v>30300000</v>
      </c>
      <c r="K36" s="180">
        <f t="shared" si="12"/>
        <v>30300000</v>
      </c>
      <c r="L36" s="180">
        <f t="shared" si="12"/>
        <v>30300000</v>
      </c>
      <c r="M36" s="180">
        <f t="shared" si="12"/>
        <v>30300000</v>
      </c>
      <c r="N36" s="180">
        <f t="shared" si="12"/>
        <v>30300000</v>
      </c>
      <c r="O36" s="180">
        <f t="shared" si="12"/>
        <v>30300000</v>
      </c>
      <c r="P36" s="180">
        <f t="shared" si="12"/>
        <v>30300000</v>
      </c>
      <c r="Q36" s="180">
        <f>SUM(E36:P36)</f>
        <v>359000000</v>
      </c>
      <c r="R36" s="180">
        <f>'RINCIAN B. LANGSUNG USAHA'!Q33</f>
        <v>0</v>
      </c>
      <c r="S36" s="180"/>
      <c r="T36" s="175" t="s">
        <v>242</v>
      </c>
    </row>
    <row r="37" spans="1:20" ht="15.75" customHeight="1" x14ac:dyDescent="0.15">
      <c r="A37" s="179"/>
      <c r="B37" s="545" t="s">
        <v>243</v>
      </c>
      <c r="C37" s="546"/>
      <c r="D37" s="547"/>
      <c r="E37" s="180">
        <f>SUM(E35:E36)</f>
        <v>121158155</v>
      </c>
      <c r="F37" s="180">
        <f t="shared" ref="F37:P37" si="13">SUM(F35:F36)</f>
        <v>145427944</v>
      </c>
      <c r="G37" s="180">
        <f t="shared" si="13"/>
        <v>106217123</v>
      </c>
      <c r="H37" s="180">
        <f t="shared" si="13"/>
        <v>105300000</v>
      </c>
      <c r="I37" s="180">
        <f t="shared" si="13"/>
        <v>105300000</v>
      </c>
      <c r="J37" s="180">
        <f t="shared" si="13"/>
        <v>141800000</v>
      </c>
      <c r="K37" s="180">
        <f t="shared" si="13"/>
        <v>136300000</v>
      </c>
      <c r="L37" s="180">
        <f t="shared" si="13"/>
        <v>124800000</v>
      </c>
      <c r="M37" s="180">
        <f t="shared" si="13"/>
        <v>125300000</v>
      </c>
      <c r="N37" s="180">
        <f t="shared" si="13"/>
        <v>141300000</v>
      </c>
      <c r="O37" s="180">
        <f t="shared" si="13"/>
        <v>106800000</v>
      </c>
      <c r="P37" s="180">
        <f t="shared" si="13"/>
        <v>105300000</v>
      </c>
      <c r="Q37" s="180">
        <f t="shared" si="7"/>
        <v>1465003222</v>
      </c>
      <c r="R37" s="180">
        <f>SUM(R35:R36)</f>
        <v>0</v>
      </c>
      <c r="S37" s="180">
        <f>SUM(S35:S36)</f>
        <v>1089787802</v>
      </c>
      <c r="T37" s="186"/>
    </row>
    <row r="38" spans="1:20" ht="11.25" customHeight="1" x14ac:dyDescent="0.15">
      <c r="A38" s="170"/>
      <c r="B38" s="187"/>
      <c r="C38" s="188"/>
      <c r="D38" s="189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>
        <f t="shared" si="7"/>
        <v>0</v>
      </c>
      <c r="R38" s="237"/>
      <c r="S38" s="237"/>
      <c r="T38" s="174"/>
    </row>
    <row r="39" spans="1:20" ht="12" customHeight="1" x14ac:dyDescent="0.15">
      <c r="A39" s="170" t="s">
        <v>188</v>
      </c>
      <c r="B39" s="242" t="s">
        <v>244</v>
      </c>
      <c r="C39" s="171"/>
      <c r="D39" s="172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>
        <f t="shared" si="7"/>
        <v>0</v>
      </c>
      <c r="R39" s="237"/>
      <c r="S39" s="237"/>
      <c r="T39" s="174"/>
    </row>
    <row r="40" spans="1:20" ht="15.75" customHeight="1" x14ac:dyDescent="0.15">
      <c r="A40" s="170" t="s">
        <v>245</v>
      </c>
      <c r="B40" s="242" t="s">
        <v>207</v>
      </c>
      <c r="C40" s="171"/>
      <c r="D40" s="172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237"/>
      <c r="S40" s="237"/>
      <c r="T40" s="174"/>
    </row>
    <row r="41" spans="1:20" ht="15.75" customHeight="1" x14ac:dyDescent="0.15">
      <c r="A41" s="170"/>
      <c r="B41" s="242"/>
      <c r="C41" s="171" t="s">
        <v>436</v>
      </c>
      <c r="D41" s="172"/>
      <c r="E41" s="168">
        <v>21500000</v>
      </c>
      <c r="F41" s="168">
        <v>21500000</v>
      </c>
      <c r="G41" s="168">
        <v>21500000</v>
      </c>
      <c r="H41" s="168">
        <v>21500000</v>
      </c>
      <c r="I41" s="168">
        <v>21500000</v>
      </c>
      <c r="J41" s="168">
        <v>21500000</v>
      </c>
      <c r="K41" s="168">
        <v>22000000</v>
      </c>
      <c r="L41" s="168">
        <v>22000000</v>
      </c>
      <c r="M41" s="168">
        <v>22000000</v>
      </c>
      <c r="N41" s="168">
        <v>22000000</v>
      </c>
      <c r="O41" s="168">
        <v>22000000</v>
      </c>
      <c r="P41" s="168">
        <v>22000000</v>
      </c>
      <c r="Q41" s="168">
        <f t="shared" si="7"/>
        <v>261000000</v>
      </c>
      <c r="R41" s="237"/>
      <c r="S41" s="237"/>
      <c r="T41" s="174"/>
    </row>
    <row r="42" spans="1:20" ht="15.75" customHeight="1" x14ac:dyDescent="0.15">
      <c r="A42" s="170"/>
      <c r="B42" s="242"/>
      <c r="C42" s="171" t="s">
        <v>437</v>
      </c>
      <c r="D42" s="172"/>
      <c r="E42" s="168">
        <v>11850000</v>
      </c>
      <c r="F42" s="168">
        <v>11850000</v>
      </c>
      <c r="G42" s="168">
        <v>11850000</v>
      </c>
      <c r="H42" s="168">
        <v>11850000</v>
      </c>
      <c r="I42" s="168">
        <v>11850000</v>
      </c>
      <c r="J42" s="168">
        <v>11850000</v>
      </c>
      <c r="K42" s="168">
        <v>11850000</v>
      </c>
      <c r="L42" s="168">
        <v>11850000</v>
      </c>
      <c r="M42" s="168">
        <v>11850000</v>
      </c>
      <c r="N42" s="168">
        <v>11850000</v>
      </c>
      <c r="O42" s="168">
        <v>11850000</v>
      </c>
      <c r="P42" s="168">
        <v>11850000</v>
      </c>
      <c r="Q42" s="168">
        <f t="shared" si="7"/>
        <v>142200000</v>
      </c>
      <c r="R42" s="237"/>
      <c r="S42" s="237"/>
      <c r="T42" s="174"/>
    </row>
    <row r="43" spans="1:20" ht="15.75" customHeight="1" x14ac:dyDescent="0.15">
      <c r="A43" s="170"/>
      <c r="B43" s="242"/>
      <c r="C43" s="171" t="s">
        <v>438</v>
      </c>
      <c r="D43" s="172"/>
      <c r="E43" s="168">
        <v>10600000</v>
      </c>
      <c r="F43" s="168">
        <v>10600000</v>
      </c>
      <c r="G43" s="168">
        <v>10600000</v>
      </c>
      <c r="H43" s="168">
        <v>10600000</v>
      </c>
      <c r="I43" s="168">
        <v>10600000</v>
      </c>
      <c r="J43" s="168">
        <v>10600000</v>
      </c>
      <c r="K43" s="168">
        <v>10600000</v>
      </c>
      <c r="L43" s="168">
        <v>10600000</v>
      </c>
      <c r="M43" s="168">
        <v>10600000</v>
      </c>
      <c r="N43" s="168">
        <v>10600000</v>
      </c>
      <c r="O43" s="168">
        <v>10600000</v>
      </c>
      <c r="P43" s="168">
        <v>11550000</v>
      </c>
      <c r="Q43" s="168">
        <f t="shared" si="7"/>
        <v>128150000</v>
      </c>
      <c r="R43" s="237"/>
      <c r="S43" s="237"/>
      <c r="T43" s="174"/>
    </row>
    <row r="44" spans="1:20" ht="15.75" customHeight="1" x14ac:dyDescent="0.15">
      <c r="A44" s="170"/>
      <c r="B44" s="242"/>
      <c r="C44" s="192" t="s">
        <v>310</v>
      </c>
      <c r="D44" s="193"/>
      <c r="E44" s="177">
        <f>SUM(E41:E43)</f>
        <v>43950000</v>
      </c>
      <c r="F44" s="177">
        <f t="shared" ref="F44:P44" si="14">SUM(F41:F43)</f>
        <v>43950000</v>
      </c>
      <c r="G44" s="177">
        <f t="shared" si="14"/>
        <v>43950000</v>
      </c>
      <c r="H44" s="177">
        <f t="shared" si="14"/>
        <v>43950000</v>
      </c>
      <c r="I44" s="177">
        <f t="shared" si="14"/>
        <v>43950000</v>
      </c>
      <c r="J44" s="177">
        <f t="shared" si="14"/>
        <v>43950000</v>
      </c>
      <c r="K44" s="177">
        <f t="shared" si="14"/>
        <v>44450000</v>
      </c>
      <c r="L44" s="177">
        <f t="shared" si="14"/>
        <v>44450000</v>
      </c>
      <c r="M44" s="177">
        <f t="shared" si="14"/>
        <v>44450000</v>
      </c>
      <c r="N44" s="177">
        <f t="shared" si="14"/>
        <v>44450000</v>
      </c>
      <c r="O44" s="177">
        <f t="shared" si="14"/>
        <v>44450000</v>
      </c>
      <c r="P44" s="177">
        <f t="shared" si="14"/>
        <v>45400000</v>
      </c>
      <c r="Q44" s="177">
        <f t="shared" si="7"/>
        <v>531350000</v>
      </c>
      <c r="R44" s="254">
        <f>'RINCIAN B. LANGSUNG USAHA'!Q37</f>
        <v>0</v>
      </c>
      <c r="S44" s="254">
        <f>Q44-R44</f>
        <v>531350000</v>
      </c>
      <c r="T44" s="174" t="s">
        <v>208</v>
      </c>
    </row>
    <row r="45" spans="1:20" ht="15.75" customHeight="1" x14ac:dyDescent="0.15">
      <c r="A45" s="190" t="s">
        <v>247</v>
      </c>
      <c r="B45" s="245" t="s">
        <v>248</v>
      </c>
      <c r="C45" s="165"/>
      <c r="D45" s="166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239"/>
      <c r="S45" s="239"/>
      <c r="T45" s="191"/>
    </row>
    <row r="46" spans="1:20" ht="15.75" customHeight="1" x14ac:dyDescent="0.15">
      <c r="A46" s="170"/>
      <c r="B46" s="242" t="s">
        <v>157</v>
      </c>
      <c r="C46" s="171"/>
      <c r="D46" s="172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237"/>
      <c r="S46" s="237"/>
      <c r="T46" s="174"/>
    </row>
    <row r="47" spans="1:20" ht="15.75" customHeight="1" x14ac:dyDescent="0.15">
      <c r="A47" s="170"/>
      <c r="B47" s="242"/>
      <c r="C47" s="171" t="s">
        <v>436</v>
      </c>
      <c r="D47" s="172"/>
      <c r="E47" s="168">
        <v>21735000</v>
      </c>
      <c r="F47" s="168">
        <v>23310000</v>
      </c>
      <c r="G47" s="168">
        <v>21735000</v>
      </c>
      <c r="H47" s="168">
        <v>23310000</v>
      </c>
      <c r="I47" s="168">
        <v>21735000</v>
      </c>
      <c r="J47" s="168">
        <v>23310000</v>
      </c>
      <c r="K47" s="168">
        <v>21735000</v>
      </c>
      <c r="L47" s="168">
        <v>23310000</v>
      </c>
      <c r="M47" s="168">
        <v>21735000</v>
      </c>
      <c r="N47" s="168">
        <v>23310000</v>
      </c>
      <c r="O47" s="168">
        <v>21735000</v>
      </c>
      <c r="P47" s="168">
        <v>23310000</v>
      </c>
      <c r="Q47" s="168">
        <f t="shared" si="7"/>
        <v>270270000</v>
      </c>
      <c r="R47" s="237"/>
      <c r="S47" s="237"/>
      <c r="T47" s="174"/>
    </row>
    <row r="48" spans="1:20" ht="15.75" customHeight="1" x14ac:dyDescent="0.15">
      <c r="A48" s="170"/>
      <c r="B48" s="242"/>
      <c r="C48" s="171" t="s">
        <v>437</v>
      </c>
      <c r="D48" s="172"/>
      <c r="E48" s="168">
        <v>7560000</v>
      </c>
      <c r="F48" s="168">
        <v>8505000</v>
      </c>
      <c r="G48" s="168">
        <v>7560000</v>
      </c>
      <c r="H48" s="168">
        <v>8505000</v>
      </c>
      <c r="I48" s="168">
        <v>7560000</v>
      </c>
      <c r="J48" s="168">
        <v>8505000</v>
      </c>
      <c r="K48" s="168">
        <v>7560000</v>
      </c>
      <c r="L48" s="168">
        <v>8505000</v>
      </c>
      <c r="M48" s="168">
        <v>7560000</v>
      </c>
      <c r="N48" s="168">
        <v>8505000</v>
      </c>
      <c r="O48" s="168">
        <v>7560000</v>
      </c>
      <c r="P48" s="168">
        <v>8505000</v>
      </c>
      <c r="Q48" s="168">
        <f t="shared" si="7"/>
        <v>96390000</v>
      </c>
      <c r="R48" s="237"/>
      <c r="S48" s="237"/>
      <c r="T48" s="174"/>
    </row>
    <row r="49" spans="1:20" ht="15.75" customHeight="1" x14ac:dyDescent="0.15">
      <c r="A49" s="170"/>
      <c r="B49" s="242"/>
      <c r="C49" s="171" t="s">
        <v>438</v>
      </c>
      <c r="D49" s="172"/>
      <c r="E49" s="168">
        <v>5607000</v>
      </c>
      <c r="F49" s="168">
        <v>6300000</v>
      </c>
      <c r="G49" s="168">
        <v>5607000</v>
      </c>
      <c r="H49" s="168">
        <v>6300000</v>
      </c>
      <c r="I49" s="168">
        <v>5607000</v>
      </c>
      <c r="J49" s="168">
        <v>6300000</v>
      </c>
      <c r="K49" s="168">
        <v>5607000</v>
      </c>
      <c r="L49" s="168">
        <v>6300000</v>
      </c>
      <c r="M49" s="168">
        <v>5607000</v>
      </c>
      <c r="N49" s="168">
        <v>6300000</v>
      </c>
      <c r="O49" s="168">
        <v>5607000</v>
      </c>
      <c r="P49" s="168">
        <v>6300000</v>
      </c>
      <c r="Q49" s="168">
        <f t="shared" si="7"/>
        <v>71442000</v>
      </c>
      <c r="R49" s="237"/>
      <c r="S49" s="237"/>
      <c r="T49" s="174"/>
    </row>
    <row r="50" spans="1:20" ht="15.75" customHeight="1" x14ac:dyDescent="0.15">
      <c r="A50" s="170"/>
      <c r="B50" s="242"/>
      <c r="C50" s="192" t="s">
        <v>440</v>
      </c>
      <c r="D50" s="193"/>
      <c r="E50" s="177">
        <f>SUM(E47:E49)</f>
        <v>34902000</v>
      </c>
      <c r="F50" s="177">
        <f t="shared" ref="F50:P50" si="15">SUM(F47:F49)</f>
        <v>38115000</v>
      </c>
      <c r="G50" s="177">
        <f t="shared" si="15"/>
        <v>34902000</v>
      </c>
      <c r="H50" s="177">
        <f t="shared" si="15"/>
        <v>38115000</v>
      </c>
      <c r="I50" s="177">
        <f t="shared" si="15"/>
        <v>34902000</v>
      </c>
      <c r="J50" s="177">
        <f t="shared" si="15"/>
        <v>38115000</v>
      </c>
      <c r="K50" s="177">
        <f t="shared" si="15"/>
        <v>34902000</v>
      </c>
      <c r="L50" s="177">
        <f t="shared" si="15"/>
        <v>38115000</v>
      </c>
      <c r="M50" s="177">
        <f t="shared" si="15"/>
        <v>34902000</v>
      </c>
      <c r="N50" s="177">
        <f t="shared" si="15"/>
        <v>38115000</v>
      </c>
      <c r="O50" s="177">
        <f t="shared" si="15"/>
        <v>34902000</v>
      </c>
      <c r="P50" s="177">
        <f t="shared" si="15"/>
        <v>38115000</v>
      </c>
      <c r="Q50" s="177">
        <f>SUM(Q47:Q49)</f>
        <v>438102000</v>
      </c>
      <c r="R50" s="254">
        <f>'RINCIAN B. LANGSUNG USAHA'!Q54</f>
        <v>0</v>
      </c>
      <c r="S50" s="254">
        <f>Q50-R50</f>
        <v>438102000</v>
      </c>
      <c r="T50" s="174"/>
    </row>
    <row r="51" spans="1:20" ht="15.75" customHeight="1" x14ac:dyDescent="0.15">
      <c r="A51" s="170"/>
      <c r="B51" s="242" t="s">
        <v>159</v>
      </c>
      <c r="C51" s="171"/>
      <c r="D51" s="172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237"/>
      <c r="S51" s="237"/>
      <c r="T51" s="174"/>
    </row>
    <row r="52" spans="1:20" ht="15.75" customHeight="1" x14ac:dyDescent="0.15">
      <c r="A52" s="170"/>
      <c r="B52" s="242"/>
      <c r="C52" s="171" t="s">
        <v>436</v>
      </c>
      <c r="D52" s="172"/>
      <c r="E52" s="168">
        <v>6159375</v>
      </c>
      <c r="F52" s="168">
        <v>7087500</v>
      </c>
      <c r="G52" s="168">
        <v>6159375</v>
      </c>
      <c r="H52" s="168">
        <v>7087500</v>
      </c>
      <c r="I52" s="168">
        <v>6159375</v>
      </c>
      <c r="J52" s="168">
        <v>7087500</v>
      </c>
      <c r="K52" s="168">
        <v>6159375</v>
      </c>
      <c r="L52" s="168">
        <v>7087500</v>
      </c>
      <c r="M52" s="168">
        <v>6159375</v>
      </c>
      <c r="N52" s="168">
        <v>7087500</v>
      </c>
      <c r="O52" s="168">
        <v>6159375</v>
      </c>
      <c r="P52" s="168">
        <v>7087500</v>
      </c>
      <c r="Q52" s="168">
        <f>SUM(E52:P52)</f>
        <v>79481250</v>
      </c>
      <c r="R52" s="237"/>
      <c r="S52" s="237"/>
      <c r="T52" s="174"/>
    </row>
    <row r="53" spans="1:20" ht="15.75" customHeight="1" x14ac:dyDescent="0.15">
      <c r="A53" s="170"/>
      <c r="B53" s="242"/>
      <c r="C53" s="171" t="s">
        <v>437</v>
      </c>
      <c r="D53" s="172"/>
      <c r="E53" s="168">
        <v>945000</v>
      </c>
      <c r="F53" s="168">
        <v>1687500</v>
      </c>
      <c r="G53" s="168">
        <v>945000</v>
      </c>
      <c r="H53" s="168">
        <v>1687500</v>
      </c>
      <c r="I53" s="168">
        <v>945000</v>
      </c>
      <c r="J53" s="168">
        <v>1687500</v>
      </c>
      <c r="K53" s="168">
        <v>945000</v>
      </c>
      <c r="L53" s="168">
        <v>1687500</v>
      </c>
      <c r="M53" s="168">
        <v>945000</v>
      </c>
      <c r="N53" s="168">
        <v>1687500</v>
      </c>
      <c r="O53" s="168">
        <v>945000</v>
      </c>
      <c r="P53" s="168">
        <v>1687500</v>
      </c>
      <c r="Q53" s="168">
        <f t="shared" si="7"/>
        <v>15795000</v>
      </c>
      <c r="R53" s="237"/>
      <c r="S53" s="237"/>
      <c r="T53" s="174"/>
    </row>
    <row r="54" spans="1:20" ht="15.75" customHeight="1" x14ac:dyDescent="0.15">
      <c r="A54" s="170"/>
      <c r="B54" s="242"/>
      <c r="C54" s="171" t="s">
        <v>438</v>
      </c>
      <c r="D54" s="172"/>
      <c r="E54" s="168">
        <v>2767500</v>
      </c>
      <c r="F54" s="168">
        <v>3375000</v>
      </c>
      <c r="G54" s="168">
        <v>2767500</v>
      </c>
      <c r="H54" s="168">
        <v>3375000</v>
      </c>
      <c r="I54" s="168">
        <v>2767500</v>
      </c>
      <c r="J54" s="168">
        <v>3375000</v>
      </c>
      <c r="K54" s="168">
        <v>2767500</v>
      </c>
      <c r="L54" s="168">
        <v>3375000</v>
      </c>
      <c r="M54" s="168">
        <v>2767500</v>
      </c>
      <c r="N54" s="168">
        <v>3375000</v>
      </c>
      <c r="O54" s="168">
        <v>2767500</v>
      </c>
      <c r="P54" s="168">
        <v>3375000</v>
      </c>
      <c r="Q54" s="168">
        <f t="shared" si="7"/>
        <v>36855000</v>
      </c>
      <c r="R54" s="237"/>
      <c r="S54" s="237"/>
      <c r="T54" s="174"/>
    </row>
    <row r="55" spans="1:20" ht="15.75" customHeight="1" x14ac:dyDescent="0.15">
      <c r="A55" s="170"/>
      <c r="B55" s="242"/>
      <c r="C55" s="192" t="s">
        <v>441</v>
      </c>
      <c r="D55" s="193"/>
      <c r="E55" s="177">
        <f>SUM(E52:E54)</f>
        <v>9871875</v>
      </c>
      <c r="F55" s="177">
        <f t="shared" ref="F55" si="16">SUM(F52:F54)</f>
        <v>12150000</v>
      </c>
      <c r="G55" s="177">
        <f>SUM(G52:G54)</f>
        <v>9871875</v>
      </c>
      <c r="H55" s="177">
        <f t="shared" ref="H55:P55" si="17">SUM(H52:H54)</f>
        <v>12150000</v>
      </c>
      <c r="I55" s="177">
        <f t="shared" si="17"/>
        <v>9871875</v>
      </c>
      <c r="J55" s="177">
        <f t="shared" si="17"/>
        <v>12150000</v>
      </c>
      <c r="K55" s="177">
        <f t="shared" si="17"/>
        <v>9871875</v>
      </c>
      <c r="L55" s="177">
        <f t="shared" si="17"/>
        <v>12150000</v>
      </c>
      <c r="M55" s="177">
        <f t="shared" si="17"/>
        <v>9871875</v>
      </c>
      <c r="N55" s="177">
        <f t="shared" si="17"/>
        <v>12150000</v>
      </c>
      <c r="O55" s="177">
        <f t="shared" si="17"/>
        <v>9871875</v>
      </c>
      <c r="P55" s="177">
        <f t="shared" si="17"/>
        <v>12150000</v>
      </c>
      <c r="Q55" s="177">
        <f>SUM(Q52:Q54)</f>
        <v>132131250</v>
      </c>
      <c r="R55" s="254">
        <f>'RINCIAN B. LANGSUNG USAHA'!Q55</f>
        <v>0</v>
      </c>
      <c r="S55" s="254">
        <f>Q55-R55</f>
        <v>132131250</v>
      </c>
      <c r="T55" s="174"/>
    </row>
    <row r="56" spans="1:20" ht="15.75" customHeight="1" x14ac:dyDescent="0.15">
      <c r="A56" s="170"/>
      <c r="B56" s="242" t="s">
        <v>158</v>
      </c>
      <c r="C56" s="192"/>
      <c r="D56" s="193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237"/>
      <c r="S56" s="237"/>
      <c r="T56" s="174"/>
    </row>
    <row r="57" spans="1:20" ht="15.75" customHeight="1" x14ac:dyDescent="0.15">
      <c r="A57" s="170"/>
      <c r="B57" s="242"/>
      <c r="C57" s="171" t="s">
        <v>436</v>
      </c>
      <c r="D57" s="172"/>
      <c r="E57" s="168">
        <v>1323000</v>
      </c>
      <c r="F57" s="168">
        <v>1764000</v>
      </c>
      <c r="G57" s="168">
        <v>1323000</v>
      </c>
      <c r="H57" s="168">
        <v>1764000</v>
      </c>
      <c r="I57" s="168">
        <v>1323000</v>
      </c>
      <c r="J57" s="168">
        <v>1764000</v>
      </c>
      <c r="K57" s="168">
        <v>1323000</v>
      </c>
      <c r="L57" s="168">
        <v>1764000</v>
      </c>
      <c r="M57" s="168">
        <v>1323000</v>
      </c>
      <c r="N57" s="168">
        <v>1764000</v>
      </c>
      <c r="O57" s="168">
        <v>1323000</v>
      </c>
      <c r="P57" s="168">
        <v>1764000</v>
      </c>
      <c r="Q57" s="168">
        <f t="shared" si="7"/>
        <v>18522000</v>
      </c>
      <c r="R57" s="237"/>
      <c r="S57" s="237"/>
      <c r="T57" s="174"/>
    </row>
    <row r="58" spans="1:20" ht="15.75" customHeight="1" x14ac:dyDescent="0.15">
      <c r="A58" s="170"/>
      <c r="B58" s="242"/>
      <c r="C58" s="171" t="s">
        <v>437</v>
      </c>
      <c r="D58" s="172"/>
      <c r="E58" s="168">
        <v>799680</v>
      </c>
      <c r="F58" s="168">
        <v>1019200</v>
      </c>
      <c r="G58" s="168">
        <v>799680</v>
      </c>
      <c r="H58" s="168">
        <v>1019200</v>
      </c>
      <c r="I58" s="168">
        <v>799680</v>
      </c>
      <c r="J58" s="168">
        <v>1019200</v>
      </c>
      <c r="K58" s="168">
        <v>799680</v>
      </c>
      <c r="L58" s="168">
        <v>1019200</v>
      </c>
      <c r="M58" s="168">
        <v>799680</v>
      </c>
      <c r="N58" s="168">
        <v>1019200</v>
      </c>
      <c r="O58" s="168">
        <v>799680</v>
      </c>
      <c r="P58" s="168">
        <v>1019200</v>
      </c>
      <c r="Q58" s="168">
        <f t="shared" si="7"/>
        <v>10913280</v>
      </c>
      <c r="R58" s="237"/>
      <c r="S58" s="237"/>
      <c r="T58" s="174"/>
    </row>
    <row r="59" spans="1:20" ht="15.75" customHeight="1" x14ac:dyDescent="0.15">
      <c r="A59" s="170"/>
      <c r="B59" s="242"/>
      <c r="C59" s="171" t="s">
        <v>438</v>
      </c>
      <c r="D59" s="172"/>
      <c r="E59" s="168">
        <v>517440</v>
      </c>
      <c r="F59" s="168">
        <v>980000</v>
      </c>
      <c r="G59" s="168">
        <v>517440</v>
      </c>
      <c r="H59" s="168">
        <v>980000</v>
      </c>
      <c r="I59" s="168">
        <v>517440</v>
      </c>
      <c r="J59" s="168">
        <v>980000</v>
      </c>
      <c r="K59" s="168">
        <v>517440</v>
      </c>
      <c r="L59" s="168">
        <v>980000</v>
      </c>
      <c r="M59" s="168">
        <v>517440</v>
      </c>
      <c r="N59" s="168">
        <v>980000</v>
      </c>
      <c r="O59" s="168">
        <v>517440</v>
      </c>
      <c r="P59" s="168">
        <v>980000</v>
      </c>
      <c r="Q59" s="168">
        <f t="shared" si="7"/>
        <v>8984640</v>
      </c>
      <c r="R59" s="237"/>
      <c r="S59" s="237"/>
      <c r="T59" s="174"/>
    </row>
    <row r="60" spans="1:20" ht="15.75" customHeight="1" x14ac:dyDescent="0.15">
      <c r="A60" s="170"/>
      <c r="B60" s="242"/>
      <c r="C60" s="192" t="s">
        <v>442</v>
      </c>
      <c r="D60" s="193"/>
      <c r="E60" s="177">
        <f>SUM(E57:E59)</f>
        <v>2640120</v>
      </c>
      <c r="F60" s="177">
        <f t="shared" ref="F60:P60" si="18">SUM(F57:F59)</f>
        <v>3763200</v>
      </c>
      <c r="G60" s="177">
        <f t="shared" si="18"/>
        <v>2640120</v>
      </c>
      <c r="H60" s="177">
        <f t="shared" si="18"/>
        <v>3763200</v>
      </c>
      <c r="I60" s="177">
        <f t="shared" si="18"/>
        <v>2640120</v>
      </c>
      <c r="J60" s="177">
        <f t="shared" si="18"/>
        <v>3763200</v>
      </c>
      <c r="K60" s="177">
        <f t="shared" si="18"/>
        <v>2640120</v>
      </c>
      <c r="L60" s="177">
        <f t="shared" si="18"/>
        <v>3763200</v>
      </c>
      <c r="M60" s="177">
        <f t="shared" si="18"/>
        <v>2640120</v>
      </c>
      <c r="N60" s="177">
        <f t="shared" si="18"/>
        <v>3763200</v>
      </c>
      <c r="O60" s="177">
        <f t="shared" si="18"/>
        <v>2640120</v>
      </c>
      <c r="P60" s="177">
        <f t="shared" si="18"/>
        <v>3763200</v>
      </c>
      <c r="Q60" s="177">
        <f>SUM(Q57:Q59)</f>
        <v>38419920</v>
      </c>
      <c r="R60" s="254">
        <f>'RINCIAN B. LANGSUNG USAHA'!Q56</f>
        <v>0</v>
      </c>
      <c r="S60" s="254">
        <f>Q60-R60</f>
        <v>38419920</v>
      </c>
      <c r="T60" s="174"/>
    </row>
    <row r="61" spans="1:20" ht="15.75" customHeight="1" x14ac:dyDescent="0.15">
      <c r="A61" s="179"/>
      <c r="B61" s="545" t="s">
        <v>250</v>
      </c>
      <c r="C61" s="546"/>
      <c r="D61" s="547"/>
      <c r="E61" s="180">
        <f>E50+E55+E60</f>
        <v>47413995</v>
      </c>
      <c r="F61" s="180">
        <f>F50+F55+F60</f>
        <v>54028200</v>
      </c>
      <c r="G61" s="180">
        <f t="shared" ref="G61:P61" si="19">G50+G55+G60</f>
        <v>47413995</v>
      </c>
      <c r="H61" s="180">
        <f t="shared" si="19"/>
        <v>54028200</v>
      </c>
      <c r="I61" s="180">
        <f t="shared" si="19"/>
        <v>47413995</v>
      </c>
      <c r="J61" s="180">
        <f t="shared" si="19"/>
        <v>54028200</v>
      </c>
      <c r="K61" s="180">
        <f t="shared" si="19"/>
        <v>47413995</v>
      </c>
      <c r="L61" s="180">
        <f t="shared" si="19"/>
        <v>54028200</v>
      </c>
      <c r="M61" s="180">
        <f t="shared" si="19"/>
        <v>47413995</v>
      </c>
      <c r="N61" s="180">
        <f t="shared" si="19"/>
        <v>54028200</v>
      </c>
      <c r="O61" s="180">
        <f t="shared" si="19"/>
        <v>47413995</v>
      </c>
      <c r="P61" s="180">
        <f t="shared" si="19"/>
        <v>54028200</v>
      </c>
      <c r="Q61" s="180">
        <f>SUM(E61:P61)</f>
        <v>608653170</v>
      </c>
      <c r="R61" s="238">
        <f>SUM(R47:R60)</f>
        <v>0</v>
      </c>
      <c r="S61" s="238">
        <f>SUM(S47:S60)</f>
        <v>608653170</v>
      </c>
      <c r="T61" s="186" t="s">
        <v>249</v>
      </c>
    </row>
    <row r="62" spans="1:20" ht="15.75" customHeight="1" x14ac:dyDescent="0.15">
      <c r="A62" s="170" t="s">
        <v>418</v>
      </c>
      <c r="B62" s="569" t="s">
        <v>424</v>
      </c>
      <c r="C62" s="570"/>
      <c r="D62" s="571"/>
      <c r="E62" s="168">
        <v>1500000</v>
      </c>
      <c r="F62" s="168">
        <v>700000</v>
      </c>
      <c r="G62" s="168">
        <v>700000</v>
      </c>
      <c r="H62" s="168">
        <v>700000</v>
      </c>
      <c r="I62" s="168">
        <v>700000</v>
      </c>
      <c r="J62" s="168">
        <v>700000</v>
      </c>
      <c r="K62" s="168">
        <v>700000</v>
      </c>
      <c r="L62" s="168">
        <v>700000</v>
      </c>
      <c r="M62" s="168">
        <v>700000</v>
      </c>
      <c r="N62" s="168">
        <v>700000</v>
      </c>
      <c r="O62" s="168">
        <v>700000</v>
      </c>
      <c r="P62" s="168">
        <v>700000</v>
      </c>
      <c r="Q62" s="168">
        <f t="shared" ref="Q62" si="20">SUM(E62:P62)</f>
        <v>9200000</v>
      </c>
      <c r="R62" s="237">
        <f>'RINCIAN B. LANGSUNG USAHA'!Q58</f>
        <v>0</v>
      </c>
      <c r="S62" s="254">
        <f>Q62-R62</f>
        <v>9200000</v>
      </c>
      <c r="T62" s="175" t="s">
        <v>217</v>
      </c>
    </row>
    <row r="63" spans="1:20" ht="15.75" customHeight="1" x14ac:dyDescent="0.15">
      <c r="A63" s="170" t="s">
        <v>407</v>
      </c>
      <c r="B63" s="242" t="s">
        <v>425</v>
      </c>
      <c r="C63" s="171"/>
      <c r="D63" s="172"/>
      <c r="E63" s="168">
        <v>13000000</v>
      </c>
      <c r="F63" s="168">
        <v>500000</v>
      </c>
      <c r="G63" s="168">
        <v>3500000</v>
      </c>
      <c r="H63" s="168">
        <v>500000</v>
      </c>
      <c r="I63" s="168">
        <v>500000</v>
      </c>
      <c r="J63" s="168">
        <v>500000</v>
      </c>
      <c r="K63" s="168">
        <v>6500000</v>
      </c>
      <c r="L63" s="168">
        <v>500000</v>
      </c>
      <c r="M63" s="168">
        <v>500000</v>
      </c>
      <c r="N63" s="168">
        <v>500000</v>
      </c>
      <c r="O63" s="168">
        <f>3000000</f>
        <v>3000000</v>
      </c>
      <c r="P63" s="168">
        <v>3500000</v>
      </c>
      <c r="Q63" s="168">
        <f>SUM(E63:P63)</f>
        <v>33000000</v>
      </c>
      <c r="R63" s="237">
        <f>'RINCIAN B. LANGSUNG USAHA'!Q59</f>
        <v>0</v>
      </c>
      <c r="S63" s="254">
        <f t="shared" ref="S63" si="21">Q63-R63</f>
        <v>33000000</v>
      </c>
      <c r="T63" s="182" t="s">
        <v>220</v>
      </c>
    </row>
    <row r="64" spans="1:20" ht="15.75" customHeight="1" x14ac:dyDescent="0.15">
      <c r="A64" s="179"/>
      <c r="B64" s="545" t="s">
        <v>251</v>
      </c>
      <c r="C64" s="546"/>
      <c r="D64" s="547"/>
      <c r="E64" s="180">
        <f t="shared" ref="E64:P64" si="22">+E44+E61+E62+E63</f>
        <v>105863995</v>
      </c>
      <c r="F64" s="180">
        <f t="shared" si="22"/>
        <v>99178200</v>
      </c>
      <c r="G64" s="180">
        <f t="shared" si="22"/>
        <v>95563995</v>
      </c>
      <c r="H64" s="180">
        <f t="shared" si="22"/>
        <v>99178200</v>
      </c>
      <c r="I64" s="180">
        <f t="shared" si="22"/>
        <v>92563995</v>
      </c>
      <c r="J64" s="180">
        <f t="shared" si="22"/>
        <v>99178200</v>
      </c>
      <c r="K64" s="180">
        <f t="shared" si="22"/>
        <v>99063995</v>
      </c>
      <c r="L64" s="180">
        <f t="shared" si="22"/>
        <v>99678200</v>
      </c>
      <c r="M64" s="180">
        <f t="shared" si="22"/>
        <v>93063995</v>
      </c>
      <c r="N64" s="180">
        <f t="shared" si="22"/>
        <v>99678200</v>
      </c>
      <c r="O64" s="180">
        <f t="shared" si="22"/>
        <v>95563995</v>
      </c>
      <c r="P64" s="180">
        <f t="shared" si="22"/>
        <v>103628200</v>
      </c>
      <c r="Q64" s="180">
        <f>SUM(E64:P64)</f>
        <v>1182203170</v>
      </c>
      <c r="R64" s="238">
        <f>SUM(R61:R63)+R44</f>
        <v>0</v>
      </c>
      <c r="S64" s="238">
        <f>SUM(S61:S63)+S44</f>
        <v>1182203170</v>
      </c>
      <c r="T64" s="186"/>
    </row>
    <row r="65" spans="1:20" ht="15.75" customHeight="1" x14ac:dyDescent="0.15">
      <c r="A65" s="170" t="s">
        <v>252</v>
      </c>
      <c r="B65" s="242" t="s">
        <v>253</v>
      </c>
      <c r="C65" s="171"/>
      <c r="D65" s="172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237"/>
      <c r="S65" s="237"/>
      <c r="T65" s="174"/>
    </row>
    <row r="66" spans="1:20" ht="15.75" customHeight="1" x14ac:dyDescent="0.15">
      <c r="A66" s="170" t="s">
        <v>254</v>
      </c>
      <c r="B66" s="242" t="s">
        <v>255</v>
      </c>
      <c r="C66" s="171"/>
      <c r="D66" s="172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>
        <f t="shared" ref="Q66:Q68" si="23">SUM(E66:P66)</f>
        <v>0</v>
      </c>
      <c r="R66" s="237">
        <f>'RINCIAN B. LANGSUNG USAHA'!Q62</f>
        <v>0</v>
      </c>
      <c r="S66" s="254">
        <f t="shared" ref="S66:S72" si="24">Q66-R66</f>
        <v>0</v>
      </c>
      <c r="T66" s="174"/>
    </row>
    <row r="67" spans="1:20" ht="15.75" customHeight="1" x14ac:dyDescent="0.15">
      <c r="A67" s="170" t="s">
        <v>256</v>
      </c>
      <c r="B67" s="242" t="s">
        <v>257</v>
      </c>
      <c r="C67" s="192"/>
      <c r="D67" s="193"/>
      <c r="E67" s="168"/>
      <c r="F67" s="168"/>
      <c r="G67" s="168"/>
      <c r="H67" s="168"/>
      <c r="I67" s="168">
        <v>5000000</v>
      </c>
      <c r="J67" s="168"/>
      <c r="K67" s="168"/>
      <c r="L67" s="168"/>
      <c r="M67" s="168"/>
      <c r="N67" s="168"/>
      <c r="O67" s="168"/>
      <c r="P67" s="168"/>
      <c r="Q67" s="168">
        <f t="shared" si="23"/>
        <v>5000000</v>
      </c>
      <c r="R67" s="237">
        <f>'RINCIAN B. LANGSUNG USAHA'!Q63</f>
        <v>0</v>
      </c>
      <c r="S67" s="254">
        <f t="shared" si="24"/>
        <v>5000000</v>
      </c>
      <c r="T67" s="174"/>
    </row>
    <row r="68" spans="1:20" ht="15.75" customHeight="1" x14ac:dyDescent="0.15">
      <c r="A68" s="170" t="s">
        <v>258</v>
      </c>
      <c r="B68" s="242" t="s">
        <v>259</v>
      </c>
      <c r="C68" s="171"/>
      <c r="D68" s="172"/>
      <c r="E68" s="168"/>
      <c r="F68" s="168">
        <v>1300000</v>
      </c>
      <c r="G68" s="168"/>
      <c r="H68" s="168">
        <v>1300000</v>
      </c>
      <c r="I68" s="168"/>
      <c r="J68" s="168">
        <v>2600000</v>
      </c>
      <c r="K68" s="168"/>
      <c r="L68" s="168">
        <v>1300000</v>
      </c>
      <c r="M68" s="168"/>
      <c r="N68" s="168">
        <v>1300000</v>
      </c>
      <c r="O68" s="168"/>
      <c r="P68" s="168">
        <v>1300000</v>
      </c>
      <c r="Q68" s="168">
        <f t="shared" si="23"/>
        <v>9100000</v>
      </c>
      <c r="R68" s="237">
        <f>'RINCIAN B. LANGSUNG USAHA'!Q64</f>
        <v>0</v>
      </c>
      <c r="S68" s="254">
        <f t="shared" si="24"/>
        <v>9100000</v>
      </c>
      <c r="T68" s="174"/>
    </row>
    <row r="69" spans="1:20" ht="15.75" customHeight="1" x14ac:dyDescent="0.15">
      <c r="A69" s="170" t="s">
        <v>260</v>
      </c>
      <c r="B69" s="242" t="s">
        <v>261</v>
      </c>
      <c r="C69" s="171"/>
      <c r="D69" s="172"/>
      <c r="E69" s="168">
        <v>500000</v>
      </c>
      <c r="F69" s="168">
        <v>3500000</v>
      </c>
      <c r="G69" s="168">
        <v>500000</v>
      </c>
      <c r="H69" s="168">
        <v>500000</v>
      </c>
      <c r="I69" s="168">
        <v>500000</v>
      </c>
      <c r="J69" s="168">
        <v>500000</v>
      </c>
      <c r="K69" s="168">
        <v>500000</v>
      </c>
      <c r="L69" s="168">
        <v>500000</v>
      </c>
      <c r="M69" s="168">
        <v>500000</v>
      </c>
      <c r="N69" s="168">
        <v>500000</v>
      </c>
      <c r="O69" s="168">
        <v>500000</v>
      </c>
      <c r="P69" s="168">
        <v>500000</v>
      </c>
      <c r="Q69" s="168">
        <f>SUM(E69:P69)</f>
        <v>9000000</v>
      </c>
      <c r="R69" s="237">
        <f>'RINCIAN B. LANGSUNG USAHA'!Q65</f>
        <v>0</v>
      </c>
      <c r="S69" s="254">
        <f t="shared" si="24"/>
        <v>9000000</v>
      </c>
      <c r="T69" s="174"/>
    </row>
    <row r="70" spans="1:20" ht="15.75" customHeight="1" x14ac:dyDescent="0.15">
      <c r="A70" s="179"/>
      <c r="B70" s="545" t="s">
        <v>262</v>
      </c>
      <c r="C70" s="546"/>
      <c r="D70" s="547"/>
      <c r="E70" s="180">
        <f>SUM(E66:E69)</f>
        <v>500000</v>
      </c>
      <c r="F70" s="180">
        <f t="shared" ref="F70:P70" si="25">SUM(F66:F69)</f>
        <v>4800000</v>
      </c>
      <c r="G70" s="180">
        <f t="shared" si="25"/>
        <v>500000</v>
      </c>
      <c r="H70" s="180">
        <f t="shared" si="25"/>
        <v>1800000</v>
      </c>
      <c r="I70" s="180">
        <f t="shared" si="25"/>
        <v>5500000</v>
      </c>
      <c r="J70" s="180">
        <f t="shared" si="25"/>
        <v>3100000</v>
      </c>
      <c r="K70" s="180">
        <f t="shared" si="25"/>
        <v>500000</v>
      </c>
      <c r="L70" s="180">
        <f>SUM(L66:L69)</f>
        <v>1800000</v>
      </c>
      <c r="M70" s="180">
        <f t="shared" si="25"/>
        <v>500000</v>
      </c>
      <c r="N70" s="180">
        <f t="shared" si="25"/>
        <v>1800000</v>
      </c>
      <c r="O70" s="180">
        <f t="shared" si="25"/>
        <v>500000</v>
      </c>
      <c r="P70" s="180">
        <f t="shared" si="25"/>
        <v>1800000</v>
      </c>
      <c r="Q70" s="180">
        <f>SUM(Q67:Q69)</f>
        <v>23100000</v>
      </c>
      <c r="R70" s="238">
        <f>SUM(R66:R69)</f>
        <v>0</v>
      </c>
      <c r="S70" s="238">
        <f>SUM(S66:S69)</f>
        <v>23100000</v>
      </c>
      <c r="T70" s="186" t="s">
        <v>226</v>
      </c>
    </row>
    <row r="71" spans="1:20" ht="15.75" customHeight="1" x14ac:dyDescent="0.15">
      <c r="A71" s="179"/>
      <c r="B71" s="252" t="s">
        <v>240</v>
      </c>
      <c r="C71" s="184"/>
      <c r="D71" s="185"/>
      <c r="E71" s="180">
        <f>E70+E64</f>
        <v>106363995</v>
      </c>
      <c r="F71" s="180">
        <f t="shared" ref="F71:P71" si="26">F70+F64</f>
        <v>103978200</v>
      </c>
      <c r="G71" s="180">
        <f t="shared" si="26"/>
        <v>96063995</v>
      </c>
      <c r="H71" s="180">
        <f t="shared" si="26"/>
        <v>100978200</v>
      </c>
      <c r="I71" s="180">
        <f t="shared" si="26"/>
        <v>98063995</v>
      </c>
      <c r="J71" s="180">
        <f t="shared" si="26"/>
        <v>102278200</v>
      </c>
      <c r="K71" s="180">
        <f t="shared" si="26"/>
        <v>99563995</v>
      </c>
      <c r="L71" s="180">
        <f>L70+L64</f>
        <v>101478200</v>
      </c>
      <c r="M71" s="180">
        <f t="shared" si="26"/>
        <v>93563995</v>
      </c>
      <c r="N71" s="180">
        <f t="shared" si="26"/>
        <v>101478200</v>
      </c>
      <c r="O71" s="180">
        <f t="shared" si="26"/>
        <v>96063995</v>
      </c>
      <c r="P71" s="180">
        <f t="shared" si="26"/>
        <v>105428200</v>
      </c>
      <c r="Q71" s="180">
        <f>SUM(E71:P71)</f>
        <v>1205303170</v>
      </c>
      <c r="R71" s="237">
        <f>R70+R64</f>
        <v>0</v>
      </c>
      <c r="S71" s="254">
        <f>Q71-R71</f>
        <v>1205303170</v>
      </c>
      <c r="T71" s="175"/>
    </row>
    <row r="72" spans="1:20" ht="15.75" customHeight="1" x14ac:dyDescent="0.15">
      <c r="A72" s="179" t="s">
        <v>193</v>
      </c>
      <c r="B72" s="252" t="s">
        <v>263</v>
      </c>
      <c r="C72" s="195"/>
      <c r="D72" s="196"/>
      <c r="E72" s="180">
        <v>16200000</v>
      </c>
      <c r="F72" s="180">
        <v>16200000</v>
      </c>
      <c r="G72" s="180">
        <v>16200000</v>
      </c>
      <c r="H72" s="180">
        <v>16200000</v>
      </c>
      <c r="I72" s="180">
        <v>16200000</v>
      </c>
      <c r="J72" s="180">
        <v>16200000</v>
      </c>
      <c r="K72" s="180">
        <v>16200000</v>
      </c>
      <c r="L72" s="180">
        <v>16200000</v>
      </c>
      <c r="M72" s="180">
        <v>16200000</v>
      </c>
      <c r="N72" s="180">
        <v>16200000</v>
      </c>
      <c r="O72" s="180">
        <v>16200000</v>
      </c>
      <c r="P72" s="180">
        <v>16200000</v>
      </c>
      <c r="Q72" s="168">
        <f t="shared" ref="Q72" si="27">SUM(E72:P72)</f>
        <v>194400000</v>
      </c>
      <c r="R72" s="237">
        <f>'RINCIAN B. LANGSUNG USAHA'!Q68</f>
        <v>0</v>
      </c>
      <c r="S72" s="254">
        <f t="shared" si="24"/>
        <v>194400000</v>
      </c>
      <c r="T72" s="175" t="s">
        <v>242</v>
      </c>
    </row>
    <row r="73" spans="1:20" ht="15.75" customHeight="1" x14ac:dyDescent="0.15">
      <c r="A73" s="179"/>
      <c r="B73" s="545" t="s">
        <v>264</v>
      </c>
      <c r="C73" s="546"/>
      <c r="D73" s="547"/>
      <c r="E73" s="180">
        <f>SUM(E71:E72)</f>
        <v>122563995</v>
      </c>
      <c r="F73" s="180">
        <f t="shared" ref="F73:P73" si="28">SUM(F71:F72)</f>
        <v>120178200</v>
      </c>
      <c r="G73" s="180">
        <f t="shared" si="28"/>
        <v>112263995</v>
      </c>
      <c r="H73" s="180">
        <f t="shared" si="28"/>
        <v>117178200</v>
      </c>
      <c r="I73" s="180">
        <f t="shared" si="28"/>
        <v>114263995</v>
      </c>
      <c r="J73" s="180">
        <f t="shared" si="28"/>
        <v>118478200</v>
      </c>
      <c r="K73" s="180">
        <f t="shared" si="28"/>
        <v>115763995</v>
      </c>
      <c r="L73" s="180">
        <f t="shared" si="28"/>
        <v>117678200</v>
      </c>
      <c r="M73" s="180">
        <f t="shared" si="28"/>
        <v>109763995</v>
      </c>
      <c r="N73" s="180">
        <f t="shared" si="28"/>
        <v>117678200</v>
      </c>
      <c r="O73" s="180">
        <f t="shared" si="28"/>
        <v>112263995</v>
      </c>
      <c r="P73" s="180">
        <f t="shared" si="28"/>
        <v>121628200</v>
      </c>
      <c r="Q73" s="180">
        <f>SUM(E73:P73)</f>
        <v>1399703170</v>
      </c>
      <c r="R73" s="238">
        <f>R71+R72</f>
        <v>0</v>
      </c>
      <c r="S73" s="238">
        <f>S71+S72</f>
        <v>1399703170</v>
      </c>
      <c r="T73" s="186"/>
    </row>
    <row r="74" spans="1:20" ht="15.75" customHeight="1" x14ac:dyDescent="0.15">
      <c r="A74" s="197"/>
      <c r="B74" s="198"/>
      <c r="C74" s="171"/>
      <c r="D74" s="172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237"/>
      <c r="S74" s="237"/>
      <c r="T74" s="169"/>
    </row>
    <row r="75" spans="1:20" ht="15.75" customHeight="1" x14ac:dyDescent="0.15">
      <c r="A75" s="170" t="s">
        <v>189</v>
      </c>
      <c r="B75" s="242" t="s">
        <v>265</v>
      </c>
      <c r="C75" s="171"/>
      <c r="D75" s="172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237">
        <f>'RINCIAN B. LANGSUNG USAHA'!Q71</f>
        <v>0</v>
      </c>
      <c r="S75" s="254">
        <f t="shared" ref="S75:S80" si="29">Q75-R75</f>
        <v>0</v>
      </c>
      <c r="T75" s="169"/>
    </row>
    <row r="76" spans="1:20" ht="15.75" customHeight="1" x14ac:dyDescent="0.15">
      <c r="A76" s="170" t="s">
        <v>266</v>
      </c>
      <c r="B76" s="242" t="s">
        <v>267</v>
      </c>
      <c r="C76" s="171"/>
      <c r="D76" s="172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237">
        <f>'RINCIAN B. LANGSUNG USAHA'!Q72</f>
        <v>0</v>
      </c>
      <c r="S76" s="254">
        <f t="shared" si="29"/>
        <v>0</v>
      </c>
      <c r="T76" s="169"/>
    </row>
    <row r="77" spans="1:20" ht="15.75" customHeight="1" x14ac:dyDescent="0.15">
      <c r="A77" s="170" t="s">
        <v>268</v>
      </c>
      <c r="B77" s="242" t="s">
        <v>207</v>
      </c>
      <c r="C77" s="171"/>
      <c r="D77" s="172"/>
      <c r="E77" s="168">
        <v>21000000</v>
      </c>
      <c r="F77" s="168">
        <v>21000000</v>
      </c>
      <c r="G77" s="168">
        <v>21000000</v>
      </c>
      <c r="H77" s="168">
        <v>21000000</v>
      </c>
      <c r="I77" s="168">
        <v>21000000</v>
      </c>
      <c r="J77" s="168">
        <v>21000000</v>
      </c>
      <c r="K77" s="168">
        <v>21000000</v>
      </c>
      <c r="L77" s="168">
        <v>21000000</v>
      </c>
      <c r="M77" s="168">
        <v>21000000</v>
      </c>
      <c r="N77" s="168">
        <v>21000000</v>
      </c>
      <c r="O77" s="168">
        <v>21000000</v>
      </c>
      <c r="P77" s="168">
        <v>21000000</v>
      </c>
      <c r="Q77" s="168">
        <f>SUM(E77:P77)</f>
        <v>252000000</v>
      </c>
      <c r="R77" s="237">
        <f>'RINCIAN B. LANGSUNG USAHA'!Q73</f>
        <v>0</v>
      </c>
      <c r="S77" s="254">
        <f t="shared" si="29"/>
        <v>252000000</v>
      </c>
      <c r="T77" s="169" t="s">
        <v>208</v>
      </c>
    </row>
    <row r="78" spans="1:20" ht="15.75" customHeight="1" x14ac:dyDescent="0.15">
      <c r="A78" s="170" t="s">
        <v>269</v>
      </c>
      <c r="B78" s="242" t="s">
        <v>270</v>
      </c>
      <c r="C78" s="171"/>
      <c r="D78" s="172"/>
      <c r="E78" s="168">
        <v>2500000</v>
      </c>
      <c r="F78" s="168">
        <v>2500000</v>
      </c>
      <c r="G78" s="168">
        <v>2500000</v>
      </c>
      <c r="H78" s="168">
        <v>2500000</v>
      </c>
      <c r="I78" s="168">
        <v>2500000</v>
      </c>
      <c r="J78" s="168">
        <v>2500000</v>
      </c>
      <c r="K78" s="168">
        <v>2500000</v>
      </c>
      <c r="L78" s="168">
        <v>2500000</v>
      </c>
      <c r="M78" s="168">
        <v>2500000</v>
      </c>
      <c r="N78" s="168">
        <v>2500000</v>
      </c>
      <c r="O78" s="168">
        <v>2500000</v>
      </c>
      <c r="P78" s="168">
        <v>2500000</v>
      </c>
      <c r="Q78" s="168">
        <f t="shared" ref="Q78:Q79" si="30">SUM(E78:P78)</f>
        <v>30000000</v>
      </c>
      <c r="R78" s="237">
        <f>'RINCIAN B. LANGSUNG USAHA'!Q86</f>
        <v>0</v>
      </c>
      <c r="S78" s="254">
        <f t="shared" si="29"/>
        <v>30000000</v>
      </c>
      <c r="T78" s="175" t="s">
        <v>217</v>
      </c>
    </row>
    <row r="79" spans="1:20" ht="15.75" customHeight="1" x14ac:dyDescent="0.15">
      <c r="A79" s="170" t="s">
        <v>414</v>
      </c>
      <c r="B79" s="551" t="s">
        <v>415</v>
      </c>
      <c r="C79" s="552"/>
      <c r="D79" s="553"/>
      <c r="E79" s="168">
        <v>1500000</v>
      </c>
      <c r="F79" s="168">
        <v>1500000</v>
      </c>
      <c r="G79" s="168">
        <v>1500000</v>
      </c>
      <c r="H79" s="168">
        <v>1500000</v>
      </c>
      <c r="I79" s="168">
        <v>1500000</v>
      </c>
      <c r="J79" s="168">
        <v>1500000</v>
      </c>
      <c r="K79" s="168">
        <v>1500000</v>
      </c>
      <c r="L79" s="168">
        <v>1500000</v>
      </c>
      <c r="M79" s="168">
        <v>1500000</v>
      </c>
      <c r="N79" s="168">
        <v>1500000</v>
      </c>
      <c r="O79" s="168">
        <v>1500000</v>
      </c>
      <c r="P79" s="168">
        <v>1500000</v>
      </c>
      <c r="Q79" s="168">
        <f t="shared" si="30"/>
        <v>18000000</v>
      </c>
      <c r="R79" s="237">
        <f>'RINCIAN B. LANGSUNG USAHA'!Q87</f>
        <v>0</v>
      </c>
      <c r="S79" s="254">
        <f t="shared" si="29"/>
        <v>18000000</v>
      </c>
      <c r="T79" s="174" t="s">
        <v>211</v>
      </c>
    </row>
    <row r="80" spans="1:20" ht="15.75" customHeight="1" x14ac:dyDescent="0.15">
      <c r="A80" s="170" t="s">
        <v>271</v>
      </c>
      <c r="B80" s="242" t="s">
        <v>219</v>
      </c>
      <c r="C80" s="171"/>
      <c r="D80" s="172"/>
      <c r="E80" s="168">
        <v>500000</v>
      </c>
      <c r="F80" s="168">
        <v>500000</v>
      </c>
      <c r="G80" s="168">
        <v>500000</v>
      </c>
      <c r="H80" s="168">
        <v>500000</v>
      </c>
      <c r="I80" s="168">
        <v>500000</v>
      </c>
      <c r="J80" s="168">
        <v>500000</v>
      </c>
      <c r="K80" s="168">
        <v>500000</v>
      </c>
      <c r="L80" s="168">
        <v>500000</v>
      </c>
      <c r="M80" s="168">
        <v>500000</v>
      </c>
      <c r="N80" s="168">
        <v>500000</v>
      </c>
      <c r="O80" s="168">
        <v>500000</v>
      </c>
      <c r="P80" s="168">
        <v>500000</v>
      </c>
      <c r="Q80" s="168">
        <f>SUM(E80:P80)</f>
        <v>6000000</v>
      </c>
      <c r="R80" s="237">
        <f>'RINCIAN B. LANGSUNG USAHA'!Q88</f>
        <v>0</v>
      </c>
      <c r="S80" s="254">
        <f t="shared" si="29"/>
        <v>6000000</v>
      </c>
      <c r="T80" s="169" t="s">
        <v>220</v>
      </c>
    </row>
    <row r="81" spans="1:20" ht="15.75" customHeight="1" x14ac:dyDescent="0.15">
      <c r="A81" s="179"/>
      <c r="B81" s="545" t="s">
        <v>272</v>
      </c>
      <c r="C81" s="546"/>
      <c r="D81" s="547"/>
      <c r="E81" s="180">
        <f t="shared" ref="E81:P81" si="31">SUM(E77:E80)</f>
        <v>25500000</v>
      </c>
      <c r="F81" s="180">
        <f t="shared" si="31"/>
        <v>25500000</v>
      </c>
      <c r="G81" s="180">
        <f t="shared" si="31"/>
        <v>25500000</v>
      </c>
      <c r="H81" s="180">
        <f t="shared" si="31"/>
        <v>25500000</v>
      </c>
      <c r="I81" s="180">
        <f t="shared" si="31"/>
        <v>25500000</v>
      </c>
      <c r="J81" s="180">
        <f t="shared" si="31"/>
        <v>25500000</v>
      </c>
      <c r="K81" s="180">
        <f t="shared" si="31"/>
        <v>25500000</v>
      </c>
      <c r="L81" s="180">
        <f t="shared" si="31"/>
        <v>25500000</v>
      </c>
      <c r="M81" s="180">
        <f t="shared" si="31"/>
        <v>25500000</v>
      </c>
      <c r="N81" s="180">
        <f t="shared" si="31"/>
        <v>25500000</v>
      </c>
      <c r="O81" s="180">
        <f t="shared" si="31"/>
        <v>25500000</v>
      </c>
      <c r="P81" s="180">
        <f t="shared" si="31"/>
        <v>25500000</v>
      </c>
      <c r="Q81" s="180">
        <f>SUM(E81:P81)</f>
        <v>306000000</v>
      </c>
      <c r="R81" s="238">
        <f>SUM(R75:R80)</f>
        <v>0</v>
      </c>
      <c r="S81" s="238">
        <f>SUM(S75:S80)</f>
        <v>306000000</v>
      </c>
      <c r="T81" s="181"/>
    </row>
    <row r="82" spans="1:20" ht="15.75" customHeight="1" x14ac:dyDescent="0.15">
      <c r="A82" s="170" t="s">
        <v>273</v>
      </c>
      <c r="B82" s="242" t="s">
        <v>274</v>
      </c>
      <c r="C82" s="171"/>
      <c r="D82" s="172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237"/>
      <c r="S82" s="237"/>
      <c r="T82" s="169"/>
    </row>
    <row r="83" spans="1:20" ht="15.75" customHeight="1" x14ac:dyDescent="0.15">
      <c r="A83" s="170" t="s">
        <v>275</v>
      </c>
      <c r="B83" s="242" t="s">
        <v>276</v>
      </c>
      <c r="C83" s="171"/>
      <c r="D83" s="172"/>
      <c r="E83" s="168">
        <v>1500000</v>
      </c>
      <c r="F83" s="168"/>
      <c r="G83" s="168"/>
      <c r="H83" s="168"/>
      <c r="I83" s="168">
        <v>1500000</v>
      </c>
      <c r="J83" s="168"/>
      <c r="K83" s="168"/>
      <c r="L83" s="168"/>
      <c r="M83" s="168"/>
      <c r="N83" s="168">
        <v>1500000</v>
      </c>
      <c r="O83" s="168"/>
      <c r="P83" s="168"/>
      <c r="Q83" s="168">
        <f>SUM(E83:P83)</f>
        <v>4500000</v>
      </c>
      <c r="R83" s="237">
        <f>'RINCIAN B. LANGSUNG USAHA'!Q91</f>
        <v>0</v>
      </c>
      <c r="S83" s="254">
        <f t="shared" ref="S83:S88" si="32">Q83-R83</f>
        <v>4500000</v>
      </c>
      <c r="T83" s="169"/>
    </row>
    <row r="84" spans="1:20" ht="15.75" customHeight="1" x14ac:dyDescent="0.15">
      <c r="A84" s="170" t="s">
        <v>277</v>
      </c>
      <c r="B84" s="242" t="s">
        <v>278</v>
      </c>
      <c r="C84" s="171"/>
      <c r="D84" s="172"/>
      <c r="E84" s="168">
        <v>30000000</v>
      </c>
      <c r="F84" s="168">
        <v>30000000</v>
      </c>
      <c r="G84" s="168">
        <v>30000000</v>
      </c>
      <c r="H84" s="168">
        <v>30000000</v>
      </c>
      <c r="I84" s="168">
        <v>30000000</v>
      </c>
      <c r="J84" s="168">
        <v>30000000</v>
      </c>
      <c r="K84" s="168">
        <v>30000000</v>
      </c>
      <c r="L84" s="168">
        <v>30000000</v>
      </c>
      <c r="M84" s="168">
        <v>30000000</v>
      </c>
      <c r="N84" s="168">
        <v>30000000</v>
      </c>
      <c r="O84" s="168">
        <v>30000000</v>
      </c>
      <c r="P84" s="168">
        <v>30000000</v>
      </c>
      <c r="Q84" s="168">
        <f t="shared" ref="Q84:Q88" si="33">SUM(E84:P84)</f>
        <v>360000000</v>
      </c>
      <c r="R84" s="237">
        <f>'RINCIAN B. LANGSUNG USAHA'!Q92</f>
        <v>0</v>
      </c>
      <c r="S84" s="254">
        <f t="shared" si="32"/>
        <v>360000000</v>
      </c>
      <c r="T84" s="169"/>
    </row>
    <row r="85" spans="1:20" ht="15.75" customHeight="1" x14ac:dyDescent="0.15">
      <c r="A85" s="170" t="s">
        <v>279</v>
      </c>
      <c r="B85" s="242" t="s">
        <v>280</v>
      </c>
      <c r="C85" s="171"/>
      <c r="D85" s="172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>
        <f t="shared" si="33"/>
        <v>0</v>
      </c>
      <c r="R85" s="237">
        <f>'RINCIAN B. LANGSUNG USAHA'!Q93</f>
        <v>0</v>
      </c>
      <c r="S85" s="254">
        <f t="shared" si="32"/>
        <v>0</v>
      </c>
      <c r="T85" s="169"/>
    </row>
    <row r="86" spans="1:20" ht="15.75" customHeight="1" x14ac:dyDescent="0.15">
      <c r="A86" s="170" t="s">
        <v>281</v>
      </c>
      <c r="B86" s="242" t="s">
        <v>259</v>
      </c>
      <c r="C86" s="192"/>
      <c r="D86" s="193"/>
      <c r="E86" s="168">
        <v>2000000</v>
      </c>
      <c r="F86" s="168">
        <v>2000000</v>
      </c>
      <c r="G86" s="168">
        <v>2000000</v>
      </c>
      <c r="H86" s="168">
        <v>2000000</v>
      </c>
      <c r="I86" s="168">
        <v>2000000</v>
      </c>
      <c r="J86" s="168">
        <v>2000000</v>
      </c>
      <c r="K86" s="168">
        <v>2000000</v>
      </c>
      <c r="L86" s="168">
        <v>2000000</v>
      </c>
      <c r="M86" s="168">
        <v>2000000</v>
      </c>
      <c r="N86" s="168">
        <v>2000000</v>
      </c>
      <c r="O86" s="168">
        <v>2000000</v>
      </c>
      <c r="P86" s="168">
        <v>2000000</v>
      </c>
      <c r="Q86" s="168">
        <f t="shared" si="33"/>
        <v>24000000</v>
      </c>
      <c r="R86" s="237">
        <f>'RINCIAN B. LANGSUNG USAHA'!Q94</f>
        <v>0</v>
      </c>
      <c r="S86" s="254">
        <f t="shared" si="32"/>
        <v>24000000</v>
      </c>
      <c r="T86" s="169"/>
    </row>
    <row r="87" spans="1:20" ht="15.75" customHeight="1" x14ac:dyDescent="0.15">
      <c r="A87" s="170" t="s">
        <v>282</v>
      </c>
      <c r="B87" s="242" t="s">
        <v>283</v>
      </c>
      <c r="C87" s="171"/>
      <c r="D87" s="172"/>
      <c r="E87" s="168">
        <v>30000000</v>
      </c>
      <c r="F87" s="168">
        <v>30000000</v>
      </c>
      <c r="G87" s="168">
        <v>30000000</v>
      </c>
      <c r="H87" s="168">
        <v>30000000</v>
      </c>
      <c r="I87" s="168">
        <v>30000000</v>
      </c>
      <c r="J87" s="168">
        <v>30000000</v>
      </c>
      <c r="K87" s="168">
        <v>30000000</v>
      </c>
      <c r="L87" s="168">
        <v>30000000</v>
      </c>
      <c r="M87" s="168">
        <v>30000000</v>
      </c>
      <c r="N87" s="168">
        <v>30000000</v>
      </c>
      <c r="O87" s="168">
        <v>30000000</v>
      </c>
      <c r="P87" s="168">
        <v>30000000</v>
      </c>
      <c r="Q87" s="168">
        <f t="shared" si="33"/>
        <v>360000000</v>
      </c>
      <c r="R87" s="237">
        <f>'RINCIAN B. LANGSUNG USAHA'!Q95</f>
        <v>0</v>
      </c>
      <c r="S87" s="254">
        <f t="shared" si="32"/>
        <v>360000000</v>
      </c>
      <c r="T87" s="169"/>
    </row>
    <row r="88" spans="1:20" ht="15.75" customHeight="1" x14ac:dyDescent="0.15">
      <c r="A88" s="170" t="s">
        <v>284</v>
      </c>
      <c r="B88" s="242" t="s">
        <v>285</v>
      </c>
      <c r="C88" s="171"/>
      <c r="D88" s="172"/>
      <c r="E88" s="168">
        <v>1000000</v>
      </c>
      <c r="F88" s="168">
        <v>1000000</v>
      </c>
      <c r="G88" s="168">
        <v>1000000</v>
      </c>
      <c r="H88" s="168">
        <v>1000000</v>
      </c>
      <c r="I88" s="168">
        <v>1000000</v>
      </c>
      <c r="J88" s="168">
        <v>1000000</v>
      </c>
      <c r="K88" s="168">
        <v>1000000</v>
      </c>
      <c r="L88" s="168">
        <v>1000000</v>
      </c>
      <c r="M88" s="168">
        <v>1000000</v>
      </c>
      <c r="N88" s="168">
        <v>1000000</v>
      </c>
      <c r="O88" s="168">
        <v>1000000</v>
      </c>
      <c r="P88" s="168">
        <v>1000000</v>
      </c>
      <c r="Q88" s="168">
        <f t="shared" si="33"/>
        <v>12000000</v>
      </c>
      <c r="R88" s="237">
        <f>'RINCIAN B. LANGSUNG USAHA'!Q96</f>
        <v>0</v>
      </c>
      <c r="S88" s="254">
        <f t="shared" si="32"/>
        <v>12000000</v>
      </c>
      <c r="T88" s="169"/>
    </row>
    <row r="89" spans="1:20" ht="15.75" customHeight="1" x14ac:dyDescent="0.15">
      <c r="A89" s="179"/>
      <c r="B89" s="545" t="s">
        <v>262</v>
      </c>
      <c r="C89" s="546"/>
      <c r="D89" s="547"/>
      <c r="E89" s="180">
        <f>SUM(E83:E88)</f>
        <v>64500000</v>
      </c>
      <c r="F89" s="180">
        <f t="shared" ref="F89:P89" si="34">SUM(F83:F88)</f>
        <v>63000000</v>
      </c>
      <c r="G89" s="180">
        <f t="shared" si="34"/>
        <v>63000000</v>
      </c>
      <c r="H89" s="180">
        <f t="shared" si="34"/>
        <v>63000000</v>
      </c>
      <c r="I89" s="180">
        <f t="shared" si="34"/>
        <v>64500000</v>
      </c>
      <c r="J89" s="180">
        <f t="shared" si="34"/>
        <v>63000000</v>
      </c>
      <c r="K89" s="180">
        <f t="shared" si="34"/>
        <v>63000000</v>
      </c>
      <c r="L89" s="180">
        <f t="shared" si="34"/>
        <v>63000000</v>
      </c>
      <c r="M89" s="180">
        <f t="shared" si="34"/>
        <v>63000000</v>
      </c>
      <c r="N89" s="180">
        <f t="shared" si="34"/>
        <v>64500000</v>
      </c>
      <c r="O89" s="180">
        <f t="shared" si="34"/>
        <v>63000000</v>
      </c>
      <c r="P89" s="180">
        <f t="shared" si="34"/>
        <v>63000000</v>
      </c>
      <c r="Q89" s="180">
        <f>SUM(E89:P89)</f>
        <v>760500000</v>
      </c>
      <c r="R89" s="238">
        <f>SUM(R83:R88)</f>
        <v>0</v>
      </c>
      <c r="S89" s="238">
        <f>SUM(S83:S88)</f>
        <v>760500000</v>
      </c>
      <c r="T89" s="181" t="s">
        <v>226</v>
      </c>
    </row>
    <row r="90" spans="1:20" ht="15.75" customHeight="1" x14ac:dyDescent="0.15">
      <c r="A90" s="179"/>
      <c r="B90" s="252" t="s">
        <v>240</v>
      </c>
      <c r="C90" s="184"/>
      <c r="D90" s="185"/>
      <c r="E90" s="180">
        <f>E89+E81</f>
        <v>90000000</v>
      </c>
      <c r="F90" s="180">
        <f t="shared" ref="F90:P90" si="35">F89+F81</f>
        <v>88500000</v>
      </c>
      <c r="G90" s="180">
        <f t="shared" si="35"/>
        <v>88500000</v>
      </c>
      <c r="H90" s="180">
        <f t="shared" si="35"/>
        <v>88500000</v>
      </c>
      <c r="I90" s="180">
        <f t="shared" si="35"/>
        <v>90000000</v>
      </c>
      <c r="J90" s="180">
        <f t="shared" si="35"/>
        <v>88500000</v>
      </c>
      <c r="K90" s="180">
        <f t="shared" si="35"/>
        <v>88500000</v>
      </c>
      <c r="L90" s="180">
        <f t="shared" si="35"/>
        <v>88500000</v>
      </c>
      <c r="M90" s="180">
        <f t="shared" si="35"/>
        <v>88500000</v>
      </c>
      <c r="N90" s="180">
        <f t="shared" si="35"/>
        <v>90000000</v>
      </c>
      <c r="O90" s="180">
        <f t="shared" si="35"/>
        <v>88500000</v>
      </c>
      <c r="P90" s="180">
        <f t="shared" si="35"/>
        <v>88500000</v>
      </c>
      <c r="Q90" s="180">
        <f>SUM(E90:P90)</f>
        <v>1066500000</v>
      </c>
      <c r="R90" s="237">
        <f>R81+R89</f>
        <v>0</v>
      </c>
      <c r="S90" s="237">
        <f>Q90-R90</f>
        <v>1066500000</v>
      </c>
      <c r="T90" s="169"/>
    </row>
    <row r="91" spans="1:20" ht="15.75" customHeight="1" x14ac:dyDescent="0.15">
      <c r="A91" s="179" t="s">
        <v>194</v>
      </c>
      <c r="B91" s="252" t="s">
        <v>286</v>
      </c>
      <c r="C91" s="184"/>
      <c r="D91" s="185"/>
      <c r="E91" s="180">
        <v>35700000</v>
      </c>
      <c r="F91" s="180">
        <v>35700000</v>
      </c>
      <c r="G91" s="180">
        <v>35700000</v>
      </c>
      <c r="H91" s="180">
        <v>35700000</v>
      </c>
      <c r="I91" s="180">
        <v>35700000</v>
      </c>
      <c r="J91" s="180">
        <v>35700000</v>
      </c>
      <c r="K91" s="180">
        <v>35700000</v>
      </c>
      <c r="L91" s="180">
        <v>35700000</v>
      </c>
      <c r="M91" s="180">
        <v>35700000</v>
      </c>
      <c r="N91" s="180">
        <v>35700000</v>
      </c>
      <c r="O91" s="180">
        <v>35700000</v>
      </c>
      <c r="P91" s="180">
        <v>35700000</v>
      </c>
      <c r="Q91" s="180">
        <f>SUM(E91:P91)</f>
        <v>428400000</v>
      </c>
      <c r="R91" s="238">
        <f>'RINCIAN B. LANGSUNG USAHA'!Q99</f>
        <v>0</v>
      </c>
      <c r="S91" s="180">
        <f t="shared" ref="S91:S95" si="36">Q91-R91</f>
        <v>428400000</v>
      </c>
      <c r="T91" s="181" t="s">
        <v>242</v>
      </c>
    </row>
    <row r="92" spans="1:20" ht="15.75" customHeight="1" x14ac:dyDescent="0.15">
      <c r="A92" s="179"/>
      <c r="B92" s="539" t="s">
        <v>287</v>
      </c>
      <c r="C92" s="540"/>
      <c r="D92" s="541"/>
      <c r="E92" s="180">
        <f>SUM(E90:E91)</f>
        <v>125700000</v>
      </c>
      <c r="F92" s="180">
        <f t="shared" ref="F92:P92" si="37">SUM(F90:F91)</f>
        <v>124200000</v>
      </c>
      <c r="G92" s="180">
        <f>SUM(G90:G91)</f>
        <v>124200000</v>
      </c>
      <c r="H92" s="180">
        <f t="shared" si="37"/>
        <v>124200000</v>
      </c>
      <c r="I92" s="180">
        <f t="shared" si="37"/>
        <v>125700000</v>
      </c>
      <c r="J92" s="180">
        <f t="shared" si="37"/>
        <v>124200000</v>
      </c>
      <c r="K92" s="180">
        <f t="shared" si="37"/>
        <v>124200000</v>
      </c>
      <c r="L92" s="180">
        <f t="shared" si="37"/>
        <v>124200000</v>
      </c>
      <c r="M92" s="180">
        <f t="shared" si="37"/>
        <v>124200000</v>
      </c>
      <c r="N92" s="180">
        <f t="shared" si="37"/>
        <v>125700000</v>
      </c>
      <c r="O92" s="180">
        <f t="shared" si="37"/>
        <v>124200000</v>
      </c>
      <c r="P92" s="180">
        <f t="shared" si="37"/>
        <v>124200000</v>
      </c>
      <c r="Q92" s="180">
        <f>SUM(Q90:Q91)</f>
        <v>1494900000</v>
      </c>
      <c r="R92" s="237">
        <f>R90+R91</f>
        <v>0</v>
      </c>
      <c r="S92" s="180">
        <f t="shared" si="36"/>
        <v>1494900000</v>
      </c>
      <c r="T92" s="169"/>
    </row>
    <row r="93" spans="1:20" ht="15.75" customHeight="1" x14ac:dyDescent="0.15">
      <c r="A93" s="197"/>
      <c r="B93" s="198" t="s">
        <v>288</v>
      </c>
      <c r="C93" s="171"/>
      <c r="D93" s="172"/>
      <c r="E93" s="180">
        <f t="shared" ref="E93:P94" si="38">E90+E71+E35</f>
        <v>291822150</v>
      </c>
      <c r="F93" s="180">
        <f t="shared" si="38"/>
        <v>307606144</v>
      </c>
      <c r="G93" s="180">
        <f t="shared" si="38"/>
        <v>260481118</v>
      </c>
      <c r="H93" s="180">
        <f t="shared" si="38"/>
        <v>264478200</v>
      </c>
      <c r="I93" s="180">
        <f t="shared" si="38"/>
        <v>263063995</v>
      </c>
      <c r="J93" s="180">
        <f t="shared" si="38"/>
        <v>302278200</v>
      </c>
      <c r="K93" s="180">
        <f t="shared" si="38"/>
        <v>294063995</v>
      </c>
      <c r="L93" s="180">
        <f t="shared" si="38"/>
        <v>284478200</v>
      </c>
      <c r="M93" s="180">
        <f t="shared" si="38"/>
        <v>277063995</v>
      </c>
      <c r="N93" s="180">
        <f t="shared" si="38"/>
        <v>302478200</v>
      </c>
      <c r="O93" s="180">
        <f t="shared" si="38"/>
        <v>261063995</v>
      </c>
      <c r="P93" s="180">
        <f t="shared" si="38"/>
        <v>268928200</v>
      </c>
      <c r="Q93" s="180">
        <f>SUM(E93:P93)</f>
        <v>3377806392</v>
      </c>
      <c r="R93" s="238">
        <f>R35+R71+R90</f>
        <v>0</v>
      </c>
      <c r="S93" s="180">
        <f t="shared" si="36"/>
        <v>3377806392</v>
      </c>
      <c r="T93" s="181"/>
    </row>
    <row r="94" spans="1:20" ht="15.75" customHeight="1" x14ac:dyDescent="0.15">
      <c r="A94" s="179"/>
      <c r="B94" s="252" t="s">
        <v>289</v>
      </c>
      <c r="C94" s="184"/>
      <c r="D94" s="185"/>
      <c r="E94" s="168">
        <f t="shared" si="38"/>
        <v>77600000</v>
      </c>
      <c r="F94" s="168">
        <f t="shared" si="38"/>
        <v>82200000</v>
      </c>
      <c r="G94" s="168">
        <f t="shared" si="38"/>
        <v>82200000</v>
      </c>
      <c r="H94" s="168">
        <f t="shared" si="38"/>
        <v>82200000</v>
      </c>
      <c r="I94" s="168">
        <f t="shared" si="38"/>
        <v>82200000</v>
      </c>
      <c r="J94" s="168">
        <f t="shared" si="38"/>
        <v>82200000</v>
      </c>
      <c r="K94" s="168">
        <f t="shared" si="38"/>
        <v>82200000</v>
      </c>
      <c r="L94" s="168">
        <f t="shared" si="38"/>
        <v>82200000</v>
      </c>
      <c r="M94" s="168">
        <f t="shared" si="38"/>
        <v>82200000</v>
      </c>
      <c r="N94" s="168">
        <f t="shared" si="38"/>
        <v>82200000</v>
      </c>
      <c r="O94" s="168">
        <f t="shared" si="38"/>
        <v>82200000</v>
      </c>
      <c r="P94" s="168">
        <f t="shared" si="38"/>
        <v>82200000</v>
      </c>
      <c r="Q94" s="168">
        <f>SUM(E94:P94)</f>
        <v>981800000</v>
      </c>
      <c r="R94" s="180">
        <f>R36+R72+R91</f>
        <v>0</v>
      </c>
      <c r="S94" s="180">
        <f t="shared" si="36"/>
        <v>981800000</v>
      </c>
      <c r="T94" s="181" t="s">
        <v>242</v>
      </c>
    </row>
    <row r="95" spans="1:20" ht="15.75" customHeight="1" thickBot="1" x14ac:dyDescent="0.2">
      <c r="A95" s="199"/>
      <c r="B95" s="554" t="s">
        <v>290</v>
      </c>
      <c r="C95" s="555"/>
      <c r="D95" s="556"/>
      <c r="E95" s="200">
        <f>SUM(E93:E94)</f>
        <v>369422150</v>
      </c>
      <c r="F95" s="200">
        <f t="shared" ref="F95:Q95" si="39">SUM(F93:F94)</f>
        <v>389806144</v>
      </c>
      <c r="G95" s="200">
        <f t="shared" si="39"/>
        <v>342681118</v>
      </c>
      <c r="H95" s="200">
        <f t="shared" si="39"/>
        <v>346678200</v>
      </c>
      <c r="I95" s="200">
        <f t="shared" si="39"/>
        <v>345263995</v>
      </c>
      <c r="J95" s="200">
        <f t="shared" si="39"/>
        <v>384478200</v>
      </c>
      <c r="K95" s="200">
        <f t="shared" si="39"/>
        <v>376263995</v>
      </c>
      <c r="L95" s="200">
        <f t="shared" si="39"/>
        <v>366678200</v>
      </c>
      <c r="M95" s="200">
        <f t="shared" si="39"/>
        <v>359263995</v>
      </c>
      <c r="N95" s="200">
        <f t="shared" si="39"/>
        <v>384678200</v>
      </c>
      <c r="O95" s="200">
        <f t="shared" si="39"/>
        <v>343263995</v>
      </c>
      <c r="P95" s="200">
        <f t="shared" si="39"/>
        <v>351128200</v>
      </c>
      <c r="Q95" s="200">
        <f t="shared" si="39"/>
        <v>4359606392</v>
      </c>
      <c r="R95" s="240">
        <f>SUM(R93:R94)</f>
        <v>0</v>
      </c>
      <c r="S95" s="180">
        <f t="shared" si="36"/>
        <v>4359606392</v>
      </c>
      <c r="T95" s="201"/>
    </row>
    <row r="96" spans="1:20" ht="12.75" customHeight="1" thickTop="1" x14ac:dyDescent="0.15">
      <c r="A96" s="202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</row>
    <row r="97" spans="1:20" ht="12.75" customHeight="1" x14ac:dyDescent="0.15">
      <c r="A97" s="202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4"/>
      <c r="S97" s="204"/>
    </row>
    <row r="98" spans="1:20" ht="12.75" customHeight="1" x14ac:dyDescent="0.15">
      <c r="A98" s="202"/>
      <c r="E98" s="206"/>
      <c r="F98" s="206"/>
      <c r="G98" s="206"/>
      <c r="H98" s="206"/>
      <c r="I98" s="206"/>
      <c r="J98" s="206"/>
      <c r="K98" s="206"/>
      <c r="L98" s="206"/>
      <c r="M98" s="206"/>
      <c r="N98" s="206"/>
      <c r="O98" s="206"/>
      <c r="P98" s="206"/>
      <c r="Q98" s="544"/>
      <c r="R98" s="544"/>
      <c r="S98" s="544"/>
      <c r="T98" s="544"/>
    </row>
    <row r="99" spans="1:20" ht="12.75" customHeight="1" x14ac:dyDescent="0.15">
      <c r="A99" s="202"/>
      <c r="K99" s="178"/>
      <c r="Q99" s="178"/>
      <c r="R99" s="178"/>
      <c r="S99" s="178"/>
    </row>
    <row r="100" spans="1:20" ht="12.75" customHeight="1" x14ac:dyDescent="0.15">
      <c r="A100" s="202"/>
      <c r="K100" s="178"/>
    </row>
    <row r="101" spans="1:20" ht="12.75" customHeight="1" x14ac:dyDescent="0.15">
      <c r="A101" s="202"/>
      <c r="K101" s="544"/>
      <c r="L101" s="544"/>
    </row>
    <row r="102" spans="1:20" ht="12.75" customHeight="1" x14ac:dyDescent="0.15">
      <c r="A102" s="202"/>
      <c r="B102" s="158"/>
    </row>
    <row r="103" spans="1:20" ht="12.75" customHeight="1" x14ac:dyDescent="0.15">
      <c r="A103" s="202"/>
      <c r="B103" s="158"/>
    </row>
    <row r="104" spans="1:20" ht="12.75" customHeight="1" x14ac:dyDescent="0.15">
      <c r="A104" s="202"/>
      <c r="B104" s="158"/>
    </row>
    <row r="105" spans="1:20" ht="12.75" customHeight="1" x14ac:dyDescent="0.15">
      <c r="A105" s="202"/>
      <c r="B105" s="158"/>
    </row>
    <row r="106" spans="1:20" ht="12.75" customHeight="1" x14ac:dyDescent="0.15">
      <c r="A106" s="202"/>
      <c r="B106" s="158"/>
    </row>
    <row r="107" spans="1:20" ht="12.75" customHeight="1" x14ac:dyDescent="0.15">
      <c r="A107" s="202"/>
      <c r="B107" s="158"/>
    </row>
    <row r="108" spans="1:20" ht="12.75" customHeight="1" x14ac:dyDescent="0.15">
      <c r="A108" s="202"/>
      <c r="B108" s="158"/>
    </row>
    <row r="109" spans="1:20" ht="12.75" customHeight="1" x14ac:dyDescent="0.15">
      <c r="A109" s="202"/>
      <c r="B109" s="158"/>
    </row>
    <row r="110" spans="1:20" ht="12.75" customHeight="1" x14ac:dyDescent="0.15">
      <c r="A110" s="202"/>
      <c r="B110" s="158"/>
    </row>
    <row r="111" spans="1:20" ht="12.75" customHeight="1" x14ac:dyDescent="0.15">
      <c r="A111" s="202"/>
      <c r="B111" s="158"/>
    </row>
    <row r="112" spans="1:20" ht="12.75" customHeight="1" x14ac:dyDescent="0.15">
      <c r="A112" s="202"/>
      <c r="B112" s="158"/>
    </row>
    <row r="113" spans="1:2" ht="12.75" customHeight="1" x14ac:dyDescent="0.15">
      <c r="A113" s="202"/>
      <c r="B113" s="158"/>
    </row>
    <row r="114" spans="1:2" ht="12.75" customHeight="1" x14ac:dyDescent="0.15">
      <c r="A114" s="202"/>
      <c r="B114" s="158"/>
    </row>
    <row r="115" spans="1:2" ht="12.75" customHeight="1" x14ac:dyDescent="0.15">
      <c r="A115" s="202"/>
      <c r="B115" s="158"/>
    </row>
    <row r="116" spans="1:2" ht="12.75" customHeight="1" x14ac:dyDescent="0.15">
      <c r="A116" s="202"/>
      <c r="B116" s="158"/>
    </row>
    <row r="117" spans="1:2" ht="12.75" customHeight="1" x14ac:dyDescent="0.15">
      <c r="A117" s="202"/>
      <c r="B117" s="158"/>
    </row>
    <row r="118" spans="1:2" ht="12.75" customHeight="1" x14ac:dyDescent="0.15">
      <c r="A118" s="202"/>
      <c r="B118" s="158"/>
    </row>
    <row r="119" spans="1:2" ht="12.75" customHeight="1" x14ac:dyDescent="0.15">
      <c r="A119" s="202"/>
      <c r="B119" s="158"/>
    </row>
    <row r="120" spans="1:2" ht="12.75" customHeight="1" x14ac:dyDescent="0.15">
      <c r="A120" s="202"/>
      <c r="B120" s="158"/>
    </row>
    <row r="121" spans="1:2" ht="12.75" customHeight="1" x14ac:dyDescent="0.15">
      <c r="A121" s="202"/>
      <c r="B121" s="158"/>
    </row>
    <row r="122" spans="1:2" ht="12.75" customHeight="1" x14ac:dyDescent="0.15">
      <c r="A122" s="202"/>
      <c r="B122" s="158"/>
    </row>
    <row r="123" spans="1:2" ht="12.75" customHeight="1" x14ac:dyDescent="0.15">
      <c r="A123" s="202"/>
      <c r="B123" s="158"/>
    </row>
    <row r="124" spans="1:2" ht="12.75" customHeight="1" x14ac:dyDescent="0.15">
      <c r="A124" s="202"/>
      <c r="B124" s="158"/>
    </row>
    <row r="125" spans="1:2" ht="12.75" customHeight="1" x14ac:dyDescent="0.15">
      <c r="A125" s="202"/>
      <c r="B125" s="158"/>
    </row>
    <row r="126" spans="1:2" ht="12.75" customHeight="1" x14ac:dyDescent="0.15">
      <c r="A126" s="202"/>
      <c r="B126" s="158"/>
    </row>
    <row r="127" spans="1:2" ht="12.75" customHeight="1" x14ac:dyDescent="0.15">
      <c r="A127" s="202"/>
      <c r="B127" s="158"/>
    </row>
    <row r="128" spans="1:2" ht="12.75" customHeight="1" x14ac:dyDescent="0.15">
      <c r="A128" s="202"/>
      <c r="B128" s="158"/>
    </row>
    <row r="129" spans="1:2" ht="12.75" customHeight="1" x14ac:dyDescent="0.15">
      <c r="A129" s="202"/>
      <c r="B129" s="158"/>
    </row>
    <row r="130" spans="1:2" ht="12.75" customHeight="1" x14ac:dyDescent="0.15">
      <c r="A130" s="202"/>
      <c r="B130" s="158"/>
    </row>
    <row r="131" spans="1:2" ht="12.75" customHeight="1" x14ac:dyDescent="0.15">
      <c r="A131" s="202"/>
      <c r="B131" s="158"/>
    </row>
    <row r="132" spans="1:2" ht="12.75" customHeight="1" x14ac:dyDescent="0.15">
      <c r="A132" s="202"/>
      <c r="B132" s="158"/>
    </row>
    <row r="133" spans="1:2" ht="12.75" customHeight="1" x14ac:dyDescent="0.15">
      <c r="A133" s="202"/>
      <c r="B133" s="158"/>
    </row>
    <row r="134" spans="1:2" ht="12.75" customHeight="1" x14ac:dyDescent="0.15">
      <c r="A134" s="202"/>
      <c r="B134" s="158"/>
    </row>
    <row r="135" spans="1:2" ht="12.75" customHeight="1" x14ac:dyDescent="0.15">
      <c r="A135" s="202"/>
      <c r="B135" s="158"/>
    </row>
    <row r="136" spans="1:2" ht="12.75" customHeight="1" x14ac:dyDescent="0.15">
      <c r="A136" s="202"/>
      <c r="B136" s="158"/>
    </row>
    <row r="137" spans="1:2" ht="12.75" customHeight="1" x14ac:dyDescent="0.15">
      <c r="A137" s="202"/>
      <c r="B137" s="158"/>
    </row>
    <row r="138" spans="1:2" ht="12.75" customHeight="1" x14ac:dyDescent="0.15">
      <c r="A138" s="202"/>
      <c r="B138" s="158"/>
    </row>
    <row r="139" spans="1:2" ht="12.75" customHeight="1" x14ac:dyDescent="0.15">
      <c r="A139" s="202"/>
      <c r="B139" s="158"/>
    </row>
    <row r="140" spans="1:2" ht="12.75" customHeight="1" x14ac:dyDescent="0.15">
      <c r="A140" s="202"/>
      <c r="B140" s="158"/>
    </row>
    <row r="141" spans="1:2" ht="12.75" customHeight="1" x14ac:dyDescent="0.15">
      <c r="A141" s="202"/>
      <c r="B141" s="158"/>
    </row>
    <row r="142" spans="1:2" ht="12.75" customHeight="1" x14ac:dyDescent="0.15">
      <c r="A142" s="202"/>
      <c r="B142" s="158"/>
    </row>
    <row r="143" spans="1:2" ht="12.75" customHeight="1" x14ac:dyDescent="0.15">
      <c r="A143" s="202"/>
      <c r="B143" s="158"/>
    </row>
    <row r="144" spans="1:2" ht="12.75" customHeight="1" x14ac:dyDescent="0.15">
      <c r="A144" s="202"/>
      <c r="B144" s="158"/>
    </row>
    <row r="145" spans="1:2" ht="12.75" customHeight="1" x14ac:dyDescent="0.15">
      <c r="A145" s="202"/>
      <c r="B145" s="158"/>
    </row>
    <row r="146" spans="1:2" ht="12.75" customHeight="1" x14ac:dyDescent="0.15">
      <c r="A146" s="202"/>
      <c r="B146" s="158"/>
    </row>
    <row r="147" spans="1:2" ht="12.75" customHeight="1" x14ac:dyDescent="0.15">
      <c r="A147" s="202"/>
      <c r="B147" s="158"/>
    </row>
    <row r="148" spans="1:2" ht="12.75" customHeight="1" x14ac:dyDescent="0.15">
      <c r="A148" s="202"/>
      <c r="B148" s="158"/>
    </row>
    <row r="149" spans="1:2" ht="12.75" customHeight="1" x14ac:dyDescent="0.15">
      <c r="A149" s="202"/>
      <c r="B149" s="158"/>
    </row>
  </sheetData>
  <mergeCells count="24">
    <mergeCell ref="K2:L2"/>
    <mergeCell ref="N2:O2"/>
    <mergeCell ref="A4:T4"/>
    <mergeCell ref="A5:T5"/>
    <mergeCell ref="B8:D9"/>
    <mergeCell ref="E8:P8"/>
    <mergeCell ref="T8:T9"/>
    <mergeCell ref="B81:D81"/>
    <mergeCell ref="B10:D10"/>
    <mergeCell ref="B25:D25"/>
    <mergeCell ref="B33:D33"/>
    <mergeCell ref="B35:D35"/>
    <mergeCell ref="B37:D37"/>
    <mergeCell ref="B61:D61"/>
    <mergeCell ref="B62:D62"/>
    <mergeCell ref="B64:D64"/>
    <mergeCell ref="B70:D70"/>
    <mergeCell ref="B73:D73"/>
    <mergeCell ref="B79:D79"/>
    <mergeCell ref="B89:D89"/>
    <mergeCell ref="B92:D92"/>
    <mergeCell ref="B95:D95"/>
    <mergeCell ref="Q98:T98"/>
    <mergeCell ref="K101:L101"/>
  </mergeCells>
  <pageMargins left="0.82677165354330717" right="1.1023622047244095" top="0.55118110236220474" bottom="0.74803149606299213" header="0.31496062992125984" footer="0.31496062992125984"/>
  <pageSetup paperSize="5" scale="92" orientation="landscape" horizontalDpi="4294967293" verticalDpi="300" r:id="rId1"/>
  <rowBreaks count="1" manualBreakCount="1">
    <brk id="44" max="17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B8A0-753C-4E90-B2E1-F24DF457085B}">
  <sheetPr>
    <tabColor rgb="FFFF0000"/>
  </sheetPr>
  <dimension ref="A1:T144"/>
  <sheetViews>
    <sheetView showGridLines="0" showWhiteSpace="0" view="pageBreakPreview" topLeftCell="E1" zoomScale="145" zoomScaleSheetLayoutView="145" zoomScalePageLayoutView="110" workbookViewId="0">
      <pane ySplit="10" topLeftCell="A71" activePane="bottomLeft" state="frozen"/>
      <selection activeCell="B1" sqref="B1"/>
      <selection pane="bottomLeft" activeCell="T70" sqref="T70"/>
    </sheetView>
  </sheetViews>
  <sheetFormatPr defaultColWidth="9.140625" defaultRowHeight="12.75" customHeight="1" x14ac:dyDescent="0.15"/>
  <cols>
    <col min="1" max="1" width="7" style="158" customWidth="1"/>
    <col min="2" max="2" width="2.85546875" style="203" customWidth="1"/>
    <col min="3" max="3" width="3.140625" style="158" customWidth="1"/>
    <col min="4" max="4" width="18.140625" style="158" customWidth="1"/>
    <col min="5" max="11" width="10" style="158" customWidth="1"/>
    <col min="12" max="16" width="10" style="232" customWidth="1"/>
    <col min="17" max="17" width="11.5703125" style="232" bestFit="1" customWidth="1"/>
    <col min="18" max="19" width="11.5703125" style="232" customWidth="1"/>
    <col min="20" max="20" width="20.7109375" style="229" customWidth="1"/>
    <col min="21" max="16384" width="9.140625" style="158"/>
  </cols>
  <sheetData>
    <row r="1" spans="1:20" s="150" customFormat="1" ht="12.75" customHeight="1" x14ac:dyDescent="0.2">
      <c r="A1" s="150" t="s">
        <v>11</v>
      </c>
      <c r="B1" s="151"/>
    </row>
    <row r="2" spans="1:20" s="150" customFormat="1" ht="12.75" customHeight="1" x14ac:dyDescent="0.2">
      <c r="A2" s="150" t="s">
        <v>29</v>
      </c>
      <c r="B2" s="151"/>
      <c r="L2" s="575"/>
      <c r="M2" s="575"/>
      <c r="Q2" s="154" t="s">
        <v>291</v>
      </c>
      <c r="R2" s="155"/>
      <c r="S2" s="155"/>
    </row>
    <row r="3" spans="1:20" s="150" customFormat="1" ht="12.75" customHeight="1" x14ac:dyDescent="0.2">
      <c r="B3" s="151"/>
    </row>
    <row r="4" spans="1:20" s="150" customFormat="1" ht="12.75" customHeight="1" x14ac:dyDescent="0.2">
      <c r="A4" s="558" t="s">
        <v>426</v>
      </c>
      <c r="B4" s="558"/>
      <c r="C4" s="558"/>
      <c r="D4" s="558"/>
      <c r="E4" s="558"/>
      <c r="F4" s="558"/>
      <c r="G4" s="558"/>
      <c r="H4" s="558"/>
      <c r="I4" s="558"/>
      <c r="J4" s="558"/>
      <c r="K4" s="558"/>
      <c r="L4" s="558"/>
      <c r="M4" s="558"/>
      <c r="N4" s="558"/>
      <c r="O4" s="558"/>
      <c r="P4" s="558"/>
      <c r="Q4" s="558"/>
      <c r="R4" s="558"/>
      <c r="S4" s="558"/>
      <c r="T4" s="558"/>
    </row>
    <row r="5" spans="1:20" s="150" customFormat="1" ht="12.75" customHeight="1" x14ac:dyDescent="0.2">
      <c r="A5" s="558" t="s">
        <v>454</v>
      </c>
      <c r="B5" s="558"/>
      <c r="C5" s="558"/>
      <c r="D5" s="558"/>
      <c r="E5" s="558"/>
      <c r="F5" s="558"/>
      <c r="G5" s="558"/>
      <c r="H5" s="558"/>
      <c r="I5" s="558"/>
      <c r="J5" s="558"/>
      <c r="K5" s="558"/>
      <c r="L5" s="558"/>
      <c r="M5" s="558"/>
      <c r="N5" s="558"/>
      <c r="O5" s="558"/>
      <c r="P5" s="558"/>
      <c r="Q5" s="558"/>
      <c r="R5" s="558"/>
      <c r="S5" s="558"/>
      <c r="T5" s="558"/>
    </row>
    <row r="6" spans="1:20" s="150" customFormat="1" ht="3.75" customHeight="1" x14ac:dyDescent="0.2">
      <c r="A6" s="152"/>
      <c r="B6" s="151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207"/>
      <c r="N6" s="152"/>
      <c r="O6" s="152"/>
      <c r="P6" s="152"/>
      <c r="Q6" s="152"/>
      <c r="R6" s="152"/>
      <c r="S6" s="152"/>
    </row>
    <row r="7" spans="1:20" s="150" customFormat="1" ht="12.75" customHeight="1" thickBot="1" x14ac:dyDescent="0.25">
      <c r="A7" s="156" t="s">
        <v>5</v>
      </c>
      <c r="B7" s="151"/>
      <c r="O7" s="208"/>
      <c r="P7" s="208"/>
      <c r="Q7" s="208"/>
      <c r="R7" s="208"/>
      <c r="S7" s="208"/>
    </row>
    <row r="8" spans="1:20" ht="15.75" customHeight="1" thickTop="1" x14ac:dyDescent="0.15">
      <c r="A8" s="157" t="s">
        <v>199</v>
      </c>
      <c r="B8" s="536" t="s">
        <v>10</v>
      </c>
      <c r="C8" s="536"/>
      <c r="D8" s="536"/>
      <c r="E8" s="557" t="s">
        <v>200</v>
      </c>
      <c r="F8" s="557"/>
      <c r="G8" s="557"/>
      <c r="H8" s="557"/>
      <c r="I8" s="557"/>
      <c r="J8" s="557"/>
      <c r="K8" s="557"/>
      <c r="L8" s="557"/>
      <c r="M8" s="557"/>
      <c r="N8" s="557"/>
      <c r="O8" s="557"/>
      <c r="P8" s="557"/>
      <c r="Q8" s="249" t="s">
        <v>4</v>
      </c>
      <c r="R8" s="235" t="s">
        <v>434</v>
      </c>
      <c r="S8" s="235" t="s">
        <v>447</v>
      </c>
      <c r="T8" s="209" t="s">
        <v>292</v>
      </c>
    </row>
    <row r="9" spans="1:20" ht="15.75" customHeight="1" x14ac:dyDescent="0.15">
      <c r="A9" s="159" t="s">
        <v>202</v>
      </c>
      <c r="B9" s="537"/>
      <c r="C9" s="537"/>
      <c r="D9" s="537"/>
      <c r="E9" s="250">
        <v>1</v>
      </c>
      <c r="F9" s="250">
        <v>2</v>
      </c>
      <c r="G9" s="250">
        <v>3</v>
      </c>
      <c r="H9" s="250">
        <v>4</v>
      </c>
      <c r="I9" s="250">
        <v>5</v>
      </c>
      <c r="J9" s="250">
        <v>6</v>
      </c>
      <c r="K9" s="250">
        <v>7</v>
      </c>
      <c r="L9" s="250">
        <v>8</v>
      </c>
      <c r="M9" s="250">
        <v>9</v>
      </c>
      <c r="N9" s="250">
        <v>10</v>
      </c>
      <c r="O9" s="250">
        <v>11</v>
      </c>
      <c r="P9" s="250">
        <v>12</v>
      </c>
      <c r="Q9" s="160">
        <v>2022</v>
      </c>
      <c r="R9" s="236">
        <v>2022</v>
      </c>
      <c r="S9" s="236">
        <v>2022</v>
      </c>
      <c r="T9" s="210" t="s">
        <v>293</v>
      </c>
    </row>
    <row r="10" spans="1:20" ht="15.75" customHeight="1" x14ac:dyDescent="0.15">
      <c r="A10" s="161">
        <v>1</v>
      </c>
      <c r="B10" s="538">
        <v>2</v>
      </c>
      <c r="C10" s="538"/>
      <c r="D10" s="538"/>
      <c r="E10" s="251">
        <v>3</v>
      </c>
      <c r="F10" s="251">
        <v>4</v>
      </c>
      <c r="G10" s="251">
        <v>5</v>
      </c>
      <c r="H10" s="251">
        <v>6</v>
      </c>
      <c r="I10" s="251">
        <v>7</v>
      </c>
      <c r="J10" s="251">
        <v>8</v>
      </c>
      <c r="K10" s="251">
        <v>9</v>
      </c>
      <c r="L10" s="251">
        <v>10</v>
      </c>
      <c r="M10" s="251">
        <v>11</v>
      </c>
      <c r="N10" s="251">
        <v>12</v>
      </c>
      <c r="O10" s="251">
        <v>13</v>
      </c>
      <c r="P10" s="251">
        <v>14</v>
      </c>
      <c r="Q10" s="251">
        <v>15</v>
      </c>
      <c r="R10" s="241">
        <v>16</v>
      </c>
      <c r="S10" s="241">
        <v>17</v>
      </c>
      <c r="T10" s="162">
        <v>18</v>
      </c>
    </row>
    <row r="11" spans="1:20" ht="15.75" customHeight="1" x14ac:dyDescent="0.15">
      <c r="A11" s="163" t="s">
        <v>294</v>
      </c>
      <c r="B11" s="164" t="s">
        <v>295</v>
      </c>
      <c r="C11" s="165"/>
      <c r="D11" s="166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237"/>
      <c r="S11" s="237"/>
      <c r="T11" s="211"/>
    </row>
    <row r="12" spans="1:20" ht="15.75" customHeight="1" x14ac:dyDescent="0.15">
      <c r="A12" s="170" t="s">
        <v>296</v>
      </c>
      <c r="B12" s="242" t="s">
        <v>297</v>
      </c>
      <c r="C12" s="171"/>
      <c r="D12" s="172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237"/>
      <c r="S12" s="237"/>
      <c r="T12" s="211"/>
    </row>
    <row r="13" spans="1:20" ht="15.75" customHeight="1" x14ac:dyDescent="0.15">
      <c r="A13" s="170"/>
      <c r="B13" s="242" t="s">
        <v>427</v>
      </c>
      <c r="C13" s="171"/>
      <c r="D13" s="172"/>
      <c r="E13" s="168">
        <v>17550000</v>
      </c>
      <c r="F13" s="168">
        <v>17550000</v>
      </c>
      <c r="G13" s="168">
        <v>17550000</v>
      </c>
      <c r="H13" s="168">
        <v>17550000</v>
      </c>
      <c r="I13" s="168">
        <v>17550000</v>
      </c>
      <c r="J13" s="168">
        <v>17550000</v>
      </c>
      <c r="K13" s="168">
        <v>17550000</v>
      </c>
      <c r="L13" s="168">
        <v>17550000</v>
      </c>
      <c r="M13" s="168">
        <v>17550000</v>
      </c>
      <c r="N13" s="168">
        <v>17550000</v>
      </c>
      <c r="O13" s="168">
        <v>17550000</v>
      </c>
      <c r="P13" s="168">
        <v>17550000</v>
      </c>
      <c r="Q13" s="168">
        <f t="shared" ref="Q13:Q15" si="0">SUM(E13:P13)</f>
        <v>210600000</v>
      </c>
      <c r="R13" s="237"/>
      <c r="S13" s="237"/>
      <c r="T13" s="169"/>
    </row>
    <row r="14" spans="1:20" ht="15.75" customHeight="1" x14ac:dyDescent="0.15">
      <c r="A14" s="170"/>
      <c r="B14" s="242" t="s">
        <v>443</v>
      </c>
      <c r="C14" s="171"/>
      <c r="D14" s="172"/>
      <c r="E14" s="168">
        <v>83300000</v>
      </c>
      <c r="F14" s="168">
        <v>83300000</v>
      </c>
      <c r="G14" s="168">
        <v>83300000</v>
      </c>
      <c r="H14" s="168">
        <v>83300000</v>
      </c>
      <c r="I14" s="168">
        <v>83300000</v>
      </c>
      <c r="J14" s="168">
        <v>83300000</v>
      </c>
      <c r="K14" s="168">
        <v>90000000</v>
      </c>
      <c r="L14" s="168">
        <v>90000000</v>
      </c>
      <c r="M14" s="168">
        <v>90000000</v>
      </c>
      <c r="N14" s="168">
        <v>90000000</v>
      </c>
      <c r="O14" s="168">
        <v>90000000</v>
      </c>
      <c r="P14" s="168">
        <v>90000000</v>
      </c>
      <c r="Q14" s="168">
        <f t="shared" si="0"/>
        <v>1039800000</v>
      </c>
      <c r="R14" s="237"/>
      <c r="S14" s="237"/>
      <c r="T14" s="169"/>
    </row>
    <row r="15" spans="1:20" ht="15.75" customHeight="1" x14ac:dyDescent="0.15">
      <c r="A15" s="170"/>
      <c r="B15" s="242" t="s">
        <v>444</v>
      </c>
      <c r="C15" s="171"/>
      <c r="D15" s="172"/>
      <c r="E15" s="168">
        <v>10500000</v>
      </c>
      <c r="F15" s="168">
        <v>10500000</v>
      </c>
      <c r="G15" s="168">
        <v>10500000</v>
      </c>
      <c r="H15" s="168">
        <v>10500000</v>
      </c>
      <c r="I15" s="168">
        <v>10500000</v>
      </c>
      <c r="J15" s="168">
        <v>10500000</v>
      </c>
      <c r="K15" s="168">
        <v>11000000</v>
      </c>
      <c r="L15" s="168">
        <v>11000000</v>
      </c>
      <c r="M15" s="168">
        <v>11000000</v>
      </c>
      <c r="N15" s="168">
        <v>11000000</v>
      </c>
      <c r="O15" s="168">
        <v>11000000</v>
      </c>
      <c r="P15" s="168">
        <v>11000000</v>
      </c>
      <c r="Q15" s="168">
        <f t="shared" si="0"/>
        <v>129000000</v>
      </c>
      <c r="R15" s="237"/>
      <c r="S15" s="237"/>
      <c r="T15" s="169"/>
    </row>
    <row r="16" spans="1:20" ht="15.75" customHeight="1" x14ac:dyDescent="0.15">
      <c r="A16" s="170"/>
      <c r="B16" s="242" t="s">
        <v>445</v>
      </c>
      <c r="C16" s="171"/>
      <c r="D16" s="172"/>
      <c r="E16" s="168">
        <v>7000000</v>
      </c>
      <c r="F16" s="168">
        <v>7000000</v>
      </c>
      <c r="G16" s="168">
        <v>7000000</v>
      </c>
      <c r="H16" s="168">
        <v>7000000</v>
      </c>
      <c r="I16" s="168">
        <v>7000000</v>
      </c>
      <c r="J16" s="168">
        <v>7000000</v>
      </c>
      <c r="K16" s="168">
        <v>7000000</v>
      </c>
      <c r="L16" s="168">
        <v>7000000</v>
      </c>
      <c r="M16" s="168">
        <v>7000000</v>
      </c>
      <c r="N16" s="168">
        <v>7000000</v>
      </c>
      <c r="O16" s="168">
        <v>7000000</v>
      </c>
      <c r="P16" s="168">
        <v>7000000</v>
      </c>
      <c r="Q16" s="168">
        <f t="shared" ref="Q16:Q67" si="1">SUM(E16:P16)</f>
        <v>84000000</v>
      </c>
      <c r="R16" s="237"/>
      <c r="S16" s="237"/>
      <c r="T16" s="169"/>
    </row>
    <row r="17" spans="1:20" ht="15.75" customHeight="1" x14ac:dyDescent="0.15">
      <c r="A17" s="179"/>
      <c r="B17" s="545" t="s">
        <v>428</v>
      </c>
      <c r="C17" s="546"/>
      <c r="D17" s="547"/>
      <c r="E17" s="212">
        <f t="shared" ref="E17:O17" si="2">SUM(E13:E16)</f>
        <v>118350000</v>
      </c>
      <c r="F17" s="212">
        <f t="shared" si="2"/>
        <v>118350000</v>
      </c>
      <c r="G17" s="212">
        <f t="shared" si="2"/>
        <v>118350000</v>
      </c>
      <c r="H17" s="212">
        <f t="shared" si="2"/>
        <v>118350000</v>
      </c>
      <c r="I17" s="212">
        <f t="shared" si="2"/>
        <v>118350000</v>
      </c>
      <c r="J17" s="212">
        <f t="shared" si="2"/>
        <v>118350000</v>
      </c>
      <c r="K17" s="212">
        <f t="shared" si="2"/>
        <v>125550000</v>
      </c>
      <c r="L17" s="212">
        <f t="shared" si="2"/>
        <v>125550000</v>
      </c>
      <c r="M17" s="212">
        <f t="shared" si="2"/>
        <v>125550000</v>
      </c>
      <c r="N17" s="212">
        <f t="shared" si="2"/>
        <v>125550000</v>
      </c>
      <c r="O17" s="212">
        <f t="shared" si="2"/>
        <v>125550000</v>
      </c>
      <c r="P17" s="212">
        <f>SUM(P13:P16)</f>
        <v>125550000</v>
      </c>
      <c r="Q17" s="212">
        <f>SUM(Q13:Q16)</f>
        <v>1463400000</v>
      </c>
      <c r="R17" s="255" t="e">
        <f>'RINCIAN B. TDK LANGSUNG'!#REF!</f>
        <v>#REF!</v>
      </c>
      <c r="S17" s="255" t="e">
        <f>Q17-R17</f>
        <v>#REF!</v>
      </c>
      <c r="T17" s="181"/>
    </row>
    <row r="18" spans="1:20" ht="15.75" customHeight="1" x14ac:dyDescent="0.15">
      <c r="A18" s="170" t="s">
        <v>298</v>
      </c>
      <c r="B18" s="242" t="s">
        <v>299</v>
      </c>
      <c r="C18" s="171"/>
      <c r="D18" s="172"/>
      <c r="E18" s="168"/>
      <c r="F18" s="168"/>
      <c r="G18" s="168"/>
      <c r="H18" s="168"/>
      <c r="I18" s="168">
        <f>I17+'[8]P-10. Biaya Operasi'!I44+'[8]P-10. Biaya Operasi'!I79</f>
        <v>183300000</v>
      </c>
      <c r="J18" s="168"/>
      <c r="K18" s="168"/>
      <c r="L18" s="168"/>
      <c r="M18" s="168"/>
      <c r="N18" s="168"/>
      <c r="O18" s="168"/>
      <c r="P18" s="168"/>
      <c r="Q18" s="168">
        <f t="shared" si="1"/>
        <v>183300000</v>
      </c>
      <c r="R18" s="237" t="e">
        <f>'RINCIAN B. TDK LANGSUNG'!#REF!</f>
        <v>#REF!</v>
      </c>
      <c r="S18" s="237" t="e">
        <f>Q18-R18</f>
        <v>#REF!</v>
      </c>
      <c r="T18" s="169"/>
    </row>
    <row r="19" spans="1:20" ht="15.75" customHeight="1" x14ac:dyDescent="0.15">
      <c r="A19" s="170" t="s">
        <v>300</v>
      </c>
      <c r="B19" s="242" t="s">
        <v>301</v>
      </c>
      <c r="C19" s="171"/>
      <c r="D19" s="172"/>
      <c r="E19" s="168">
        <v>45000000</v>
      </c>
      <c r="F19" s="168">
        <v>18500000</v>
      </c>
      <c r="G19" s="168">
        <v>18500000</v>
      </c>
      <c r="H19" s="168">
        <v>18500000</v>
      </c>
      <c r="I19" s="168">
        <v>18500000</v>
      </c>
      <c r="J19" s="168">
        <v>18500000</v>
      </c>
      <c r="K19" s="168">
        <v>18500000</v>
      </c>
      <c r="L19" s="168">
        <v>18500000</v>
      </c>
      <c r="M19" s="168">
        <v>18500000</v>
      </c>
      <c r="N19" s="168">
        <v>18500000</v>
      </c>
      <c r="O19" s="168">
        <v>18500000</v>
      </c>
      <c r="P19" s="168">
        <v>18500000</v>
      </c>
      <c r="Q19" s="168">
        <f t="shared" si="1"/>
        <v>248500000</v>
      </c>
      <c r="R19" s="237" t="e">
        <f>'RINCIAN B. TDK LANGSUNG'!#REF!</f>
        <v>#REF!</v>
      </c>
      <c r="S19" s="237" t="e">
        <f t="shared" ref="S19:S27" si="3">Q19-R19</f>
        <v>#REF!</v>
      </c>
      <c r="T19" s="169"/>
    </row>
    <row r="20" spans="1:20" ht="15.75" customHeight="1" x14ac:dyDescent="0.15">
      <c r="A20" s="170" t="s">
        <v>429</v>
      </c>
      <c r="B20" s="242" t="s">
        <v>302</v>
      </c>
      <c r="C20" s="171"/>
      <c r="D20" s="172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>
        <v>127500000</v>
      </c>
      <c r="Q20" s="168">
        <f t="shared" si="1"/>
        <v>127500000</v>
      </c>
      <c r="R20" s="237" t="e">
        <f>'RINCIAN B. TDK LANGSUNG'!#REF!</f>
        <v>#REF!</v>
      </c>
      <c r="S20" s="237" t="e">
        <f t="shared" si="3"/>
        <v>#REF!</v>
      </c>
      <c r="T20" s="169"/>
    </row>
    <row r="21" spans="1:20" ht="15.75" customHeight="1" x14ac:dyDescent="0.15">
      <c r="A21" s="170" t="s">
        <v>412</v>
      </c>
      <c r="B21" s="242" t="s">
        <v>430</v>
      </c>
      <c r="C21" s="171"/>
      <c r="D21" s="172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>
        <f t="shared" si="1"/>
        <v>0</v>
      </c>
      <c r="R21" s="237"/>
      <c r="S21" s="237">
        <f t="shared" si="3"/>
        <v>0</v>
      </c>
      <c r="T21" s="169"/>
    </row>
    <row r="22" spans="1:20" ht="15.75" customHeight="1" x14ac:dyDescent="0.15">
      <c r="A22" s="170"/>
      <c r="B22" s="242" t="s">
        <v>393</v>
      </c>
      <c r="C22" s="171"/>
      <c r="D22" s="172"/>
      <c r="E22" s="168">
        <v>28200000</v>
      </c>
      <c r="F22" s="168">
        <v>28200000</v>
      </c>
      <c r="G22" s="168">
        <v>28200000</v>
      </c>
      <c r="H22" s="168">
        <v>28200000</v>
      </c>
      <c r="I22" s="168">
        <v>28200000</v>
      </c>
      <c r="J22" s="168">
        <v>28200000</v>
      </c>
      <c r="K22" s="168">
        <v>32000000</v>
      </c>
      <c r="L22" s="168">
        <v>32000000</v>
      </c>
      <c r="M22" s="168">
        <v>32000000</v>
      </c>
      <c r="N22" s="168">
        <v>32000000</v>
      </c>
      <c r="O22" s="168">
        <v>32000000</v>
      </c>
      <c r="P22" s="168">
        <v>32000000</v>
      </c>
      <c r="Q22" s="168">
        <f t="shared" si="1"/>
        <v>361200000</v>
      </c>
      <c r="R22" s="237" t="e">
        <f>'RINCIAN B. TDK LANGSUNG'!#REF!</f>
        <v>#REF!</v>
      </c>
      <c r="S22" s="237" t="e">
        <f t="shared" si="3"/>
        <v>#REF!</v>
      </c>
      <c r="T22" s="169"/>
    </row>
    <row r="23" spans="1:20" ht="15.75" customHeight="1" x14ac:dyDescent="0.15">
      <c r="A23" s="170"/>
      <c r="B23" s="242" t="s">
        <v>458</v>
      </c>
      <c r="C23" s="171"/>
      <c r="D23" s="172"/>
      <c r="E23" s="168"/>
      <c r="F23" s="168">
        <v>50000000</v>
      </c>
      <c r="G23" s="168"/>
      <c r="H23" s="168"/>
      <c r="I23" s="168"/>
      <c r="J23" s="168"/>
      <c r="K23" s="168"/>
      <c r="L23" s="168">
        <v>37500000</v>
      </c>
      <c r="M23" s="168"/>
      <c r="N23" s="168"/>
      <c r="O23" s="168"/>
      <c r="P23" s="168"/>
      <c r="Q23" s="168">
        <f t="shared" si="1"/>
        <v>87500000</v>
      </c>
      <c r="R23" s="237" t="e">
        <f>'RINCIAN B. TDK LANGSUNG'!#REF!</f>
        <v>#REF!</v>
      </c>
      <c r="S23" s="237" t="e">
        <f t="shared" si="3"/>
        <v>#REF!</v>
      </c>
      <c r="T23" s="169"/>
    </row>
    <row r="24" spans="1:20" ht="15.75" customHeight="1" x14ac:dyDescent="0.15">
      <c r="A24" s="170" t="s">
        <v>303</v>
      </c>
      <c r="B24" s="242" t="s">
        <v>304</v>
      </c>
      <c r="C24" s="171"/>
      <c r="D24" s="172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>
        <f t="shared" si="1"/>
        <v>0</v>
      </c>
      <c r="R24" s="237">
        <f>'RINCIAN B. TDK LANGSUNG'!Q24</f>
        <v>0</v>
      </c>
      <c r="S24" s="237">
        <f t="shared" si="3"/>
        <v>0</v>
      </c>
      <c r="T24" s="169"/>
    </row>
    <row r="25" spans="1:20" ht="15.75" customHeight="1" x14ac:dyDescent="0.15">
      <c r="A25" s="170" t="s">
        <v>305</v>
      </c>
      <c r="B25" s="242" t="s">
        <v>306</v>
      </c>
      <c r="C25" s="171"/>
      <c r="D25" s="172"/>
      <c r="E25" s="168">
        <v>15000000</v>
      </c>
      <c r="F25" s="168">
        <v>15000000</v>
      </c>
      <c r="G25" s="168">
        <v>15000000</v>
      </c>
      <c r="H25" s="168">
        <v>15000000</v>
      </c>
      <c r="I25" s="168">
        <v>15000000</v>
      </c>
      <c r="J25" s="168">
        <v>15000000</v>
      </c>
      <c r="K25" s="168">
        <v>15000000</v>
      </c>
      <c r="L25" s="168">
        <v>15000000</v>
      </c>
      <c r="M25" s="168">
        <v>15000000</v>
      </c>
      <c r="N25" s="168">
        <v>15000000</v>
      </c>
      <c r="O25" s="168">
        <v>15000000</v>
      </c>
      <c r="P25" s="168">
        <v>15000000</v>
      </c>
      <c r="Q25" s="168">
        <f t="shared" si="1"/>
        <v>180000000</v>
      </c>
      <c r="R25" s="237">
        <f>'RINCIAN B. TDK LANGSUNG'!Q25</f>
        <v>0</v>
      </c>
      <c r="S25" s="237">
        <f t="shared" si="3"/>
        <v>180000000</v>
      </c>
      <c r="T25" s="169"/>
    </row>
    <row r="26" spans="1:20" ht="15.75" customHeight="1" x14ac:dyDescent="0.15">
      <c r="A26" s="170" t="s">
        <v>307</v>
      </c>
      <c r="B26" s="242" t="s">
        <v>308</v>
      </c>
      <c r="C26" s="171"/>
      <c r="D26" s="172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237"/>
      <c r="S26" s="237"/>
      <c r="T26" s="169"/>
    </row>
    <row r="27" spans="1:20" ht="15.75" customHeight="1" x14ac:dyDescent="0.15">
      <c r="A27" s="170"/>
      <c r="B27" s="242" t="s">
        <v>309</v>
      </c>
      <c r="C27" s="192"/>
      <c r="D27" s="193"/>
      <c r="E27" s="168">
        <v>22500000</v>
      </c>
      <c r="F27" s="168">
        <v>3500000</v>
      </c>
      <c r="G27" s="168">
        <v>3500000</v>
      </c>
      <c r="H27" s="168">
        <v>3500000</v>
      </c>
      <c r="I27" s="168">
        <v>7600000</v>
      </c>
      <c r="J27" s="168">
        <v>3500000</v>
      </c>
      <c r="K27" s="168">
        <v>3500000</v>
      </c>
      <c r="L27" s="168">
        <v>3500000</v>
      </c>
      <c r="M27" s="168">
        <v>3500000</v>
      </c>
      <c r="N27" s="168">
        <v>3500000</v>
      </c>
      <c r="O27" s="168">
        <v>3500000</v>
      </c>
      <c r="P27" s="168">
        <v>7600000</v>
      </c>
      <c r="Q27" s="168">
        <f t="shared" si="1"/>
        <v>69200000</v>
      </c>
      <c r="R27" s="237">
        <f>'RINCIAN B. TDK LANGSUNG'!Q28</f>
        <v>0</v>
      </c>
      <c r="S27" s="237">
        <f t="shared" si="3"/>
        <v>69200000</v>
      </c>
      <c r="T27" s="169"/>
    </row>
    <row r="28" spans="1:20" ht="15.75" customHeight="1" x14ac:dyDescent="0.15">
      <c r="A28" s="179"/>
      <c r="B28" s="545" t="s">
        <v>310</v>
      </c>
      <c r="C28" s="546"/>
      <c r="D28" s="547"/>
      <c r="E28" s="212">
        <f>SUM(E17:E27)</f>
        <v>229050000</v>
      </c>
      <c r="F28" s="212">
        <f t="shared" ref="F28:P28" si="4">SUM(F17:F27)</f>
        <v>233550000</v>
      </c>
      <c r="G28" s="212">
        <f t="shared" si="4"/>
        <v>183550000</v>
      </c>
      <c r="H28" s="212">
        <f t="shared" si="4"/>
        <v>183550000</v>
      </c>
      <c r="I28" s="212">
        <f t="shared" si="4"/>
        <v>370950000</v>
      </c>
      <c r="J28" s="212">
        <f t="shared" si="4"/>
        <v>183550000</v>
      </c>
      <c r="K28" s="212">
        <f t="shared" si="4"/>
        <v>194550000</v>
      </c>
      <c r="L28" s="212">
        <f t="shared" si="4"/>
        <v>232050000</v>
      </c>
      <c r="M28" s="212">
        <f t="shared" si="4"/>
        <v>194550000</v>
      </c>
      <c r="N28" s="212">
        <f t="shared" si="4"/>
        <v>194550000</v>
      </c>
      <c r="O28" s="212">
        <f t="shared" si="4"/>
        <v>194550000</v>
      </c>
      <c r="P28" s="212">
        <f t="shared" si="4"/>
        <v>326150000</v>
      </c>
      <c r="Q28" s="180">
        <f t="shared" si="1"/>
        <v>2720600000</v>
      </c>
      <c r="R28" s="238" t="e">
        <f>SUM(R17:R27)</f>
        <v>#REF!</v>
      </c>
      <c r="S28" s="238" t="e">
        <f>Q28-R28</f>
        <v>#REF!</v>
      </c>
      <c r="T28" s="181" t="s">
        <v>448</v>
      </c>
    </row>
    <row r="29" spans="1:20" ht="15.75" customHeight="1" x14ac:dyDescent="0.15">
      <c r="A29" s="170" t="s">
        <v>311</v>
      </c>
      <c r="B29" s="198" t="s">
        <v>312</v>
      </c>
      <c r="C29" s="171"/>
      <c r="D29" s="172"/>
      <c r="E29" s="213"/>
      <c r="F29" s="213"/>
      <c r="G29" s="213"/>
      <c r="H29" s="213"/>
      <c r="I29" s="213"/>
      <c r="J29" s="213"/>
      <c r="K29" s="213"/>
      <c r="L29" s="168"/>
      <c r="M29" s="168"/>
      <c r="N29" s="168"/>
      <c r="O29" s="168"/>
      <c r="P29" s="168"/>
      <c r="Q29" s="168"/>
      <c r="R29" s="237"/>
      <c r="S29" s="237"/>
      <c r="T29" s="211"/>
    </row>
    <row r="30" spans="1:20" ht="15.75" customHeight="1" x14ac:dyDescent="0.15">
      <c r="A30" s="170" t="s">
        <v>313</v>
      </c>
      <c r="B30" s="551" t="s">
        <v>314</v>
      </c>
      <c r="C30" s="552"/>
      <c r="D30" s="553"/>
      <c r="E30" s="168">
        <v>2200000</v>
      </c>
      <c r="F30" s="168">
        <v>2200000</v>
      </c>
      <c r="G30" s="168">
        <v>2200000</v>
      </c>
      <c r="H30" s="168">
        <v>2200000</v>
      </c>
      <c r="I30" s="168">
        <v>2200000</v>
      </c>
      <c r="J30" s="168">
        <v>2200000</v>
      </c>
      <c r="K30" s="168">
        <v>2200000</v>
      </c>
      <c r="L30" s="168">
        <v>2200000</v>
      </c>
      <c r="M30" s="168">
        <v>2200000</v>
      </c>
      <c r="N30" s="168">
        <v>2200000</v>
      </c>
      <c r="O30" s="168">
        <v>2200000</v>
      </c>
      <c r="P30" s="168">
        <v>2200000</v>
      </c>
      <c r="Q30" s="168">
        <f t="shared" si="1"/>
        <v>26400000</v>
      </c>
      <c r="R30" s="237">
        <f>'RINCIAN B. TDK LANGSUNG'!Q31</f>
        <v>0</v>
      </c>
      <c r="S30" s="237">
        <f>Q30-R30</f>
        <v>26400000</v>
      </c>
      <c r="T30" s="169"/>
    </row>
    <row r="31" spans="1:20" ht="15.75" customHeight="1" x14ac:dyDescent="0.15">
      <c r="A31" s="170" t="s">
        <v>315</v>
      </c>
      <c r="B31" s="172" t="s">
        <v>316</v>
      </c>
      <c r="C31" s="171"/>
      <c r="D31" s="171"/>
      <c r="E31" s="213">
        <v>1500000</v>
      </c>
      <c r="F31" s="213"/>
      <c r="G31" s="213"/>
      <c r="H31" s="213"/>
      <c r="I31" s="213">
        <v>1500000</v>
      </c>
      <c r="J31" s="213"/>
      <c r="K31" s="213"/>
      <c r="L31" s="168"/>
      <c r="M31" s="168"/>
      <c r="N31" s="168">
        <v>1500000</v>
      </c>
      <c r="O31" s="168"/>
      <c r="P31" s="168"/>
      <c r="Q31" s="168">
        <f t="shared" si="1"/>
        <v>4500000</v>
      </c>
      <c r="R31" s="237">
        <f>'RINCIAN B. TDK LANGSUNG'!Q32</f>
        <v>0</v>
      </c>
      <c r="S31" s="237">
        <f t="shared" ref="S31:S44" si="5">Q31-R31</f>
        <v>4500000</v>
      </c>
      <c r="T31" s="169"/>
    </row>
    <row r="32" spans="1:20" ht="15.75" customHeight="1" x14ac:dyDescent="0.15">
      <c r="A32" s="170" t="s">
        <v>317</v>
      </c>
      <c r="B32" s="242" t="s">
        <v>162</v>
      </c>
      <c r="C32" s="171"/>
      <c r="D32" s="172"/>
      <c r="E32" s="213">
        <v>1500000</v>
      </c>
      <c r="F32" s="213">
        <v>500000</v>
      </c>
      <c r="G32" s="213">
        <v>500000</v>
      </c>
      <c r="H32" s="213">
        <v>500000</v>
      </c>
      <c r="I32" s="213">
        <v>500000</v>
      </c>
      <c r="J32" s="213">
        <v>1500000</v>
      </c>
      <c r="K32" s="213">
        <v>500000</v>
      </c>
      <c r="L32" s="213">
        <v>500000</v>
      </c>
      <c r="M32" s="213">
        <v>500000</v>
      </c>
      <c r="N32" s="213">
        <v>500000</v>
      </c>
      <c r="O32" s="213">
        <v>1500000</v>
      </c>
      <c r="P32" s="213">
        <v>500000</v>
      </c>
      <c r="Q32" s="168">
        <f t="shared" si="1"/>
        <v>9000000</v>
      </c>
      <c r="R32" s="237">
        <f>'RINCIAN B. TDK LANGSUNG'!Q33</f>
        <v>0</v>
      </c>
      <c r="S32" s="237">
        <f t="shared" si="5"/>
        <v>9000000</v>
      </c>
      <c r="T32" s="173"/>
    </row>
    <row r="33" spans="1:20" ht="15.75" customHeight="1" x14ac:dyDescent="0.15">
      <c r="A33" s="170" t="s">
        <v>318</v>
      </c>
      <c r="B33" s="242" t="s">
        <v>319</v>
      </c>
      <c r="C33" s="192"/>
      <c r="D33" s="193"/>
      <c r="E33" s="168">
        <v>70000</v>
      </c>
      <c r="F33" s="168">
        <v>70000</v>
      </c>
      <c r="G33" s="168">
        <v>70000</v>
      </c>
      <c r="H33" s="168">
        <v>70000</v>
      </c>
      <c r="I33" s="168">
        <v>70000</v>
      </c>
      <c r="J33" s="168">
        <v>70000</v>
      </c>
      <c r="K33" s="168">
        <v>70000</v>
      </c>
      <c r="L33" s="168">
        <v>70000</v>
      </c>
      <c r="M33" s="168">
        <v>70000</v>
      </c>
      <c r="N33" s="168">
        <v>70000</v>
      </c>
      <c r="O33" s="168">
        <v>70000</v>
      </c>
      <c r="P33" s="168">
        <v>70000</v>
      </c>
      <c r="Q33" s="168">
        <f t="shared" si="1"/>
        <v>840000</v>
      </c>
      <c r="R33" s="237">
        <f>'RINCIAN B. TDK LANGSUNG'!Q34</f>
        <v>0</v>
      </c>
      <c r="S33" s="237">
        <f t="shared" si="5"/>
        <v>840000</v>
      </c>
      <c r="T33" s="169"/>
    </row>
    <row r="34" spans="1:20" ht="15.75" customHeight="1" x14ac:dyDescent="0.15">
      <c r="A34" s="170" t="s">
        <v>321</v>
      </c>
      <c r="B34" s="242" t="s">
        <v>322</v>
      </c>
      <c r="C34" s="171"/>
      <c r="D34" s="172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>
        <f t="shared" si="1"/>
        <v>0</v>
      </c>
      <c r="R34" s="237">
        <f>'RINCIAN B. TDK LANGSUNG'!Q35</f>
        <v>0</v>
      </c>
      <c r="S34" s="237">
        <f t="shared" si="5"/>
        <v>0</v>
      </c>
      <c r="T34" s="169"/>
    </row>
    <row r="35" spans="1:20" ht="15.75" customHeight="1" x14ac:dyDescent="0.15">
      <c r="A35" s="170"/>
      <c r="B35" s="242" t="s">
        <v>388</v>
      </c>
      <c r="C35" s="171"/>
      <c r="D35" s="172"/>
      <c r="E35" s="168">
        <v>8500000</v>
      </c>
      <c r="F35" s="168">
        <v>8500000</v>
      </c>
      <c r="G35" s="168">
        <v>8500000</v>
      </c>
      <c r="H35" s="168">
        <v>8500000</v>
      </c>
      <c r="I35" s="168">
        <v>8500000</v>
      </c>
      <c r="J35" s="168">
        <v>8500000</v>
      </c>
      <c r="K35" s="168">
        <v>8500000</v>
      </c>
      <c r="L35" s="168">
        <v>8500000</v>
      </c>
      <c r="M35" s="168">
        <v>8500000</v>
      </c>
      <c r="N35" s="168">
        <v>8500000</v>
      </c>
      <c r="O35" s="168">
        <v>8500000</v>
      </c>
      <c r="P35" s="168">
        <v>8500000</v>
      </c>
      <c r="Q35" s="168">
        <f t="shared" ref="Q35:Q44" si="6">SUM(E35:P35)</f>
        <v>102000000</v>
      </c>
      <c r="R35" s="237">
        <f>'RINCIAN B. TDK LANGSUNG'!Q36</f>
        <v>0</v>
      </c>
      <c r="S35" s="237"/>
      <c r="T35" s="169"/>
    </row>
    <row r="36" spans="1:20" ht="15.75" customHeight="1" x14ac:dyDescent="0.15">
      <c r="A36" s="170"/>
      <c r="B36" s="242" t="s">
        <v>459</v>
      </c>
      <c r="C36" s="171"/>
      <c r="D36" s="172"/>
      <c r="E36" s="168">
        <v>4000000</v>
      </c>
      <c r="F36" s="168"/>
      <c r="G36" s="168"/>
      <c r="H36" s="168"/>
      <c r="I36" s="168">
        <v>4000000</v>
      </c>
      <c r="J36" s="168"/>
      <c r="K36" s="168"/>
      <c r="L36" s="168">
        <v>4000000</v>
      </c>
      <c r="M36" s="168"/>
      <c r="N36" s="168"/>
      <c r="O36" s="168">
        <v>4000000</v>
      </c>
      <c r="P36" s="168"/>
      <c r="Q36" s="168">
        <f t="shared" si="6"/>
        <v>16000000</v>
      </c>
      <c r="R36" s="237">
        <f>'RINCIAN B. TDK LANGSUNG'!Q37</f>
        <v>0</v>
      </c>
      <c r="S36" s="237"/>
      <c r="T36" s="169"/>
    </row>
    <row r="37" spans="1:20" ht="15.75" customHeight="1" x14ac:dyDescent="0.15">
      <c r="A37" s="170" t="s">
        <v>323</v>
      </c>
      <c r="B37" s="242" t="s">
        <v>324</v>
      </c>
      <c r="C37" s="171"/>
      <c r="D37" s="172"/>
      <c r="E37" s="168">
        <v>550000</v>
      </c>
      <c r="F37" s="168">
        <v>550000</v>
      </c>
      <c r="G37" s="168">
        <v>550000</v>
      </c>
      <c r="H37" s="168">
        <v>550000</v>
      </c>
      <c r="I37" s="168">
        <v>550000</v>
      </c>
      <c r="J37" s="168">
        <v>550000</v>
      </c>
      <c r="K37" s="168">
        <v>550000</v>
      </c>
      <c r="L37" s="168">
        <v>550000</v>
      </c>
      <c r="M37" s="168">
        <v>550000</v>
      </c>
      <c r="N37" s="168">
        <v>550000</v>
      </c>
      <c r="O37" s="168">
        <v>550000</v>
      </c>
      <c r="P37" s="168">
        <v>550000</v>
      </c>
      <c r="Q37" s="168">
        <f t="shared" si="6"/>
        <v>6600000</v>
      </c>
      <c r="R37" s="237">
        <f>'RINCIAN B. TDK LANGSUNG'!Q38</f>
        <v>0</v>
      </c>
      <c r="S37" s="237">
        <f t="shared" si="5"/>
        <v>6600000</v>
      </c>
      <c r="T37" s="169"/>
    </row>
    <row r="38" spans="1:20" ht="15.75" customHeight="1" x14ac:dyDescent="0.15">
      <c r="A38" s="170" t="s">
        <v>325</v>
      </c>
      <c r="B38" s="551" t="s">
        <v>326</v>
      </c>
      <c r="C38" s="552"/>
      <c r="D38" s="553"/>
      <c r="E38" s="168">
        <v>3250000</v>
      </c>
      <c r="F38" s="168">
        <v>3250000</v>
      </c>
      <c r="G38" s="168">
        <v>3250000</v>
      </c>
      <c r="H38" s="168">
        <v>3250000</v>
      </c>
      <c r="I38" s="168">
        <v>3250000</v>
      </c>
      <c r="J38" s="168">
        <v>3250000</v>
      </c>
      <c r="K38" s="168">
        <v>3250000</v>
      </c>
      <c r="L38" s="168">
        <v>3250000</v>
      </c>
      <c r="M38" s="168">
        <v>3250000</v>
      </c>
      <c r="N38" s="168">
        <v>3250000</v>
      </c>
      <c r="O38" s="168">
        <v>3250000</v>
      </c>
      <c r="P38" s="168">
        <v>3250000</v>
      </c>
      <c r="Q38" s="168">
        <f t="shared" si="6"/>
        <v>39000000</v>
      </c>
      <c r="R38" s="237">
        <f>'RINCIAN B. TDK LANGSUNG'!Q39</f>
        <v>0</v>
      </c>
      <c r="S38" s="237">
        <f t="shared" si="5"/>
        <v>39000000</v>
      </c>
      <c r="T38" s="169"/>
    </row>
    <row r="39" spans="1:20" ht="15.75" customHeight="1" x14ac:dyDescent="0.15">
      <c r="A39" s="170" t="s">
        <v>327</v>
      </c>
      <c r="B39" s="551" t="s">
        <v>328</v>
      </c>
      <c r="C39" s="552"/>
      <c r="D39" s="553"/>
      <c r="E39" s="221">
        <v>2300000</v>
      </c>
      <c r="F39" s="221">
        <v>2300000</v>
      </c>
      <c r="G39" s="221">
        <v>2300000</v>
      </c>
      <c r="H39" s="221">
        <v>2300000</v>
      </c>
      <c r="I39" s="221">
        <v>2300000</v>
      </c>
      <c r="J39" s="221">
        <v>2300000</v>
      </c>
      <c r="K39" s="221">
        <v>2300000</v>
      </c>
      <c r="L39" s="221">
        <v>2300000</v>
      </c>
      <c r="M39" s="221">
        <v>2300000</v>
      </c>
      <c r="N39" s="221">
        <v>2300000</v>
      </c>
      <c r="O39" s="221">
        <v>2300000</v>
      </c>
      <c r="P39" s="221">
        <v>2300000</v>
      </c>
      <c r="Q39" s="168">
        <f t="shared" si="6"/>
        <v>27600000</v>
      </c>
      <c r="R39" s="237">
        <f>'RINCIAN B. TDK LANGSUNG'!Q40</f>
        <v>0</v>
      </c>
      <c r="S39" s="237">
        <f t="shared" si="5"/>
        <v>27600000</v>
      </c>
      <c r="T39" s="169"/>
    </row>
    <row r="40" spans="1:20" ht="15.75" customHeight="1" x14ac:dyDescent="0.15">
      <c r="A40" s="170" t="s">
        <v>329</v>
      </c>
      <c r="B40" s="242" t="s">
        <v>330</v>
      </c>
      <c r="C40" s="171"/>
      <c r="D40" s="172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8">
        <f t="shared" si="6"/>
        <v>0</v>
      </c>
      <c r="R40" s="237">
        <f>'RINCIAN B. TDK LANGSUNG'!Q41</f>
        <v>0</v>
      </c>
      <c r="S40" s="237"/>
      <c r="T40" s="173"/>
    </row>
    <row r="41" spans="1:20" ht="15.75" customHeight="1" x14ac:dyDescent="0.15">
      <c r="A41" s="170"/>
      <c r="B41" s="242" t="s">
        <v>446</v>
      </c>
      <c r="C41" s="171"/>
      <c r="D41" s="172"/>
      <c r="E41" s="168">
        <v>1100000</v>
      </c>
      <c r="F41" s="168">
        <v>1100000</v>
      </c>
      <c r="G41" s="168">
        <v>1100000</v>
      </c>
      <c r="H41" s="168">
        <v>1100000</v>
      </c>
      <c r="I41" s="168">
        <v>1100000</v>
      </c>
      <c r="J41" s="168">
        <v>1100000</v>
      </c>
      <c r="K41" s="168">
        <v>1100000</v>
      </c>
      <c r="L41" s="168">
        <v>1100000</v>
      </c>
      <c r="M41" s="168">
        <v>1100000</v>
      </c>
      <c r="N41" s="168">
        <v>1100000</v>
      </c>
      <c r="O41" s="168">
        <v>1100000</v>
      </c>
      <c r="P41" s="168">
        <v>1100000</v>
      </c>
      <c r="Q41" s="168">
        <f t="shared" si="6"/>
        <v>13200000</v>
      </c>
      <c r="R41" s="237" t="e">
        <f>'RINCIAN B. TDK LANGSUNG'!#REF!</f>
        <v>#REF!</v>
      </c>
      <c r="S41" s="237" t="e">
        <f t="shared" si="5"/>
        <v>#REF!</v>
      </c>
      <c r="T41" s="173"/>
    </row>
    <row r="42" spans="1:20" ht="15.75" customHeight="1" x14ac:dyDescent="0.15">
      <c r="A42" s="170"/>
      <c r="B42" s="551" t="s">
        <v>331</v>
      </c>
      <c r="C42" s="552"/>
      <c r="D42" s="553"/>
      <c r="E42" s="168">
        <v>1000000</v>
      </c>
      <c r="F42" s="168"/>
      <c r="G42" s="168"/>
      <c r="H42" s="168">
        <v>3700000</v>
      </c>
      <c r="I42" s="168"/>
      <c r="J42" s="168"/>
      <c r="K42" s="168"/>
      <c r="L42" s="168">
        <v>300000</v>
      </c>
      <c r="M42" s="168"/>
      <c r="N42" s="168"/>
      <c r="O42" s="168">
        <v>3000000</v>
      </c>
      <c r="P42" s="194"/>
      <c r="Q42" s="168">
        <f t="shared" si="6"/>
        <v>8000000</v>
      </c>
      <c r="R42" s="237" t="e">
        <f>'RINCIAN B. TDK LANGSUNG'!#REF!</f>
        <v>#REF!</v>
      </c>
      <c r="S42" s="237" t="e">
        <f t="shared" si="5"/>
        <v>#REF!</v>
      </c>
      <c r="T42" s="169"/>
    </row>
    <row r="43" spans="1:20" ht="15.75" customHeight="1" x14ac:dyDescent="0.15">
      <c r="A43" s="197"/>
      <c r="B43" s="242" t="s">
        <v>332</v>
      </c>
      <c r="C43" s="171"/>
      <c r="D43" s="172"/>
      <c r="E43" s="168">
        <v>1750000</v>
      </c>
      <c r="F43" s="168">
        <v>1750000</v>
      </c>
      <c r="G43" s="168">
        <f>1750000+1500000</f>
        <v>3250000</v>
      </c>
      <c r="H43" s="168">
        <v>1750000</v>
      </c>
      <c r="I43" s="168">
        <v>1750000</v>
      </c>
      <c r="J43" s="168">
        <v>1750000</v>
      </c>
      <c r="K43" s="168">
        <v>1750000</v>
      </c>
      <c r="L43" s="168">
        <v>1750000</v>
      </c>
      <c r="M43" s="168">
        <v>1750000</v>
      </c>
      <c r="N43" s="168">
        <v>1750000</v>
      </c>
      <c r="O43" s="168">
        <f>1750000+1500000</f>
        <v>3250000</v>
      </c>
      <c r="P43" s="168">
        <v>1750000</v>
      </c>
      <c r="Q43" s="168">
        <f t="shared" si="6"/>
        <v>24000000</v>
      </c>
      <c r="R43" s="237">
        <f>'RINCIAN B. TDK LANGSUNG'!Q42</f>
        <v>0</v>
      </c>
      <c r="S43" s="237">
        <f t="shared" si="5"/>
        <v>24000000</v>
      </c>
      <c r="T43" s="169"/>
    </row>
    <row r="44" spans="1:20" ht="15.75" customHeight="1" x14ac:dyDescent="0.15">
      <c r="A44" s="197"/>
      <c r="B44" s="242" t="s">
        <v>333</v>
      </c>
      <c r="C44" s="171"/>
      <c r="D44" s="172"/>
      <c r="E44" s="168">
        <v>1000000</v>
      </c>
      <c r="F44" s="168">
        <v>1000000</v>
      </c>
      <c r="G44" s="168">
        <v>1000000</v>
      </c>
      <c r="H44" s="168">
        <v>1000000</v>
      </c>
      <c r="I44" s="168">
        <v>1000000</v>
      </c>
      <c r="J44" s="168">
        <v>1000000</v>
      </c>
      <c r="K44" s="168">
        <v>1000000</v>
      </c>
      <c r="L44" s="168">
        <v>1000000</v>
      </c>
      <c r="M44" s="168">
        <v>1000000</v>
      </c>
      <c r="N44" s="168">
        <v>1000000</v>
      </c>
      <c r="O44" s="168">
        <v>1000000</v>
      </c>
      <c r="P44" s="168">
        <v>1000000</v>
      </c>
      <c r="Q44" s="168">
        <f t="shared" si="6"/>
        <v>12000000</v>
      </c>
      <c r="R44" s="237">
        <f>'RINCIAN B. TDK LANGSUNG'!Q43</f>
        <v>0</v>
      </c>
      <c r="S44" s="237">
        <f t="shared" si="5"/>
        <v>12000000</v>
      </c>
      <c r="T44" s="169"/>
    </row>
    <row r="45" spans="1:20" ht="15.75" customHeight="1" x14ac:dyDescent="0.15">
      <c r="A45" s="161"/>
      <c r="B45" s="545" t="s">
        <v>334</v>
      </c>
      <c r="C45" s="546"/>
      <c r="D45" s="547"/>
      <c r="E45" s="214">
        <f>SUM(E30:E44)</f>
        <v>28720000</v>
      </c>
      <c r="F45" s="214">
        <f t="shared" ref="F45:P45" si="7">SUM(F30:F44)</f>
        <v>21220000</v>
      </c>
      <c r="G45" s="214">
        <f t="shared" si="7"/>
        <v>22720000</v>
      </c>
      <c r="H45" s="214">
        <f t="shared" si="7"/>
        <v>24920000</v>
      </c>
      <c r="I45" s="214">
        <f t="shared" si="7"/>
        <v>26720000</v>
      </c>
      <c r="J45" s="214">
        <f t="shared" si="7"/>
        <v>22220000</v>
      </c>
      <c r="K45" s="214">
        <f t="shared" si="7"/>
        <v>21220000</v>
      </c>
      <c r="L45" s="212">
        <f t="shared" si="7"/>
        <v>25520000</v>
      </c>
      <c r="M45" s="212">
        <f t="shared" si="7"/>
        <v>21220000</v>
      </c>
      <c r="N45" s="212">
        <f t="shared" si="7"/>
        <v>22720000</v>
      </c>
      <c r="O45" s="212">
        <f t="shared" si="7"/>
        <v>30720000</v>
      </c>
      <c r="P45" s="212">
        <f t="shared" si="7"/>
        <v>21220000</v>
      </c>
      <c r="Q45" s="212">
        <f>SUM(E45:P45)</f>
        <v>289140000</v>
      </c>
      <c r="R45" s="255" t="e">
        <f>SUM(R30:R44)</f>
        <v>#REF!</v>
      </c>
      <c r="S45" s="255" t="e">
        <f>Q45-R45</f>
        <v>#REF!</v>
      </c>
      <c r="T45" s="181" t="s">
        <v>449</v>
      </c>
    </row>
    <row r="46" spans="1:20" ht="15.75" customHeight="1" x14ac:dyDescent="0.15">
      <c r="A46" s="170" t="s">
        <v>335</v>
      </c>
      <c r="B46" s="242" t="s">
        <v>336</v>
      </c>
      <c r="C46" s="171"/>
      <c r="D46" s="172"/>
      <c r="E46" s="213"/>
      <c r="F46" s="213"/>
      <c r="G46" s="213"/>
      <c r="H46" s="213"/>
      <c r="I46" s="213"/>
      <c r="J46" s="213"/>
      <c r="K46" s="213"/>
      <c r="L46" s="168"/>
      <c r="M46" s="168"/>
      <c r="N46" s="168"/>
      <c r="O46" s="168"/>
      <c r="P46" s="168"/>
      <c r="Q46" s="168">
        <f t="shared" si="1"/>
        <v>0</v>
      </c>
      <c r="R46" s="237"/>
      <c r="S46" s="237"/>
      <c r="T46" s="169"/>
    </row>
    <row r="47" spans="1:20" ht="15.75" customHeight="1" x14ac:dyDescent="0.15">
      <c r="A47" s="170" t="s">
        <v>431</v>
      </c>
      <c r="B47" s="242" t="s">
        <v>432</v>
      </c>
      <c r="C47" s="171"/>
      <c r="D47" s="172"/>
      <c r="E47" s="213"/>
      <c r="F47" s="213"/>
      <c r="G47" s="213"/>
      <c r="H47" s="213"/>
      <c r="I47" s="213"/>
      <c r="J47" s="213"/>
      <c r="K47" s="213"/>
      <c r="L47" s="168"/>
      <c r="M47" s="168"/>
      <c r="N47" s="168"/>
      <c r="O47" s="168"/>
      <c r="P47" s="168">
        <v>20000000</v>
      </c>
      <c r="Q47" s="168">
        <f t="shared" si="1"/>
        <v>20000000</v>
      </c>
      <c r="R47" s="237">
        <f>'RINCIAN B. TDK LANGSUNG'!Q46</f>
        <v>0</v>
      </c>
      <c r="S47" s="237">
        <f>Q47-R47</f>
        <v>20000000</v>
      </c>
      <c r="T47" s="169"/>
    </row>
    <row r="48" spans="1:20" ht="15.75" customHeight="1" x14ac:dyDescent="0.15">
      <c r="A48" s="170" t="s">
        <v>338</v>
      </c>
      <c r="B48" s="242" t="s">
        <v>339</v>
      </c>
      <c r="C48" s="171"/>
      <c r="D48" s="172"/>
      <c r="E48" s="213">
        <v>2000000</v>
      </c>
      <c r="F48" s="213">
        <v>200000</v>
      </c>
      <c r="G48" s="213">
        <v>200000</v>
      </c>
      <c r="H48" s="213">
        <v>200000</v>
      </c>
      <c r="I48" s="213">
        <v>2000000</v>
      </c>
      <c r="J48" s="213">
        <v>200000</v>
      </c>
      <c r="K48" s="213">
        <v>2000000</v>
      </c>
      <c r="L48" s="213">
        <v>2000000</v>
      </c>
      <c r="M48" s="213">
        <v>200000</v>
      </c>
      <c r="N48" s="213">
        <v>200000</v>
      </c>
      <c r="O48" s="213">
        <v>200000</v>
      </c>
      <c r="P48" s="213">
        <v>1000000</v>
      </c>
      <c r="Q48" s="168">
        <f t="shared" si="1"/>
        <v>10400000</v>
      </c>
      <c r="R48" s="237">
        <f>'RINCIAN B. TDK LANGSUNG'!Q47</f>
        <v>0</v>
      </c>
      <c r="S48" s="237">
        <f t="shared" ref="S48:S49" si="8">Q48-R48</f>
        <v>10400000</v>
      </c>
      <c r="T48" s="169"/>
    </row>
    <row r="49" spans="1:20" ht="15.75" customHeight="1" x14ac:dyDescent="0.15">
      <c r="A49" s="170" t="s">
        <v>340</v>
      </c>
      <c r="B49" s="242" t="s">
        <v>341</v>
      </c>
      <c r="C49" s="171"/>
      <c r="D49" s="172"/>
      <c r="E49" s="168">
        <v>5000000</v>
      </c>
      <c r="F49" s="168"/>
      <c r="G49" s="168"/>
      <c r="H49" s="168"/>
      <c r="I49" s="168">
        <v>3000000</v>
      </c>
      <c r="J49" s="168"/>
      <c r="K49" s="168"/>
      <c r="L49" s="168"/>
      <c r="M49" s="168"/>
      <c r="N49" s="168">
        <v>3000000</v>
      </c>
      <c r="O49" s="168"/>
      <c r="P49" s="168">
        <v>1500000</v>
      </c>
      <c r="Q49" s="168">
        <f t="shared" si="1"/>
        <v>12500000</v>
      </c>
      <c r="R49" s="237">
        <f>'RINCIAN B. TDK LANGSUNG'!Q48</f>
        <v>0</v>
      </c>
      <c r="S49" s="237">
        <f t="shared" si="8"/>
        <v>12500000</v>
      </c>
      <c r="T49" s="169"/>
    </row>
    <row r="50" spans="1:20" ht="15.75" customHeight="1" x14ac:dyDescent="0.15">
      <c r="A50" s="161"/>
      <c r="B50" s="539" t="s">
        <v>342</v>
      </c>
      <c r="C50" s="540"/>
      <c r="D50" s="541"/>
      <c r="E50" s="214">
        <f>SUM(E47:E49)</f>
        <v>7000000</v>
      </c>
      <c r="F50" s="214">
        <f t="shared" ref="F50:P50" si="9">SUM(F47:F49)</f>
        <v>200000</v>
      </c>
      <c r="G50" s="214">
        <f t="shared" si="9"/>
        <v>200000</v>
      </c>
      <c r="H50" s="214">
        <f t="shared" si="9"/>
        <v>200000</v>
      </c>
      <c r="I50" s="214">
        <f t="shared" si="9"/>
        <v>5000000</v>
      </c>
      <c r="J50" s="214">
        <f t="shared" si="9"/>
        <v>200000</v>
      </c>
      <c r="K50" s="214">
        <f t="shared" si="9"/>
        <v>2000000</v>
      </c>
      <c r="L50" s="212">
        <f t="shared" si="9"/>
        <v>2000000</v>
      </c>
      <c r="M50" s="212">
        <f t="shared" si="9"/>
        <v>200000</v>
      </c>
      <c r="N50" s="212">
        <f t="shared" si="9"/>
        <v>3200000</v>
      </c>
      <c r="O50" s="212">
        <f t="shared" si="9"/>
        <v>200000</v>
      </c>
      <c r="P50" s="212">
        <f t="shared" si="9"/>
        <v>22500000</v>
      </c>
      <c r="Q50" s="212">
        <f t="shared" si="1"/>
        <v>42900000</v>
      </c>
      <c r="R50" s="255">
        <f>SUM(R47:R49)</f>
        <v>0</v>
      </c>
      <c r="S50" s="255">
        <f>Q50-R50</f>
        <v>42900000</v>
      </c>
      <c r="T50" s="181" t="s">
        <v>450</v>
      </c>
    </row>
    <row r="51" spans="1:20" ht="15.75" customHeight="1" x14ac:dyDescent="0.15">
      <c r="A51" s="170" t="s">
        <v>343</v>
      </c>
      <c r="B51" s="551" t="s">
        <v>344</v>
      </c>
      <c r="C51" s="552"/>
      <c r="D51" s="553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237"/>
      <c r="S51" s="237"/>
      <c r="T51" s="169"/>
    </row>
    <row r="52" spans="1:20" ht="15.75" customHeight="1" x14ac:dyDescent="0.15">
      <c r="A52" s="170"/>
      <c r="B52" s="242" t="s">
        <v>433</v>
      </c>
      <c r="C52" s="171"/>
      <c r="D52" s="172"/>
      <c r="E52" s="213"/>
      <c r="F52" s="168"/>
      <c r="G52" s="168"/>
      <c r="H52" s="168">
        <v>75000000</v>
      </c>
      <c r="I52" s="168"/>
      <c r="J52" s="168"/>
      <c r="K52" s="168"/>
      <c r="L52" s="168"/>
      <c r="M52" s="168"/>
      <c r="N52" s="168"/>
      <c r="O52" s="168"/>
      <c r="P52" s="168"/>
      <c r="Q52" s="168">
        <f t="shared" si="1"/>
        <v>75000000</v>
      </c>
      <c r="R52" s="237">
        <f>'RINCIAN B. TDK LANGSUNG'!Q51</f>
        <v>0</v>
      </c>
      <c r="S52" s="237">
        <f t="shared" ref="S52" si="10">Q52-R52</f>
        <v>75000000</v>
      </c>
      <c r="T52" s="174"/>
    </row>
    <row r="53" spans="1:20" ht="15.75" customHeight="1" x14ac:dyDescent="0.15">
      <c r="A53" s="179"/>
      <c r="B53" s="545" t="s">
        <v>346</v>
      </c>
      <c r="C53" s="546"/>
      <c r="D53" s="547"/>
      <c r="E53" s="180">
        <f t="shared" ref="E53:P53" si="11">SUM(E52:E52)</f>
        <v>0</v>
      </c>
      <c r="F53" s="180">
        <f t="shared" si="11"/>
        <v>0</v>
      </c>
      <c r="G53" s="180">
        <f t="shared" si="11"/>
        <v>0</v>
      </c>
      <c r="H53" s="180">
        <f t="shared" si="11"/>
        <v>75000000</v>
      </c>
      <c r="I53" s="180">
        <f t="shared" si="11"/>
        <v>0</v>
      </c>
      <c r="J53" s="180">
        <f t="shared" si="11"/>
        <v>0</v>
      </c>
      <c r="K53" s="180">
        <f t="shared" si="11"/>
        <v>0</v>
      </c>
      <c r="L53" s="180">
        <f t="shared" si="11"/>
        <v>0</v>
      </c>
      <c r="M53" s="180">
        <f t="shared" si="11"/>
        <v>0</v>
      </c>
      <c r="N53" s="180">
        <f t="shared" si="11"/>
        <v>0</v>
      </c>
      <c r="O53" s="180">
        <f t="shared" si="11"/>
        <v>0</v>
      </c>
      <c r="P53" s="180">
        <f t="shared" si="11"/>
        <v>0</v>
      </c>
      <c r="Q53" s="180">
        <f>SUM(E53:P53)</f>
        <v>75000000</v>
      </c>
      <c r="R53" s="238">
        <f>SUM(R52:R52)</f>
        <v>0</v>
      </c>
      <c r="S53" s="238">
        <f>Q53-R53</f>
        <v>75000000</v>
      </c>
      <c r="T53" s="181" t="s">
        <v>451</v>
      </c>
    </row>
    <row r="54" spans="1:20" ht="15.75" customHeight="1" x14ac:dyDescent="0.15">
      <c r="A54" s="170" t="s">
        <v>347</v>
      </c>
      <c r="B54" s="551" t="s">
        <v>348</v>
      </c>
      <c r="C54" s="552"/>
      <c r="D54" s="553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>
        <f t="shared" si="1"/>
        <v>0</v>
      </c>
      <c r="R54" s="237"/>
      <c r="S54" s="237"/>
      <c r="T54" s="169"/>
    </row>
    <row r="55" spans="1:20" ht="15.75" customHeight="1" x14ac:dyDescent="0.15">
      <c r="A55" s="170" t="s">
        <v>349</v>
      </c>
      <c r="B55" s="242" t="s">
        <v>350</v>
      </c>
      <c r="C55" s="171"/>
      <c r="D55" s="172"/>
      <c r="E55" s="168">
        <v>500000</v>
      </c>
      <c r="F55" s="168">
        <v>500000</v>
      </c>
      <c r="G55" s="168">
        <v>500000</v>
      </c>
      <c r="H55" s="168">
        <v>500000</v>
      </c>
      <c r="I55" s="168">
        <v>3500000</v>
      </c>
      <c r="J55" s="168">
        <v>500000</v>
      </c>
      <c r="K55" s="168">
        <v>500000</v>
      </c>
      <c r="L55" s="168">
        <v>500000</v>
      </c>
      <c r="M55" s="168">
        <v>500000</v>
      </c>
      <c r="N55" s="168">
        <v>500000</v>
      </c>
      <c r="O55" s="168">
        <v>3500000</v>
      </c>
      <c r="P55" s="168">
        <v>500000</v>
      </c>
      <c r="Q55" s="168">
        <f t="shared" si="1"/>
        <v>12000000</v>
      </c>
      <c r="R55" s="237">
        <f>'RINCIAN B. TDK LANGSUNG'!Q54</f>
        <v>0</v>
      </c>
      <c r="S55" s="237">
        <f>Q55-R55</f>
        <v>12000000</v>
      </c>
      <c r="T55" s="169"/>
    </row>
    <row r="56" spans="1:20" ht="15.75" customHeight="1" x14ac:dyDescent="0.15">
      <c r="A56" s="170" t="s">
        <v>351</v>
      </c>
      <c r="B56" s="242" t="s">
        <v>352</v>
      </c>
      <c r="C56" s="192"/>
      <c r="D56" s="193"/>
      <c r="E56" s="213">
        <v>3000000</v>
      </c>
      <c r="F56" s="213">
        <v>3000000</v>
      </c>
      <c r="G56" s="213">
        <v>3000000</v>
      </c>
      <c r="H56" s="213">
        <v>3000000</v>
      </c>
      <c r="I56" s="213">
        <v>3000000</v>
      </c>
      <c r="J56" s="213">
        <v>3000000</v>
      </c>
      <c r="K56" s="213">
        <v>3000000</v>
      </c>
      <c r="L56" s="213">
        <v>3000000</v>
      </c>
      <c r="M56" s="213">
        <v>3000000</v>
      </c>
      <c r="N56" s="213">
        <v>3000000</v>
      </c>
      <c r="O56" s="213">
        <v>3000000</v>
      </c>
      <c r="P56" s="213">
        <v>3000000</v>
      </c>
      <c r="Q56" s="168">
        <f t="shared" si="1"/>
        <v>36000000</v>
      </c>
      <c r="R56" s="237">
        <f>'RINCIAN B. TDK LANGSUNG'!Q55</f>
        <v>0</v>
      </c>
      <c r="S56" s="237">
        <f>Q56-R56</f>
        <v>36000000</v>
      </c>
      <c r="T56" s="169"/>
    </row>
    <row r="57" spans="1:20" ht="15.75" customHeight="1" x14ac:dyDescent="0.15">
      <c r="A57" s="170" t="s">
        <v>353</v>
      </c>
      <c r="B57" s="242" t="s">
        <v>354</v>
      </c>
      <c r="C57" s="171"/>
      <c r="D57" s="172"/>
      <c r="E57" s="213">
        <v>500000</v>
      </c>
      <c r="F57" s="213">
        <v>5000000</v>
      </c>
      <c r="G57" s="213">
        <v>10000000</v>
      </c>
      <c r="H57" s="213">
        <v>500000</v>
      </c>
      <c r="I57" s="213">
        <v>500000</v>
      </c>
      <c r="J57" s="213">
        <v>500000</v>
      </c>
      <c r="K57" s="213">
        <v>500000</v>
      </c>
      <c r="L57" s="213">
        <v>500000</v>
      </c>
      <c r="M57" s="213">
        <v>500000</v>
      </c>
      <c r="N57" s="213">
        <v>500000</v>
      </c>
      <c r="O57" s="213">
        <v>500000</v>
      </c>
      <c r="P57" s="213">
        <v>500000</v>
      </c>
      <c r="Q57" s="168">
        <f t="shared" si="1"/>
        <v>20000000</v>
      </c>
      <c r="R57" s="237">
        <f>'RINCIAN B. TDK LANGSUNG'!Q56</f>
        <v>0</v>
      </c>
      <c r="S57" s="237">
        <f t="shared" ref="S57:S59" si="12">Q57-R57</f>
        <v>20000000</v>
      </c>
      <c r="T57" s="169"/>
    </row>
    <row r="58" spans="1:20" ht="15.75" customHeight="1" x14ac:dyDescent="0.15">
      <c r="A58" s="170" t="s">
        <v>416</v>
      </c>
      <c r="B58" s="551" t="s">
        <v>417</v>
      </c>
      <c r="C58" s="552"/>
      <c r="D58" s="553"/>
      <c r="E58" s="168">
        <v>1500000</v>
      </c>
      <c r="F58" s="168">
        <v>1500000</v>
      </c>
      <c r="G58" s="168">
        <v>1500000</v>
      </c>
      <c r="H58" s="168">
        <v>1500000</v>
      </c>
      <c r="I58" s="168">
        <v>1500000</v>
      </c>
      <c r="J58" s="168">
        <v>1500000</v>
      </c>
      <c r="K58" s="168">
        <v>1500000</v>
      </c>
      <c r="L58" s="168">
        <v>1500000</v>
      </c>
      <c r="M58" s="168">
        <v>1500000</v>
      </c>
      <c r="N58" s="168">
        <v>1500000</v>
      </c>
      <c r="O58" s="168">
        <v>1500000</v>
      </c>
      <c r="P58" s="168">
        <v>1500000</v>
      </c>
      <c r="Q58" s="168">
        <f t="shared" si="1"/>
        <v>18000000</v>
      </c>
      <c r="R58" s="237">
        <f>'RINCIAN B. TDK LANGSUNG'!Q57</f>
        <v>0</v>
      </c>
      <c r="S58" s="237">
        <f t="shared" si="12"/>
        <v>18000000</v>
      </c>
      <c r="T58" s="169"/>
    </row>
    <row r="59" spans="1:20" ht="15.75" customHeight="1" x14ac:dyDescent="0.15">
      <c r="A59" s="170" t="s">
        <v>355</v>
      </c>
      <c r="B59" s="551" t="s">
        <v>356</v>
      </c>
      <c r="C59" s="552"/>
      <c r="D59" s="553"/>
      <c r="E59" s="168">
        <v>300000</v>
      </c>
      <c r="F59" s="168">
        <v>300000</v>
      </c>
      <c r="G59" s="168">
        <v>300000</v>
      </c>
      <c r="H59" s="168">
        <v>300000</v>
      </c>
      <c r="I59" s="168">
        <v>300000</v>
      </c>
      <c r="J59" s="168">
        <v>300000</v>
      </c>
      <c r="K59" s="168">
        <v>300000</v>
      </c>
      <c r="L59" s="168">
        <v>300000</v>
      </c>
      <c r="M59" s="168">
        <v>300000</v>
      </c>
      <c r="N59" s="168">
        <v>300000</v>
      </c>
      <c r="O59" s="168">
        <v>300000</v>
      </c>
      <c r="P59" s="168">
        <v>300000</v>
      </c>
      <c r="Q59" s="168">
        <f t="shared" si="1"/>
        <v>3600000</v>
      </c>
      <c r="R59" s="237">
        <f>'RINCIAN B. TDK LANGSUNG'!Q58</f>
        <v>0</v>
      </c>
      <c r="S59" s="237">
        <f t="shared" si="12"/>
        <v>3600000</v>
      </c>
      <c r="T59" s="169"/>
    </row>
    <row r="60" spans="1:20" ht="15.75" customHeight="1" x14ac:dyDescent="0.15">
      <c r="A60" s="179"/>
      <c r="B60" s="545" t="s">
        <v>262</v>
      </c>
      <c r="C60" s="546"/>
      <c r="D60" s="547"/>
      <c r="E60" s="180">
        <f>SUM(E55:E59)</f>
        <v>5800000</v>
      </c>
      <c r="F60" s="180">
        <f t="shared" ref="F60:P60" si="13">SUM(F55:F59)</f>
        <v>10300000</v>
      </c>
      <c r="G60" s="180">
        <f t="shared" si="13"/>
        <v>15300000</v>
      </c>
      <c r="H60" s="180">
        <f t="shared" si="13"/>
        <v>5800000</v>
      </c>
      <c r="I60" s="180">
        <f t="shared" si="13"/>
        <v>8800000</v>
      </c>
      <c r="J60" s="180">
        <f t="shared" si="13"/>
        <v>5800000</v>
      </c>
      <c r="K60" s="180">
        <f t="shared" si="13"/>
        <v>5800000</v>
      </c>
      <c r="L60" s="180">
        <f t="shared" si="13"/>
        <v>5800000</v>
      </c>
      <c r="M60" s="180">
        <f t="shared" si="13"/>
        <v>5800000</v>
      </c>
      <c r="N60" s="180">
        <f t="shared" si="13"/>
        <v>5800000</v>
      </c>
      <c r="O60" s="180">
        <f t="shared" si="13"/>
        <v>8800000</v>
      </c>
      <c r="P60" s="180">
        <f t="shared" si="13"/>
        <v>5800000</v>
      </c>
      <c r="Q60" s="180">
        <f t="shared" si="1"/>
        <v>89600000</v>
      </c>
      <c r="R60" s="238">
        <f>SUM(R55:R59)</f>
        <v>0</v>
      </c>
      <c r="S60" s="238">
        <f>Q60-R60</f>
        <v>89600000</v>
      </c>
      <c r="T60" s="181" t="s">
        <v>452</v>
      </c>
    </row>
    <row r="61" spans="1:20" ht="15.75" customHeight="1" x14ac:dyDescent="0.15">
      <c r="A61" s="170" t="s">
        <v>196</v>
      </c>
      <c r="B61" s="551" t="s">
        <v>357</v>
      </c>
      <c r="C61" s="552"/>
      <c r="D61" s="553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237"/>
      <c r="S61" s="237"/>
      <c r="T61" s="169"/>
    </row>
    <row r="62" spans="1:20" ht="15.75" customHeight="1" x14ac:dyDescent="0.15">
      <c r="A62" s="170" t="s">
        <v>358</v>
      </c>
      <c r="B62" s="551" t="s">
        <v>359</v>
      </c>
      <c r="C62" s="552"/>
      <c r="D62" s="553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>
        <v>50000000</v>
      </c>
      <c r="Q62" s="168">
        <f t="shared" si="1"/>
        <v>50000000</v>
      </c>
      <c r="R62" s="237" t="e">
        <f>'RINCIAN B. TDK LANGSUNG'!#REF!</f>
        <v>#REF!</v>
      </c>
      <c r="S62" s="237" t="e">
        <f t="shared" ref="S62:S63" si="14">Q62-R62</f>
        <v>#REF!</v>
      </c>
      <c r="T62" s="174"/>
    </row>
    <row r="63" spans="1:20" ht="15.75" customHeight="1" x14ac:dyDescent="0.15">
      <c r="A63" s="170" t="s">
        <v>360</v>
      </c>
      <c r="B63" s="242" t="s">
        <v>361</v>
      </c>
      <c r="C63" s="243"/>
      <c r="D63" s="244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>
        <f t="shared" si="1"/>
        <v>0</v>
      </c>
      <c r="R63" s="237" t="e">
        <f>'RINCIAN B. TDK LANGSUNG'!#REF!</f>
        <v>#REF!</v>
      </c>
      <c r="S63" s="237" t="e">
        <f t="shared" si="14"/>
        <v>#REF!</v>
      </c>
      <c r="T63" s="174"/>
    </row>
    <row r="64" spans="1:20" ht="15.75" customHeight="1" x14ac:dyDescent="0.15">
      <c r="A64" s="179"/>
      <c r="B64" s="545" t="s">
        <v>362</v>
      </c>
      <c r="C64" s="546"/>
      <c r="D64" s="547"/>
      <c r="E64" s="180">
        <f t="shared" ref="E64:O64" si="15">SUM(E61:E63)</f>
        <v>0</v>
      </c>
      <c r="F64" s="180">
        <f t="shared" si="15"/>
        <v>0</v>
      </c>
      <c r="G64" s="180">
        <f t="shared" si="15"/>
        <v>0</v>
      </c>
      <c r="H64" s="180">
        <f t="shared" si="15"/>
        <v>0</v>
      </c>
      <c r="I64" s="180">
        <f t="shared" si="15"/>
        <v>0</v>
      </c>
      <c r="J64" s="180">
        <f t="shared" si="15"/>
        <v>0</v>
      </c>
      <c r="K64" s="180">
        <f t="shared" si="15"/>
        <v>0</v>
      </c>
      <c r="L64" s="180">
        <f t="shared" si="15"/>
        <v>0</v>
      </c>
      <c r="M64" s="180">
        <f t="shared" si="15"/>
        <v>0</v>
      </c>
      <c r="N64" s="180">
        <f t="shared" si="15"/>
        <v>0</v>
      </c>
      <c r="O64" s="180">
        <f t="shared" si="15"/>
        <v>0</v>
      </c>
      <c r="P64" s="180">
        <f>SUM(P61:P63)</f>
        <v>50000000</v>
      </c>
      <c r="Q64" s="180">
        <f t="shared" si="1"/>
        <v>50000000</v>
      </c>
      <c r="R64" s="238" t="e">
        <f>SUM(R62:R63)</f>
        <v>#REF!</v>
      </c>
      <c r="S64" s="238" t="e">
        <f>Q64-R64</f>
        <v>#REF!</v>
      </c>
      <c r="T64" s="181" t="s">
        <v>453</v>
      </c>
    </row>
    <row r="65" spans="1:20" ht="15.75" customHeight="1" x14ac:dyDescent="0.15">
      <c r="A65" s="170" t="s">
        <v>363</v>
      </c>
      <c r="B65" s="242" t="s">
        <v>364</v>
      </c>
      <c r="C65" s="215"/>
      <c r="D65" s="216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>
        <f t="shared" si="1"/>
        <v>0</v>
      </c>
      <c r="R65" s="237"/>
      <c r="S65" s="237"/>
      <c r="T65" s="169"/>
    </row>
    <row r="66" spans="1:20" ht="15.75" customHeight="1" x14ac:dyDescent="0.15">
      <c r="A66" s="170" t="s">
        <v>365</v>
      </c>
      <c r="B66" s="242" t="s">
        <v>366</v>
      </c>
      <c r="C66" s="215"/>
      <c r="D66" s="216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237">
        <f>'RINCIAN B. TDK LANGSUNG'!Q61</f>
        <v>0</v>
      </c>
      <c r="S66" s="237">
        <f t="shared" ref="S66:S86" si="16">Q66-R66</f>
        <v>0</v>
      </c>
      <c r="T66" s="169"/>
    </row>
    <row r="67" spans="1:20" ht="15.75" customHeight="1" x14ac:dyDescent="0.15">
      <c r="A67" s="170"/>
      <c r="B67" s="242" t="s">
        <v>367</v>
      </c>
      <c r="C67" s="215"/>
      <c r="D67" s="216"/>
      <c r="E67" s="168">
        <v>1850000</v>
      </c>
      <c r="F67" s="168">
        <v>1850000</v>
      </c>
      <c r="G67" s="168">
        <v>1850000</v>
      </c>
      <c r="H67" s="168">
        <v>1850000</v>
      </c>
      <c r="I67" s="168">
        <v>1850000</v>
      </c>
      <c r="J67" s="168">
        <v>1850000</v>
      </c>
      <c r="K67" s="168">
        <v>1850000</v>
      </c>
      <c r="L67" s="168">
        <v>1850000</v>
      </c>
      <c r="M67" s="168">
        <v>1850000</v>
      </c>
      <c r="N67" s="168">
        <v>1850000</v>
      </c>
      <c r="O67" s="168">
        <v>1850000</v>
      </c>
      <c r="P67" s="168">
        <v>1850000</v>
      </c>
      <c r="Q67" s="168">
        <f t="shared" si="1"/>
        <v>22200000</v>
      </c>
      <c r="R67" s="237" t="e">
        <f>'RINCIAN B. TDK LANGSUNG'!#REF!</f>
        <v>#REF!</v>
      </c>
      <c r="S67" s="237" t="e">
        <f t="shared" si="16"/>
        <v>#REF!</v>
      </c>
      <c r="T67" s="169"/>
    </row>
    <row r="68" spans="1:20" ht="15.75" customHeight="1" x14ac:dyDescent="0.15">
      <c r="A68" s="170"/>
      <c r="B68" s="242" t="s">
        <v>368</v>
      </c>
      <c r="C68" s="243"/>
      <c r="D68" s="244"/>
      <c r="E68" s="168">
        <v>700000</v>
      </c>
      <c r="F68" s="168">
        <v>700000</v>
      </c>
      <c r="G68" s="168">
        <v>700000</v>
      </c>
      <c r="H68" s="168">
        <v>700000</v>
      </c>
      <c r="I68" s="168">
        <v>700000</v>
      </c>
      <c r="J68" s="168">
        <v>700000</v>
      </c>
      <c r="K68" s="168">
        <v>700000</v>
      </c>
      <c r="L68" s="168">
        <v>700000</v>
      </c>
      <c r="M68" s="168">
        <v>700000</v>
      </c>
      <c r="N68" s="168">
        <v>700000</v>
      </c>
      <c r="O68" s="168">
        <v>700000</v>
      </c>
      <c r="P68" s="168">
        <v>700000</v>
      </c>
      <c r="Q68" s="168">
        <f t="shared" ref="Q68:Q89" si="17">SUM(E68:P68)</f>
        <v>8400000</v>
      </c>
      <c r="R68" s="237" t="e">
        <f>'RINCIAN B. TDK LANGSUNG'!#REF!</f>
        <v>#REF!</v>
      </c>
      <c r="S68" s="237" t="e">
        <f t="shared" si="16"/>
        <v>#REF!</v>
      </c>
      <c r="T68" s="169"/>
    </row>
    <row r="69" spans="1:20" ht="15.75" customHeight="1" x14ac:dyDescent="0.15">
      <c r="A69" s="170" t="s">
        <v>369</v>
      </c>
      <c r="B69" s="242" t="s">
        <v>370</v>
      </c>
      <c r="C69" s="243"/>
      <c r="D69" s="244"/>
      <c r="E69" s="168">
        <v>18500000</v>
      </c>
      <c r="F69" s="168">
        <v>18500000</v>
      </c>
      <c r="G69" s="168">
        <v>18500000</v>
      </c>
      <c r="H69" s="168">
        <v>18500000</v>
      </c>
      <c r="I69" s="168">
        <v>18500000</v>
      </c>
      <c r="J69" s="168">
        <v>18500000</v>
      </c>
      <c r="K69" s="168">
        <v>18500000</v>
      </c>
      <c r="L69" s="168">
        <v>18500000</v>
      </c>
      <c r="M69" s="168">
        <v>18500000</v>
      </c>
      <c r="N69" s="168">
        <v>18500000</v>
      </c>
      <c r="O69" s="168">
        <v>18500000</v>
      </c>
      <c r="P69" s="168">
        <v>18500000</v>
      </c>
      <c r="Q69" s="168">
        <f t="shared" si="17"/>
        <v>222000000</v>
      </c>
      <c r="R69" s="237">
        <f>'RINCIAN B. TDK LANGSUNG'!Q63</f>
        <v>0</v>
      </c>
      <c r="S69" s="237">
        <f t="shared" si="16"/>
        <v>222000000</v>
      </c>
      <c r="T69" s="169" t="s">
        <v>461</v>
      </c>
    </row>
    <row r="70" spans="1:20" ht="15.75" customHeight="1" x14ac:dyDescent="0.15">
      <c r="A70" s="170" t="s">
        <v>371</v>
      </c>
      <c r="B70" s="242" t="s">
        <v>372</v>
      </c>
      <c r="C70" s="243"/>
      <c r="D70" s="244"/>
      <c r="E70" s="168">
        <v>125000000</v>
      </c>
      <c r="F70" s="168">
        <v>25000000</v>
      </c>
      <c r="G70" s="168">
        <v>25000000</v>
      </c>
      <c r="H70" s="168">
        <v>25000000</v>
      </c>
      <c r="I70" s="168">
        <v>25000000</v>
      </c>
      <c r="J70" s="168">
        <v>25000000</v>
      </c>
      <c r="K70" s="168">
        <v>25000000</v>
      </c>
      <c r="L70" s="168">
        <v>25000000</v>
      </c>
      <c r="M70" s="168">
        <v>25000000</v>
      </c>
      <c r="N70" s="168">
        <v>25000000</v>
      </c>
      <c r="O70" s="168">
        <v>25000000</v>
      </c>
      <c r="P70" s="168">
        <v>25000000</v>
      </c>
      <c r="Q70" s="168">
        <f t="shared" si="17"/>
        <v>400000000</v>
      </c>
      <c r="R70" s="237">
        <f>'RINCIAN B. TDK LANGSUNG'!Q64</f>
        <v>0</v>
      </c>
      <c r="S70" s="237">
        <f t="shared" si="16"/>
        <v>400000000</v>
      </c>
      <c r="T70" s="169"/>
    </row>
    <row r="71" spans="1:20" ht="15.75" customHeight="1" x14ac:dyDescent="0.15">
      <c r="A71" s="170" t="s">
        <v>373</v>
      </c>
      <c r="B71" s="242" t="s">
        <v>374</v>
      </c>
      <c r="C71" s="243"/>
      <c r="D71" s="244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>
        <f t="shared" si="17"/>
        <v>0</v>
      </c>
      <c r="R71" s="237">
        <f>'RINCIAN B. TDK LANGSUNG'!Q65</f>
        <v>0</v>
      </c>
      <c r="S71" s="237">
        <f t="shared" si="16"/>
        <v>0</v>
      </c>
      <c r="T71" s="169"/>
    </row>
    <row r="72" spans="1:20" ht="15.75" customHeight="1" x14ac:dyDescent="0.15">
      <c r="A72" s="170"/>
      <c r="B72" s="242" t="s">
        <v>375</v>
      </c>
      <c r="C72" s="243"/>
      <c r="D72" s="244"/>
      <c r="E72" s="168">
        <v>25000000</v>
      </c>
      <c r="F72" s="168"/>
      <c r="G72" s="168">
        <v>25000000</v>
      </c>
      <c r="H72" s="168"/>
      <c r="I72" s="168"/>
      <c r="J72" s="168"/>
      <c r="K72" s="168"/>
      <c r="L72" s="168"/>
      <c r="M72" s="168"/>
      <c r="N72" s="168"/>
      <c r="O72" s="168"/>
      <c r="P72" s="168"/>
      <c r="Q72" s="168">
        <f t="shared" si="17"/>
        <v>50000000</v>
      </c>
      <c r="R72" s="237">
        <f>'RINCIAN B. TDK LANGSUNG'!Q66</f>
        <v>0</v>
      </c>
      <c r="S72" s="237">
        <f t="shared" si="16"/>
        <v>50000000</v>
      </c>
      <c r="T72" s="169"/>
    </row>
    <row r="73" spans="1:20" ht="15.75" customHeight="1" x14ac:dyDescent="0.15">
      <c r="A73" s="217"/>
      <c r="B73" s="218" t="s">
        <v>376</v>
      </c>
      <c r="C73" s="219"/>
      <c r="D73" s="220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>
        <f t="shared" si="17"/>
        <v>0</v>
      </c>
      <c r="R73" s="237">
        <f>'RINCIAN B. TDK LANGSUNG'!Q67</f>
        <v>0</v>
      </c>
      <c r="S73" s="237">
        <f t="shared" si="16"/>
        <v>0</v>
      </c>
      <c r="T73" s="222"/>
    </row>
    <row r="74" spans="1:20" ht="15.75" customHeight="1" x14ac:dyDescent="0.15">
      <c r="A74" s="190" t="s">
        <v>377</v>
      </c>
      <c r="B74" s="245" t="s">
        <v>378</v>
      </c>
      <c r="C74" s="246"/>
      <c r="D74" s="24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>
        <f t="shared" si="17"/>
        <v>0</v>
      </c>
      <c r="R74" s="237">
        <f>'RINCIAN B. TDK LANGSUNG'!Q68</f>
        <v>0</v>
      </c>
      <c r="S74" s="237">
        <f t="shared" si="16"/>
        <v>0</v>
      </c>
      <c r="T74" s="223"/>
    </row>
    <row r="75" spans="1:20" ht="15.75" customHeight="1" x14ac:dyDescent="0.15">
      <c r="A75" s="170" t="s">
        <v>379</v>
      </c>
      <c r="B75" s="242" t="s">
        <v>380</v>
      </c>
      <c r="C75" s="243"/>
      <c r="D75" s="244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>
        <f t="shared" si="17"/>
        <v>0</v>
      </c>
      <c r="R75" s="237">
        <f>'RINCIAN B. TDK LANGSUNG'!Q69</f>
        <v>0</v>
      </c>
      <c r="S75" s="237">
        <f t="shared" si="16"/>
        <v>0</v>
      </c>
      <c r="T75" s="169"/>
    </row>
    <row r="76" spans="1:20" ht="15.75" customHeight="1" x14ac:dyDescent="0.15">
      <c r="A76" s="170"/>
      <c r="B76" s="242" t="s">
        <v>381</v>
      </c>
      <c r="C76" s="243"/>
      <c r="D76" s="244"/>
      <c r="E76" s="168">
        <v>15000000</v>
      </c>
      <c r="F76" s="168">
        <v>15000000</v>
      </c>
      <c r="G76" s="168">
        <v>15000000</v>
      </c>
      <c r="H76" s="168">
        <v>15000000</v>
      </c>
      <c r="I76" s="168">
        <v>15000000</v>
      </c>
      <c r="J76" s="168">
        <v>15000000</v>
      </c>
      <c r="K76" s="168">
        <v>15000000</v>
      </c>
      <c r="L76" s="168">
        <v>15000000</v>
      </c>
      <c r="M76" s="168">
        <v>15000000</v>
      </c>
      <c r="N76" s="168">
        <v>15000000</v>
      </c>
      <c r="O76" s="168">
        <v>15000000</v>
      </c>
      <c r="P76" s="168">
        <v>15000000</v>
      </c>
      <c r="Q76" s="168">
        <f t="shared" si="17"/>
        <v>180000000</v>
      </c>
      <c r="R76" s="237" t="e">
        <f>'RINCIAN B. TDK LANGSUNG'!#REF!</f>
        <v>#REF!</v>
      </c>
      <c r="S76" s="237" t="e">
        <f t="shared" si="16"/>
        <v>#REF!</v>
      </c>
      <c r="T76" s="169"/>
    </row>
    <row r="77" spans="1:20" ht="15.75" customHeight="1" x14ac:dyDescent="0.15">
      <c r="A77" s="170"/>
      <c r="B77" s="242" t="s">
        <v>382</v>
      </c>
      <c r="C77" s="243"/>
      <c r="D77" s="244"/>
      <c r="E77" s="168">
        <v>1750000</v>
      </c>
      <c r="F77" s="168">
        <v>1750000</v>
      </c>
      <c r="G77" s="168">
        <v>1750000</v>
      </c>
      <c r="H77" s="168">
        <v>1750000</v>
      </c>
      <c r="I77" s="168">
        <v>1750000</v>
      </c>
      <c r="J77" s="168">
        <v>1750000</v>
      </c>
      <c r="K77" s="168">
        <v>1750000</v>
      </c>
      <c r="L77" s="168">
        <v>1750000</v>
      </c>
      <c r="M77" s="168">
        <v>1750000</v>
      </c>
      <c r="N77" s="168">
        <v>1750000</v>
      </c>
      <c r="O77" s="168">
        <v>1750000</v>
      </c>
      <c r="P77" s="168">
        <v>1750000</v>
      </c>
      <c r="Q77" s="168">
        <f t="shared" si="17"/>
        <v>21000000</v>
      </c>
      <c r="R77" s="237" t="e">
        <f>'RINCIAN B. TDK LANGSUNG'!#REF!</f>
        <v>#REF!</v>
      </c>
      <c r="S77" s="237" t="e">
        <f t="shared" si="16"/>
        <v>#REF!</v>
      </c>
      <c r="T77" s="169"/>
    </row>
    <row r="78" spans="1:20" ht="15.75" customHeight="1" x14ac:dyDescent="0.15">
      <c r="A78" s="170" t="s">
        <v>383</v>
      </c>
      <c r="B78" s="242" t="s">
        <v>384</v>
      </c>
      <c r="C78" s="243"/>
      <c r="D78" s="244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>
        <f t="shared" si="17"/>
        <v>0</v>
      </c>
      <c r="R78" s="237">
        <f>'RINCIAN B. TDK LANGSUNG'!Q70</f>
        <v>0</v>
      </c>
      <c r="S78" s="237">
        <f t="shared" si="16"/>
        <v>0</v>
      </c>
      <c r="T78" s="169"/>
    </row>
    <row r="79" spans="1:20" ht="15.75" customHeight="1" x14ac:dyDescent="0.15">
      <c r="A79" s="170"/>
      <c r="B79" s="242" t="s">
        <v>385</v>
      </c>
      <c r="C79" s="243"/>
      <c r="D79" s="244"/>
      <c r="E79" s="213"/>
      <c r="F79" s="213"/>
      <c r="G79" s="213"/>
      <c r="H79" s="213"/>
      <c r="I79" s="213"/>
      <c r="J79" s="213"/>
      <c r="K79" s="168"/>
      <c r="L79" s="168"/>
      <c r="M79" s="168">
        <v>1500000</v>
      </c>
      <c r="N79" s="168"/>
      <c r="O79" s="168"/>
      <c r="P79" s="168"/>
      <c r="Q79" s="168">
        <f t="shared" si="17"/>
        <v>1500000</v>
      </c>
      <c r="R79" s="237">
        <f>'RINCIAN B. TDK LANGSUNG'!Q71</f>
        <v>0</v>
      </c>
      <c r="S79" s="237">
        <f t="shared" si="16"/>
        <v>1500000</v>
      </c>
      <c r="T79" s="169"/>
    </row>
    <row r="80" spans="1:20" ht="15.75" customHeight="1" x14ac:dyDescent="0.15">
      <c r="A80" s="170" t="s">
        <v>386</v>
      </c>
      <c r="B80" s="242" t="s">
        <v>387</v>
      </c>
      <c r="C80" s="243"/>
      <c r="D80" s="244"/>
      <c r="E80" s="213"/>
      <c r="F80" s="213"/>
      <c r="G80" s="213"/>
      <c r="H80" s="213"/>
      <c r="I80" s="213"/>
      <c r="J80" s="213"/>
      <c r="K80" s="213"/>
      <c r="L80" s="168"/>
      <c r="M80" s="168"/>
      <c r="N80" s="168"/>
      <c r="O80" s="168"/>
      <c r="P80" s="168"/>
      <c r="Q80" s="168">
        <f t="shared" si="17"/>
        <v>0</v>
      </c>
      <c r="R80" s="237">
        <f>'RINCIAN B. TDK LANGSUNG'!Q72</f>
        <v>0</v>
      </c>
      <c r="S80" s="237">
        <f t="shared" si="16"/>
        <v>0</v>
      </c>
      <c r="T80" s="169"/>
    </row>
    <row r="81" spans="1:20" ht="15.75" customHeight="1" x14ac:dyDescent="0.15">
      <c r="A81" s="170"/>
      <c r="B81" s="258" t="s">
        <v>389</v>
      </c>
      <c r="C81" s="259"/>
      <c r="D81" s="260"/>
      <c r="E81" s="168">
        <v>3000000</v>
      </c>
      <c r="F81" s="168">
        <v>6000000</v>
      </c>
      <c r="G81" s="168">
        <v>3000000</v>
      </c>
      <c r="H81" s="168"/>
      <c r="I81" s="168"/>
      <c r="J81" s="168"/>
      <c r="K81" s="168">
        <v>6000000</v>
      </c>
      <c r="L81" s="168"/>
      <c r="M81" s="168"/>
      <c r="N81" s="168">
        <v>3000000</v>
      </c>
      <c r="O81" s="168">
        <v>3000000</v>
      </c>
      <c r="P81" s="168"/>
      <c r="Q81" s="168">
        <f t="shared" si="17"/>
        <v>24000000</v>
      </c>
      <c r="R81" s="237" t="e">
        <f>'RINCIAN B. TDK LANGSUNG'!#REF!</f>
        <v>#REF!</v>
      </c>
      <c r="S81" s="237" t="e">
        <f t="shared" si="16"/>
        <v>#REF!</v>
      </c>
      <c r="T81" s="169"/>
    </row>
    <row r="82" spans="1:20" ht="15.75" customHeight="1" x14ac:dyDescent="0.15">
      <c r="A82" s="170"/>
      <c r="B82" s="576" t="s">
        <v>390</v>
      </c>
      <c r="C82" s="577"/>
      <c r="D82" s="578"/>
      <c r="E82" s="168"/>
      <c r="F82" s="168">
        <v>7000000</v>
      </c>
      <c r="G82" s="168"/>
      <c r="H82" s="168">
        <v>11000000</v>
      </c>
      <c r="I82" s="168"/>
      <c r="J82" s="168"/>
      <c r="K82" s="168"/>
      <c r="L82" s="168"/>
      <c r="M82" s="168"/>
      <c r="N82" s="168"/>
      <c r="O82" s="168"/>
      <c r="P82" s="168">
        <v>12000000</v>
      </c>
      <c r="Q82" s="168">
        <f t="shared" si="17"/>
        <v>30000000</v>
      </c>
      <c r="R82" s="237" t="e">
        <f>'RINCIAN B. TDK LANGSUNG'!#REF!</f>
        <v>#REF!</v>
      </c>
      <c r="S82" s="237" t="e">
        <f t="shared" si="16"/>
        <v>#REF!</v>
      </c>
      <c r="T82" s="169"/>
    </row>
    <row r="83" spans="1:20" ht="15.75" customHeight="1" x14ac:dyDescent="0.15">
      <c r="A83" s="170"/>
      <c r="B83" s="258" t="s">
        <v>391</v>
      </c>
      <c r="C83" s="259"/>
      <c r="D83" s="260"/>
      <c r="E83" s="168">
        <v>51500000</v>
      </c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>
        <f t="shared" si="17"/>
        <v>51500000</v>
      </c>
      <c r="R83" s="237" t="e">
        <f>'RINCIAN B. TDK LANGSUNG'!#REF!</f>
        <v>#REF!</v>
      </c>
      <c r="S83" s="237" t="e">
        <f t="shared" si="16"/>
        <v>#REF!</v>
      </c>
      <c r="T83" s="169"/>
    </row>
    <row r="84" spans="1:20" ht="15.75" customHeight="1" x14ac:dyDescent="0.15">
      <c r="A84" s="170"/>
      <c r="B84" s="576" t="s">
        <v>392</v>
      </c>
      <c r="C84" s="577"/>
      <c r="D84" s="57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>
        <f t="shared" ref="Q84:Q85" si="18">SUM(E84:P84)</f>
        <v>0</v>
      </c>
      <c r="R84" s="237" t="e">
        <f>'RINCIAN B. TDK LANGSUNG'!#REF!</f>
        <v>#REF!</v>
      </c>
      <c r="S84" s="237" t="e">
        <f t="shared" si="16"/>
        <v>#REF!</v>
      </c>
      <c r="T84" s="169"/>
    </row>
    <row r="85" spans="1:20" ht="15.75" customHeight="1" x14ac:dyDescent="0.15">
      <c r="A85" s="170"/>
      <c r="B85" s="258" t="s">
        <v>460</v>
      </c>
      <c r="C85" s="261"/>
      <c r="D85" s="262"/>
      <c r="E85" s="168"/>
      <c r="F85" s="168"/>
      <c r="G85" s="168"/>
      <c r="H85" s="168"/>
      <c r="I85" s="168"/>
      <c r="J85" s="168"/>
      <c r="K85" s="168"/>
      <c r="L85" s="168">
        <v>70000000</v>
      </c>
      <c r="M85" s="168"/>
      <c r="N85" s="168"/>
      <c r="O85" s="168"/>
      <c r="P85" s="168"/>
      <c r="Q85" s="168">
        <f t="shared" si="18"/>
        <v>70000000</v>
      </c>
      <c r="R85" s="237">
        <f>'RINCIAN B. TDK LANGSUNG'!Q73</f>
        <v>0</v>
      </c>
      <c r="S85" s="237">
        <f t="shared" si="16"/>
        <v>70000000</v>
      </c>
      <c r="T85" s="169"/>
    </row>
    <row r="86" spans="1:20" ht="15.75" customHeight="1" x14ac:dyDescent="0.15">
      <c r="A86" s="170"/>
      <c r="B86" s="258" t="s">
        <v>394</v>
      </c>
      <c r="C86" s="261"/>
      <c r="D86" s="262"/>
      <c r="E86" s="213">
        <v>1500000</v>
      </c>
      <c r="F86" s="213">
        <v>1500000</v>
      </c>
      <c r="G86" s="213">
        <v>1500000</v>
      </c>
      <c r="H86" s="213">
        <v>1500000</v>
      </c>
      <c r="I86" s="213">
        <v>1500000</v>
      </c>
      <c r="J86" s="213">
        <v>1500000</v>
      </c>
      <c r="K86" s="213">
        <v>1500000</v>
      </c>
      <c r="L86" s="213">
        <v>1500000</v>
      </c>
      <c r="M86" s="213">
        <v>1500000</v>
      </c>
      <c r="N86" s="213">
        <v>1500000</v>
      </c>
      <c r="O86" s="213">
        <v>1500000</v>
      </c>
      <c r="P86" s="213">
        <v>1500000</v>
      </c>
      <c r="Q86" s="168">
        <f t="shared" si="17"/>
        <v>18000000</v>
      </c>
      <c r="R86" s="237">
        <f>'RINCIAN B. TDK LANGSUNG'!Q74</f>
        <v>0</v>
      </c>
      <c r="S86" s="237">
        <f t="shared" si="16"/>
        <v>18000000</v>
      </c>
      <c r="T86" s="169"/>
    </row>
    <row r="87" spans="1:20" ht="15.75" customHeight="1" x14ac:dyDescent="0.15">
      <c r="A87" s="179"/>
      <c r="B87" s="545" t="s">
        <v>395</v>
      </c>
      <c r="C87" s="546"/>
      <c r="D87" s="547"/>
      <c r="E87" s="180">
        <f t="shared" ref="E87:P87" si="19">SUM(E65:E86)</f>
        <v>243800000</v>
      </c>
      <c r="F87" s="180">
        <f t="shared" si="19"/>
        <v>77300000</v>
      </c>
      <c r="G87" s="180">
        <f t="shared" si="19"/>
        <v>92300000</v>
      </c>
      <c r="H87" s="180">
        <f t="shared" si="19"/>
        <v>75300000</v>
      </c>
      <c r="I87" s="180">
        <f t="shared" si="19"/>
        <v>64300000</v>
      </c>
      <c r="J87" s="180">
        <f t="shared" si="19"/>
        <v>64300000</v>
      </c>
      <c r="K87" s="180">
        <f t="shared" si="19"/>
        <v>70300000</v>
      </c>
      <c r="L87" s="180">
        <f t="shared" si="19"/>
        <v>134300000</v>
      </c>
      <c r="M87" s="180">
        <f t="shared" si="19"/>
        <v>65800000</v>
      </c>
      <c r="N87" s="180">
        <f t="shared" si="19"/>
        <v>67300000</v>
      </c>
      <c r="O87" s="180">
        <f t="shared" si="19"/>
        <v>67300000</v>
      </c>
      <c r="P87" s="180">
        <f t="shared" si="19"/>
        <v>76300000</v>
      </c>
      <c r="Q87" s="180">
        <f>SUM(E87:P87)</f>
        <v>1098600000</v>
      </c>
      <c r="R87" s="238" t="e">
        <f>SUM(R66:R86)</f>
        <v>#REF!</v>
      </c>
      <c r="S87" s="238" t="e">
        <f>Q87-R87</f>
        <v>#REF!</v>
      </c>
      <c r="T87" s="181" t="s">
        <v>220</v>
      </c>
    </row>
    <row r="88" spans="1:20" ht="15.75" customHeight="1" x14ac:dyDescent="0.15">
      <c r="A88" s="179"/>
      <c r="B88" s="545" t="s">
        <v>396</v>
      </c>
      <c r="C88" s="546"/>
      <c r="D88" s="547"/>
      <c r="E88" s="221">
        <f t="shared" ref="E88:P88" si="20">E87+E60+E50+E45+E28+E53</f>
        <v>514370000</v>
      </c>
      <c r="F88" s="221">
        <f t="shared" si="20"/>
        <v>342570000</v>
      </c>
      <c r="G88" s="221">
        <f t="shared" si="20"/>
        <v>314070000</v>
      </c>
      <c r="H88" s="221">
        <f t="shared" si="20"/>
        <v>364770000</v>
      </c>
      <c r="I88" s="221">
        <f t="shared" si="20"/>
        <v>475770000</v>
      </c>
      <c r="J88" s="221">
        <f t="shared" si="20"/>
        <v>276070000</v>
      </c>
      <c r="K88" s="221">
        <f t="shared" si="20"/>
        <v>293870000</v>
      </c>
      <c r="L88" s="221">
        <f t="shared" si="20"/>
        <v>399670000</v>
      </c>
      <c r="M88" s="221">
        <f t="shared" si="20"/>
        <v>287570000</v>
      </c>
      <c r="N88" s="221">
        <f t="shared" si="20"/>
        <v>293570000</v>
      </c>
      <c r="O88" s="221">
        <f t="shared" si="20"/>
        <v>301570000</v>
      </c>
      <c r="P88" s="221">
        <f t="shared" si="20"/>
        <v>451970000</v>
      </c>
      <c r="Q88" s="180">
        <f>SUM(E88:P88)</f>
        <v>4315840000</v>
      </c>
      <c r="R88" s="237" t="e">
        <f>R28+R45+R50+R53+R60+R64+R87</f>
        <v>#REF!</v>
      </c>
      <c r="S88" s="238" t="e">
        <f t="shared" ref="S88:S90" si="21">Q88-R88</f>
        <v>#REF!</v>
      </c>
      <c r="T88" s="169"/>
    </row>
    <row r="89" spans="1:20" ht="15.75" customHeight="1" x14ac:dyDescent="0.15">
      <c r="A89" s="170" t="s">
        <v>197</v>
      </c>
      <c r="B89" s="566" t="s">
        <v>397</v>
      </c>
      <c r="C89" s="567"/>
      <c r="D89" s="568"/>
      <c r="E89" s="224">
        <v>42100000</v>
      </c>
      <c r="F89" s="224">
        <f>42100000+625000</f>
        <v>42725000</v>
      </c>
      <c r="G89" s="224">
        <f>42100000+625000+420000</f>
        <v>43145000</v>
      </c>
      <c r="H89" s="224">
        <f t="shared" ref="H89:J89" si="22">42100000+625000+420000</f>
        <v>43145000</v>
      </c>
      <c r="I89" s="224">
        <f t="shared" si="22"/>
        <v>43145000</v>
      </c>
      <c r="J89" s="224">
        <f t="shared" si="22"/>
        <v>43145000</v>
      </c>
      <c r="K89" s="224">
        <f>42100000+625000+420000+420000</f>
        <v>43565000</v>
      </c>
      <c r="L89" s="224">
        <f t="shared" ref="L89:N89" si="23">42100000+625000+420000+420000</f>
        <v>43565000</v>
      </c>
      <c r="M89" s="224">
        <f t="shared" si="23"/>
        <v>43565000</v>
      </c>
      <c r="N89" s="224">
        <f t="shared" si="23"/>
        <v>43565000</v>
      </c>
      <c r="O89" s="224">
        <f>42100000+625000+420000+420000+420000</f>
        <v>43985000</v>
      </c>
      <c r="P89" s="224">
        <f>42100000+625000+420000+420000+420000</f>
        <v>43985000</v>
      </c>
      <c r="Q89" s="168">
        <f t="shared" si="17"/>
        <v>519635000</v>
      </c>
      <c r="R89" s="180">
        <f>'RINCIAN B. TDK LANGSUNG'!Q78+'RINCIAN B. TDK LANGSUNG'!Q79</f>
        <v>0</v>
      </c>
      <c r="S89" s="238">
        <f t="shared" si="21"/>
        <v>519635000</v>
      </c>
      <c r="T89" s="181" t="s">
        <v>398</v>
      </c>
    </row>
    <row r="90" spans="1:20" ht="15.75" customHeight="1" thickBot="1" x14ac:dyDescent="0.2">
      <c r="A90" s="199"/>
      <c r="B90" s="554" t="s">
        <v>399</v>
      </c>
      <c r="C90" s="555"/>
      <c r="D90" s="556"/>
      <c r="E90" s="225">
        <f>SUM(E88:E89)</f>
        <v>556470000</v>
      </c>
      <c r="F90" s="225">
        <f t="shared" ref="F90:Q90" si="24">SUM(F88:F89)</f>
        <v>385295000</v>
      </c>
      <c r="G90" s="225">
        <f t="shared" si="24"/>
        <v>357215000</v>
      </c>
      <c r="H90" s="225">
        <f t="shared" si="24"/>
        <v>407915000</v>
      </c>
      <c r="I90" s="225">
        <f t="shared" si="24"/>
        <v>518915000</v>
      </c>
      <c r="J90" s="225">
        <f t="shared" si="24"/>
        <v>319215000</v>
      </c>
      <c r="K90" s="225">
        <f t="shared" si="24"/>
        <v>337435000</v>
      </c>
      <c r="L90" s="225">
        <f t="shared" si="24"/>
        <v>443235000</v>
      </c>
      <c r="M90" s="225">
        <f t="shared" si="24"/>
        <v>331135000</v>
      </c>
      <c r="N90" s="225">
        <f t="shared" si="24"/>
        <v>337135000</v>
      </c>
      <c r="O90" s="225">
        <f t="shared" si="24"/>
        <v>345555000</v>
      </c>
      <c r="P90" s="225">
        <f t="shared" si="24"/>
        <v>495955000</v>
      </c>
      <c r="Q90" s="225">
        <f t="shared" si="24"/>
        <v>4835475000</v>
      </c>
      <c r="R90" s="256" t="e">
        <f>SUM(R88:R89)</f>
        <v>#REF!</v>
      </c>
      <c r="S90" s="238" t="e">
        <f t="shared" si="21"/>
        <v>#REF!</v>
      </c>
      <c r="T90" s="226"/>
    </row>
    <row r="91" spans="1:20" ht="12.75" customHeight="1" thickTop="1" x14ac:dyDescent="0.15">
      <c r="A91" s="202"/>
      <c r="E91" s="227"/>
      <c r="F91" s="227"/>
      <c r="G91" s="227"/>
      <c r="H91" s="227"/>
      <c r="I91" s="227"/>
      <c r="J91" s="227"/>
      <c r="K91" s="227"/>
      <c r="L91" s="228"/>
      <c r="M91" s="228"/>
      <c r="N91" s="228"/>
      <c r="O91" s="228"/>
      <c r="P91" s="228"/>
      <c r="Q91" s="228"/>
      <c r="R91" s="228"/>
      <c r="S91" s="228"/>
    </row>
    <row r="92" spans="1:20" ht="12.75" customHeight="1" x14ac:dyDescent="0.15">
      <c r="A92" s="202"/>
      <c r="E92" s="227"/>
      <c r="F92" s="227"/>
      <c r="G92" s="227"/>
      <c r="H92" s="227"/>
      <c r="I92" s="227"/>
      <c r="J92" s="227"/>
      <c r="K92" s="227"/>
      <c r="L92" s="228"/>
      <c r="M92" s="228"/>
      <c r="N92" s="228"/>
      <c r="O92" s="228"/>
      <c r="P92" s="228"/>
      <c r="Q92" s="228"/>
      <c r="R92" s="228"/>
      <c r="S92" s="228"/>
      <c r="T92" s="230"/>
    </row>
    <row r="93" spans="1:20" ht="12.75" customHeight="1" x14ac:dyDescent="0.15">
      <c r="A93" s="202"/>
      <c r="L93" s="231"/>
      <c r="M93" s="231"/>
      <c r="P93" s="233"/>
      <c r="Q93" s="231"/>
      <c r="R93" s="231"/>
      <c r="S93" s="231"/>
      <c r="T93" s="234"/>
    </row>
    <row r="94" spans="1:20" ht="12.75" customHeight="1" x14ac:dyDescent="0.15">
      <c r="A94" s="202"/>
      <c r="Q94" s="231"/>
      <c r="R94" s="231"/>
      <c r="S94" s="231"/>
      <c r="T94" s="234"/>
    </row>
    <row r="95" spans="1:20" ht="12.75" customHeight="1" x14ac:dyDescent="0.15">
      <c r="A95" s="202"/>
      <c r="M95" s="231"/>
      <c r="Q95" s="231"/>
    </row>
    <row r="96" spans="1:20" ht="12.75" customHeight="1" x14ac:dyDescent="0.15">
      <c r="A96" s="202"/>
    </row>
    <row r="97" spans="1:20" ht="12.75" customHeight="1" x14ac:dyDescent="0.15">
      <c r="A97" s="202"/>
      <c r="Q97" s="231"/>
      <c r="R97" s="231"/>
      <c r="S97" s="231"/>
    </row>
    <row r="98" spans="1:20" ht="12.75" customHeight="1" x14ac:dyDescent="0.15">
      <c r="A98" s="202"/>
    </row>
    <row r="99" spans="1:20" s="203" customFormat="1" ht="12.75" customHeight="1" x14ac:dyDescent="0.15">
      <c r="A99" s="202"/>
      <c r="C99" s="158"/>
      <c r="D99" s="158"/>
      <c r="E99" s="158"/>
      <c r="F99" s="158"/>
      <c r="G99" s="158"/>
      <c r="H99" s="158"/>
      <c r="I99" s="158"/>
      <c r="J99" s="158"/>
      <c r="K99" s="158"/>
      <c r="L99" s="232"/>
      <c r="M99" s="232"/>
      <c r="N99" s="232"/>
      <c r="O99" s="232"/>
      <c r="P99" s="232"/>
      <c r="Q99" s="231"/>
      <c r="R99" s="231"/>
      <c r="S99" s="231"/>
      <c r="T99" s="229"/>
    </row>
    <row r="100" spans="1:20" s="203" customFormat="1" ht="12.75" customHeight="1" x14ac:dyDescent="0.15">
      <c r="A100" s="202"/>
      <c r="C100" s="158"/>
      <c r="D100" s="158"/>
      <c r="E100" s="158"/>
      <c r="F100" s="158"/>
      <c r="G100" s="158"/>
      <c r="H100" s="158"/>
      <c r="I100" s="158"/>
      <c r="J100" s="158"/>
      <c r="K100" s="158"/>
      <c r="L100" s="232"/>
      <c r="M100" s="232"/>
      <c r="N100" s="232"/>
      <c r="O100" s="232"/>
      <c r="P100" s="232"/>
      <c r="Q100" s="231"/>
      <c r="R100" s="231"/>
      <c r="S100" s="231"/>
      <c r="T100" s="229"/>
    </row>
    <row r="101" spans="1:20" s="203" customFormat="1" ht="12.75" customHeight="1" x14ac:dyDescent="0.15">
      <c r="A101" s="202"/>
      <c r="C101" s="158"/>
      <c r="D101" s="158"/>
      <c r="E101" s="158"/>
      <c r="F101" s="158"/>
      <c r="G101" s="158"/>
      <c r="H101" s="158"/>
      <c r="I101" s="158"/>
      <c r="J101" s="158"/>
      <c r="K101" s="158"/>
      <c r="L101" s="232"/>
      <c r="M101" s="232"/>
      <c r="N101" s="232"/>
      <c r="O101" s="232"/>
      <c r="P101" s="232"/>
      <c r="Q101" s="232"/>
      <c r="R101" s="232"/>
      <c r="S101" s="232"/>
      <c r="T101" s="229"/>
    </row>
    <row r="102" spans="1:20" s="203" customFormat="1" ht="12.75" customHeight="1" x14ac:dyDescent="0.15">
      <c r="A102" s="202"/>
      <c r="C102" s="158"/>
      <c r="D102" s="158"/>
      <c r="E102" s="158"/>
      <c r="F102" s="158"/>
      <c r="G102" s="158"/>
      <c r="H102" s="158"/>
      <c r="I102" s="158"/>
      <c r="J102" s="158"/>
      <c r="K102" s="158"/>
      <c r="L102" s="232"/>
      <c r="M102" s="232"/>
      <c r="N102" s="232"/>
      <c r="O102" s="232"/>
      <c r="P102" s="232"/>
      <c r="Q102" s="232"/>
      <c r="R102" s="232"/>
      <c r="S102" s="232"/>
      <c r="T102" s="229"/>
    </row>
    <row r="103" spans="1:20" s="203" customFormat="1" ht="12.75" customHeight="1" x14ac:dyDescent="0.15">
      <c r="A103" s="202"/>
      <c r="C103" s="158"/>
      <c r="D103" s="158"/>
      <c r="E103" s="158"/>
      <c r="F103" s="158"/>
      <c r="G103" s="158"/>
      <c r="H103" s="158"/>
      <c r="I103" s="158"/>
      <c r="J103" s="158"/>
      <c r="K103" s="158"/>
      <c r="L103" s="232"/>
      <c r="M103" s="232">
        <f>30000/12</f>
        <v>2500</v>
      </c>
      <c r="N103" s="232"/>
      <c r="O103" s="232"/>
      <c r="P103" s="232"/>
      <c r="Q103" s="232"/>
      <c r="R103" s="232"/>
      <c r="S103" s="232"/>
      <c r="T103" s="229"/>
    </row>
    <row r="104" spans="1:20" s="203" customFormat="1" ht="12.75" customHeight="1" x14ac:dyDescent="0.15">
      <c r="A104" s="202"/>
      <c r="C104" s="158"/>
      <c r="D104" s="158"/>
      <c r="E104" s="158"/>
      <c r="F104" s="158"/>
      <c r="G104" s="158"/>
      <c r="H104" s="158"/>
      <c r="I104" s="158"/>
      <c r="J104" s="158"/>
      <c r="K104" s="158"/>
      <c r="L104" s="232"/>
      <c r="M104" s="232">
        <f>15000/12</f>
        <v>1250</v>
      </c>
      <c r="N104" s="232"/>
      <c r="O104" s="232"/>
      <c r="P104" s="232"/>
      <c r="Q104" s="232"/>
      <c r="R104" s="232"/>
      <c r="S104" s="232"/>
      <c r="T104" s="229"/>
    </row>
    <row r="105" spans="1:20" s="203" customFormat="1" ht="12.75" customHeight="1" x14ac:dyDescent="0.15">
      <c r="A105" s="202"/>
      <c r="C105" s="158"/>
      <c r="D105" s="158"/>
      <c r="E105" s="158"/>
      <c r="F105" s="158"/>
      <c r="G105" s="158"/>
      <c r="H105" s="158"/>
      <c r="I105" s="158"/>
      <c r="J105" s="158"/>
      <c r="K105" s="158"/>
      <c r="L105" s="232"/>
      <c r="M105" s="232"/>
      <c r="N105" s="232"/>
      <c r="O105" s="232"/>
      <c r="P105" s="232"/>
      <c r="Q105" s="232"/>
      <c r="R105" s="232"/>
      <c r="S105" s="232"/>
      <c r="T105" s="229"/>
    </row>
    <row r="106" spans="1:20" s="203" customFormat="1" ht="12.75" customHeight="1" x14ac:dyDescent="0.15">
      <c r="A106" s="202"/>
      <c r="C106" s="158"/>
      <c r="D106" s="158"/>
      <c r="E106" s="158"/>
      <c r="F106" s="158"/>
      <c r="G106" s="158"/>
      <c r="H106" s="158"/>
      <c r="I106" s="158"/>
      <c r="J106" s="158"/>
      <c r="K106" s="158"/>
      <c r="L106" s="232"/>
      <c r="M106" s="232"/>
      <c r="N106" s="232"/>
      <c r="O106" s="232"/>
      <c r="P106" s="232"/>
      <c r="Q106" s="232"/>
      <c r="R106" s="232"/>
      <c r="S106" s="232"/>
      <c r="T106" s="229"/>
    </row>
    <row r="107" spans="1:20" s="203" customFormat="1" ht="12.75" customHeight="1" x14ac:dyDescent="0.15">
      <c r="A107" s="202"/>
      <c r="C107" s="158"/>
      <c r="D107" s="158"/>
      <c r="E107" s="158"/>
      <c r="F107" s="158"/>
      <c r="G107" s="158"/>
      <c r="H107" s="158"/>
      <c r="I107" s="158"/>
      <c r="J107" s="158"/>
      <c r="K107" s="158"/>
      <c r="L107" s="232"/>
      <c r="M107" s="232"/>
      <c r="N107" s="232"/>
      <c r="O107" s="232"/>
      <c r="P107" s="232"/>
      <c r="Q107" s="232"/>
      <c r="R107" s="232"/>
      <c r="S107" s="232"/>
      <c r="T107" s="229"/>
    </row>
    <row r="108" spans="1:20" s="203" customFormat="1" ht="12.75" customHeight="1" x14ac:dyDescent="0.15">
      <c r="A108" s="202"/>
      <c r="C108" s="158"/>
      <c r="D108" s="158"/>
      <c r="E108" s="158"/>
      <c r="F108" s="158"/>
      <c r="G108" s="158"/>
      <c r="H108" s="158"/>
      <c r="I108" s="158"/>
      <c r="J108" s="158"/>
      <c r="K108" s="158"/>
      <c r="L108" s="232"/>
      <c r="M108" s="232"/>
      <c r="N108" s="232"/>
      <c r="O108" s="232"/>
      <c r="P108" s="232"/>
      <c r="Q108" s="232"/>
      <c r="R108" s="232"/>
      <c r="S108" s="232"/>
      <c r="T108" s="229"/>
    </row>
    <row r="109" spans="1:20" s="203" customFormat="1" ht="12.75" customHeight="1" x14ac:dyDescent="0.15">
      <c r="A109" s="202"/>
      <c r="C109" s="158"/>
      <c r="D109" s="158"/>
      <c r="E109" s="158"/>
      <c r="F109" s="158"/>
      <c r="G109" s="158"/>
      <c r="H109" s="158"/>
      <c r="I109" s="158"/>
      <c r="J109" s="158"/>
      <c r="K109" s="158"/>
      <c r="L109" s="232"/>
      <c r="M109" s="232"/>
      <c r="N109" s="232"/>
      <c r="O109" s="232"/>
      <c r="P109" s="232"/>
      <c r="Q109" s="232"/>
      <c r="R109" s="232"/>
      <c r="S109" s="232"/>
      <c r="T109" s="229"/>
    </row>
    <row r="110" spans="1:20" s="203" customFormat="1" ht="12.75" customHeight="1" x14ac:dyDescent="0.15">
      <c r="A110" s="202"/>
      <c r="C110" s="158"/>
      <c r="D110" s="158"/>
      <c r="E110" s="158"/>
      <c r="F110" s="158"/>
      <c r="G110" s="158"/>
      <c r="H110" s="158"/>
      <c r="I110" s="158"/>
      <c r="J110" s="158"/>
      <c r="K110" s="158"/>
      <c r="L110" s="232"/>
      <c r="M110" s="232"/>
      <c r="N110" s="232"/>
      <c r="O110" s="232"/>
      <c r="P110" s="232"/>
      <c r="Q110" s="232"/>
      <c r="R110" s="232"/>
      <c r="S110" s="232"/>
      <c r="T110" s="229"/>
    </row>
    <row r="111" spans="1:20" s="203" customFormat="1" ht="12.75" customHeight="1" x14ac:dyDescent="0.15">
      <c r="A111" s="202"/>
      <c r="C111" s="158"/>
      <c r="D111" s="158"/>
      <c r="E111" s="158"/>
      <c r="F111" s="158"/>
      <c r="G111" s="158"/>
      <c r="H111" s="158"/>
      <c r="I111" s="158"/>
      <c r="J111" s="158"/>
      <c r="K111" s="158"/>
      <c r="L111" s="232"/>
      <c r="M111" s="232"/>
      <c r="N111" s="232"/>
      <c r="O111" s="232"/>
      <c r="P111" s="232"/>
      <c r="Q111" s="232"/>
      <c r="R111" s="232"/>
      <c r="S111" s="232"/>
      <c r="T111" s="229"/>
    </row>
    <row r="112" spans="1:20" s="203" customFormat="1" ht="12.75" customHeight="1" x14ac:dyDescent="0.15">
      <c r="A112" s="202"/>
      <c r="C112" s="158"/>
      <c r="D112" s="158"/>
      <c r="E112" s="158"/>
      <c r="F112" s="158"/>
      <c r="G112" s="158"/>
      <c r="H112" s="158"/>
      <c r="I112" s="158"/>
      <c r="J112" s="158"/>
      <c r="K112" s="158"/>
      <c r="L112" s="232"/>
      <c r="M112" s="232"/>
      <c r="N112" s="232"/>
      <c r="O112" s="232"/>
      <c r="P112" s="232"/>
      <c r="Q112" s="232"/>
      <c r="R112" s="232"/>
      <c r="S112" s="232"/>
      <c r="T112" s="229"/>
    </row>
    <row r="113" spans="1:20" s="203" customFormat="1" ht="12.75" customHeight="1" x14ac:dyDescent="0.15">
      <c r="A113" s="202"/>
      <c r="C113" s="158"/>
      <c r="D113" s="158"/>
      <c r="E113" s="158"/>
      <c r="F113" s="158"/>
      <c r="G113" s="158"/>
      <c r="H113" s="158"/>
      <c r="I113" s="158"/>
      <c r="J113" s="158"/>
      <c r="K113" s="158"/>
      <c r="L113" s="232"/>
      <c r="M113" s="232"/>
      <c r="N113" s="232"/>
      <c r="O113" s="232"/>
      <c r="P113" s="232"/>
      <c r="Q113" s="232"/>
      <c r="R113" s="232"/>
      <c r="S113" s="232"/>
      <c r="T113" s="229"/>
    </row>
    <row r="114" spans="1:20" s="203" customFormat="1" ht="12.75" customHeight="1" x14ac:dyDescent="0.15">
      <c r="A114" s="202"/>
      <c r="C114" s="158"/>
      <c r="D114" s="158"/>
      <c r="E114" s="158"/>
      <c r="F114" s="158"/>
      <c r="G114" s="158"/>
      <c r="H114" s="158"/>
      <c r="I114" s="158"/>
      <c r="J114" s="158"/>
      <c r="K114" s="158"/>
      <c r="L114" s="232"/>
      <c r="M114" s="232"/>
      <c r="N114" s="232"/>
      <c r="O114" s="232"/>
      <c r="P114" s="232"/>
      <c r="Q114" s="232"/>
      <c r="R114" s="232"/>
      <c r="S114" s="232"/>
      <c r="T114" s="229"/>
    </row>
    <row r="115" spans="1:20" s="203" customFormat="1" ht="12.75" customHeight="1" x14ac:dyDescent="0.15">
      <c r="A115" s="202"/>
      <c r="C115" s="158"/>
      <c r="D115" s="158"/>
      <c r="E115" s="158"/>
      <c r="F115" s="158"/>
      <c r="G115" s="158"/>
      <c r="H115" s="158"/>
      <c r="I115" s="158"/>
      <c r="J115" s="158"/>
      <c r="K115" s="158"/>
      <c r="L115" s="232"/>
      <c r="M115" s="232"/>
      <c r="N115" s="232"/>
      <c r="O115" s="232"/>
      <c r="P115" s="232"/>
      <c r="Q115" s="232"/>
      <c r="R115" s="232"/>
      <c r="S115" s="232"/>
      <c r="T115" s="229"/>
    </row>
    <row r="116" spans="1:20" s="203" customFormat="1" ht="12.75" customHeight="1" x14ac:dyDescent="0.15">
      <c r="A116" s="202"/>
      <c r="C116" s="158"/>
      <c r="D116" s="158"/>
      <c r="E116" s="158"/>
      <c r="F116" s="158"/>
      <c r="G116" s="158"/>
      <c r="H116" s="158"/>
      <c r="I116" s="158"/>
      <c r="J116" s="158"/>
      <c r="K116" s="158"/>
      <c r="L116" s="232"/>
      <c r="M116" s="232"/>
      <c r="N116" s="232"/>
      <c r="O116" s="232"/>
      <c r="P116" s="232"/>
      <c r="Q116" s="232"/>
      <c r="R116" s="232"/>
      <c r="S116" s="232"/>
      <c r="T116" s="229"/>
    </row>
    <row r="117" spans="1:20" s="203" customFormat="1" ht="12.75" customHeight="1" x14ac:dyDescent="0.15">
      <c r="A117" s="202"/>
      <c r="C117" s="158"/>
      <c r="D117" s="158"/>
      <c r="E117" s="158"/>
      <c r="F117" s="158"/>
      <c r="G117" s="158"/>
      <c r="H117" s="158"/>
      <c r="I117" s="158"/>
      <c r="J117" s="158"/>
      <c r="K117" s="158"/>
      <c r="L117" s="232"/>
      <c r="M117" s="232"/>
      <c r="N117" s="232"/>
      <c r="O117" s="232"/>
      <c r="P117" s="232"/>
      <c r="Q117" s="232"/>
      <c r="R117" s="232"/>
      <c r="S117" s="232"/>
      <c r="T117" s="229"/>
    </row>
    <row r="118" spans="1:20" s="203" customFormat="1" ht="12.75" customHeight="1" x14ac:dyDescent="0.15">
      <c r="A118" s="202"/>
      <c r="C118" s="158"/>
      <c r="D118" s="158"/>
      <c r="E118" s="158"/>
      <c r="F118" s="158"/>
      <c r="G118" s="158"/>
      <c r="H118" s="158"/>
      <c r="I118" s="158"/>
      <c r="J118" s="158"/>
      <c r="K118" s="158"/>
      <c r="L118" s="232"/>
      <c r="M118" s="232"/>
      <c r="N118" s="232"/>
      <c r="O118" s="232"/>
      <c r="P118" s="232"/>
      <c r="Q118" s="232"/>
      <c r="R118" s="232"/>
      <c r="S118" s="232"/>
      <c r="T118" s="229"/>
    </row>
    <row r="119" spans="1:20" s="203" customFormat="1" ht="12.75" customHeight="1" x14ac:dyDescent="0.15">
      <c r="A119" s="202"/>
      <c r="C119" s="158"/>
      <c r="D119" s="158"/>
      <c r="E119" s="158"/>
      <c r="F119" s="158"/>
      <c r="G119" s="158"/>
      <c r="H119" s="158"/>
      <c r="I119" s="158"/>
      <c r="J119" s="158"/>
      <c r="K119" s="158"/>
      <c r="L119" s="232"/>
      <c r="M119" s="232"/>
      <c r="N119" s="232"/>
      <c r="O119" s="232"/>
      <c r="P119" s="232"/>
      <c r="Q119" s="232"/>
      <c r="R119" s="232"/>
      <c r="S119" s="232"/>
      <c r="T119" s="229"/>
    </row>
    <row r="120" spans="1:20" s="203" customFormat="1" ht="12.75" customHeight="1" x14ac:dyDescent="0.15">
      <c r="A120" s="202"/>
      <c r="C120" s="158"/>
      <c r="D120" s="158"/>
      <c r="E120" s="158"/>
      <c r="F120" s="158"/>
      <c r="G120" s="158"/>
      <c r="H120" s="158"/>
      <c r="I120" s="158"/>
      <c r="J120" s="158"/>
      <c r="K120" s="158"/>
      <c r="L120" s="232"/>
      <c r="M120" s="232"/>
      <c r="N120" s="232"/>
      <c r="O120" s="232"/>
      <c r="P120" s="232"/>
      <c r="Q120" s="232"/>
      <c r="R120" s="232"/>
      <c r="S120" s="232"/>
      <c r="T120" s="229"/>
    </row>
    <row r="121" spans="1:20" s="203" customFormat="1" ht="12.75" customHeight="1" x14ac:dyDescent="0.15">
      <c r="A121" s="202"/>
      <c r="C121" s="158"/>
      <c r="D121" s="158"/>
      <c r="E121" s="158"/>
      <c r="F121" s="158"/>
      <c r="G121" s="158"/>
      <c r="H121" s="158"/>
      <c r="I121" s="158"/>
      <c r="J121" s="158"/>
      <c r="K121" s="158"/>
      <c r="L121" s="232"/>
      <c r="M121" s="232"/>
      <c r="N121" s="232"/>
      <c r="O121" s="232"/>
      <c r="P121" s="232"/>
      <c r="Q121" s="232"/>
      <c r="R121" s="232"/>
      <c r="S121" s="232"/>
      <c r="T121" s="229"/>
    </row>
    <row r="122" spans="1:20" s="203" customFormat="1" ht="12.75" customHeight="1" x14ac:dyDescent="0.15">
      <c r="A122" s="202"/>
      <c r="C122" s="158"/>
      <c r="D122" s="158"/>
      <c r="E122" s="158"/>
      <c r="F122" s="158"/>
      <c r="G122" s="158"/>
      <c r="H122" s="158"/>
      <c r="I122" s="158"/>
      <c r="J122" s="158"/>
      <c r="K122" s="158"/>
      <c r="L122" s="232"/>
      <c r="M122" s="232"/>
      <c r="N122" s="232"/>
      <c r="O122" s="232"/>
      <c r="P122" s="232"/>
      <c r="Q122" s="232"/>
      <c r="R122" s="232"/>
      <c r="S122" s="232"/>
      <c r="T122" s="229"/>
    </row>
    <row r="123" spans="1:20" s="203" customFormat="1" ht="12.75" customHeight="1" x14ac:dyDescent="0.15">
      <c r="A123" s="202"/>
      <c r="C123" s="158"/>
      <c r="D123" s="158"/>
      <c r="E123" s="158"/>
      <c r="F123" s="158"/>
      <c r="G123" s="158"/>
      <c r="H123" s="158"/>
      <c r="I123" s="158"/>
      <c r="J123" s="158"/>
      <c r="K123" s="158"/>
      <c r="L123" s="232"/>
      <c r="M123" s="232"/>
      <c r="N123" s="232"/>
      <c r="O123" s="232"/>
      <c r="P123" s="232"/>
      <c r="Q123" s="232"/>
      <c r="R123" s="232"/>
      <c r="S123" s="232"/>
      <c r="T123" s="229"/>
    </row>
    <row r="124" spans="1:20" s="203" customFormat="1" ht="12.75" customHeight="1" x14ac:dyDescent="0.15">
      <c r="A124" s="202"/>
      <c r="C124" s="158"/>
      <c r="D124" s="158"/>
      <c r="E124" s="158"/>
      <c r="F124" s="158"/>
      <c r="G124" s="158"/>
      <c r="H124" s="158"/>
      <c r="I124" s="158"/>
      <c r="J124" s="158"/>
      <c r="K124" s="158"/>
      <c r="L124" s="232"/>
      <c r="M124" s="232"/>
      <c r="N124" s="232"/>
      <c r="O124" s="232"/>
      <c r="P124" s="232"/>
      <c r="Q124" s="232"/>
      <c r="R124" s="232"/>
      <c r="S124" s="232"/>
      <c r="T124" s="229"/>
    </row>
    <row r="125" spans="1:20" s="203" customFormat="1" ht="12.75" customHeight="1" x14ac:dyDescent="0.15">
      <c r="A125" s="202"/>
      <c r="C125" s="158"/>
      <c r="D125" s="158"/>
      <c r="E125" s="158"/>
      <c r="F125" s="158"/>
      <c r="G125" s="158"/>
      <c r="H125" s="158"/>
      <c r="I125" s="158"/>
      <c r="J125" s="158"/>
      <c r="K125" s="158"/>
      <c r="L125" s="232"/>
      <c r="M125" s="232"/>
      <c r="N125" s="232"/>
      <c r="O125" s="232"/>
      <c r="P125" s="232"/>
      <c r="Q125" s="232"/>
      <c r="R125" s="232"/>
      <c r="S125" s="232"/>
      <c r="T125" s="229"/>
    </row>
    <row r="126" spans="1:20" s="203" customFormat="1" ht="12.75" customHeight="1" x14ac:dyDescent="0.15">
      <c r="A126" s="202"/>
      <c r="C126" s="158"/>
      <c r="D126" s="158"/>
      <c r="E126" s="158"/>
      <c r="F126" s="158"/>
      <c r="G126" s="158"/>
      <c r="H126" s="158"/>
      <c r="I126" s="158"/>
      <c r="J126" s="158"/>
      <c r="K126" s="158"/>
      <c r="L126" s="232"/>
      <c r="M126" s="232"/>
      <c r="N126" s="232"/>
      <c r="O126" s="232"/>
      <c r="P126" s="232"/>
      <c r="Q126" s="232"/>
      <c r="R126" s="232"/>
      <c r="S126" s="232"/>
      <c r="T126" s="229"/>
    </row>
    <row r="127" spans="1:20" s="203" customFormat="1" ht="12.75" customHeight="1" x14ac:dyDescent="0.15">
      <c r="A127" s="202"/>
      <c r="C127" s="158"/>
      <c r="D127" s="158"/>
      <c r="E127" s="158"/>
      <c r="F127" s="158"/>
      <c r="G127" s="158"/>
      <c r="H127" s="158"/>
      <c r="I127" s="158"/>
      <c r="J127" s="158"/>
      <c r="K127" s="158"/>
      <c r="L127" s="232"/>
      <c r="M127" s="232"/>
      <c r="N127" s="232"/>
      <c r="O127" s="232"/>
      <c r="P127" s="232"/>
      <c r="Q127" s="232"/>
      <c r="R127" s="232"/>
      <c r="S127" s="232"/>
      <c r="T127" s="229"/>
    </row>
    <row r="128" spans="1:20" s="203" customFormat="1" ht="12.75" customHeight="1" x14ac:dyDescent="0.15">
      <c r="A128" s="202"/>
      <c r="C128" s="158"/>
      <c r="D128" s="158"/>
      <c r="E128" s="158"/>
      <c r="F128" s="158"/>
      <c r="G128" s="158"/>
      <c r="H128" s="158"/>
      <c r="I128" s="158"/>
      <c r="J128" s="158"/>
      <c r="K128" s="158"/>
      <c r="L128" s="232"/>
      <c r="M128" s="232"/>
      <c r="N128" s="232"/>
      <c r="O128" s="232"/>
      <c r="P128" s="232"/>
      <c r="Q128" s="232"/>
      <c r="R128" s="232"/>
      <c r="S128" s="232"/>
      <c r="T128" s="229"/>
    </row>
    <row r="129" spans="1:20" s="203" customFormat="1" ht="12.75" customHeight="1" x14ac:dyDescent="0.15">
      <c r="A129" s="202"/>
      <c r="C129" s="158"/>
      <c r="D129" s="158"/>
      <c r="E129" s="158"/>
      <c r="F129" s="158"/>
      <c r="G129" s="158"/>
      <c r="H129" s="158"/>
      <c r="I129" s="158"/>
      <c r="J129" s="158"/>
      <c r="K129" s="158"/>
      <c r="L129" s="232"/>
      <c r="M129" s="232"/>
      <c r="N129" s="232"/>
      <c r="O129" s="232"/>
      <c r="P129" s="232"/>
      <c r="Q129" s="232"/>
      <c r="R129" s="232"/>
      <c r="S129" s="232"/>
      <c r="T129" s="229"/>
    </row>
    <row r="130" spans="1:20" s="203" customFormat="1" ht="12.75" customHeight="1" x14ac:dyDescent="0.15">
      <c r="A130" s="202"/>
      <c r="C130" s="158"/>
      <c r="D130" s="158"/>
      <c r="E130" s="158"/>
      <c r="F130" s="158"/>
      <c r="G130" s="158"/>
      <c r="H130" s="158"/>
      <c r="I130" s="158"/>
      <c r="J130" s="158"/>
      <c r="K130" s="158"/>
      <c r="L130" s="232"/>
      <c r="M130" s="232"/>
      <c r="N130" s="232"/>
      <c r="O130" s="232"/>
      <c r="P130" s="232"/>
      <c r="Q130" s="232"/>
      <c r="R130" s="232"/>
      <c r="S130" s="232"/>
      <c r="T130" s="229"/>
    </row>
    <row r="131" spans="1:20" s="203" customFormat="1" ht="12.75" customHeight="1" x14ac:dyDescent="0.15">
      <c r="A131" s="202"/>
      <c r="C131" s="158"/>
      <c r="D131" s="158"/>
      <c r="E131" s="158"/>
      <c r="F131" s="158"/>
      <c r="G131" s="158"/>
      <c r="H131" s="158"/>
      <c r="I131" s="158"/>
      <c r="J131" s="158"/>
      <c r="K131" s="158"/>
      <c r="L131" s="232"/>
      <c r="M131" s="232"/>
      <c r="N131" s="232"/>
      <c r="O131" s="232"/>
      <c r="P131" s="232"/>
      <c r="Q131" s="232"/>
      <c r="R131" s="232"/>
      <c r="S131" s="232"/>
      <c r="T131" s="229"/>
    </row>
    <row r="132" spans="1:20" s="203" customFormat="1" ht="12.75" customHeight="1" x14ac:dyDescent="0.15">
      <c r="A132" s="202"/>
      <c r="C132" s="158"/>
      <c r="D132" s="158"/>
      <c r="E132" s="158"/>
      <c r="F132" s="158"/>
      <c r="G132" s="158"/>
      <c r="H132" s="158"/>
      <c r="I132" s="158"/>
      <c r="J132" s="158"/>
      <c r="K132" s="158"/>
      <c r="L132" s="232"/>
      <c r="M132" s="232"/>
      <c r="N132" s="232"/>
      <c r="O132" s="232"/>
      <c r="P132" s="232"/>
      <c r="Q132" s="232"/>
      <c r="R132" s="232"/>
      <c r="S132" s="232"/>
      <c r="T132" s="229"/>
    </row>
    <row r="133" spans="1:20" s="203" customFormat="1" ht="12.75" customHeight="1" x14ac:dyDescent="0.15">
      <c r="A133" s="202"/>
      <c r="C133" s="158"/>
      <c r="D133" s="158"/>
      <c r="E133" s="158"/>
      <c r="F133" s="158"/>
      <c r="G133" s="158"/>
      <c r="H133" s="158"/>
      <c r="I133" s="158"/>
      <c r="J133" s="158"/>
      <c r="K133" s="158"/>
      <c r="L133" s="232"/>
      <c r="M133" s="232"/>
      <c r="N133" s="232"/>
      <c r="O133" s="232"/>
      <c r="P133" s="232"/>
      <c r="Q133" s="232"/>
      <c r="R133" s="232"/>
      <c r="S133" s="232"/>
      <c r="T133" s="229"/>
    </row>
    <row r="134" spans="1:20" s="203" customFormat="1" ht="12.75" customHeight="1" x14ac:dyDescent="0.15">
      <c r="A134" s="202"/>
      <c r="C134" s="158"/>
      <c r="D134" s="158"/>
      <c r="E134" s="158"/>
      <c r="F134" s="158"/>
      <c r="G134" s="158"/>
      <c r="H134" s="158"/>
      <c r="I134" s="158"/>
      <c r="J134" s="158"/>
      <c r="K134" s="158"/>
      <c r="L134" s="232"/>
      <c r="M134" s="232"/>
      <c r="N134" s="232"/>
      <c r="O134" s="232"/>
      <c r="P134" s="232"/>
      <c r="Q134" s="232"/>
      <c r="R134" s="232"/>
      <c r="S134" s="232"/>
      <c r="T134" s="229"/>
    </row>
    <row r="135" spans="1:20" s="203" customFormat="1" ht="12.75" customHeight="1" x14ac:dyDescent="0.15">
      <c r="A135" s="202"/>
      <c r="C135" s="158"/>
      <c r="D135" s="158"/>
      <c r="E135" s="158"/>
      <c r="F135" s="158"/>
      <c r="G135" s="158"/>
      <c r="H135" s="158"/>
      <c r="I135" s="158"/>
      <c r="J135" s="158"/>
      <c r="K135" s="158"/>
      <c r="L135" s="232"/>
      <c r="M135" s="232"/>
      <c r="N135" s="232"/>
      <c r="O135" s="232"/>
      <c r="P135" s="232"/>
      <c r="Q135" s="232"/>
      <c r="R135" s="232"/>
      <c r="S135" s="232"/>
      <c r="T135" s="229"/>
    </row>
    <row r="136" spans="1:20" s="203" customFormat="1" ht="12.75" customHeight="1" x14ac:dyDescent="0.15">
      <c r="A136" s="202"/>
      <c r="C136" s="158"/>
      <c r="D136" s="158"/>
      <c r="E136" s="158"/>
      <c r="F136" s="158"/>
      <c r="G136" s="158"/>
      <c r="H136" s="158"/>
      <c r="I136" s="158"/>
      <c r="J136" s="158"/>
      <c r="K136" s="158"/>
      <c r="L136" s="232"/>
      <c r="M136" s="232"/>
      <c r="N136" s="232"/>
      <c r="O136" s="232"/>
      <c r="P136" s="232"/>
      <c r="Q136" s="232"/>
      <c r="R136" s="232"/>
      <c r="S136" s="232"/>
      <c r="T136" s="229"/>
    </row>
    <row r="137" spans="1:20" s="203" customFormat="1" ht="12.75" customHeight="1" x14ac:dyDescent="0.15">
      <c r="A137" s="202"/>
      <c r="C137" s="158"/>
      <c r="D137" s="158"/>
      <c r="E137" s="158"/>
      <c r="F137" s="158"/>
      <c r="G137" s="158"/>
      <c r="H137" s="158"/>
      <c r="I137" s="158"/>
      <c r="J137" s="158"/>
      <c r="K137" s="158"/>
      <c r="L137" s="232"/>
      <c r="M137" s="232"/>
      <c r="N137" s="232"/>
      <c r="O137" s="232"/>
      <c r="P137" s="232"/>
      <c r="Q137" s="232"/>
      <c r="R137" s="232"/>
      <c r="S137" s="232"/>
      <c r="T137" s="229"/>
    </row>
    <row r="138" spans="1:20" s="203" customFormat="1" ht="12.75" customHeight="1" x14ac:dyDescent="0.15">
      <c r="A138" s="202"/>
      <c r="C138" s="158"/>
      <c r="D138" s="158"/>
      <c r="E138" s="158"/>
      <c r="F138" s="158"/>
      <c r="G138" s="158"/>
      <c r="H138" s="158"/>
      <c r="I138" s="158"/>
      <c r="J138" s="158"/>
      <c r="K138" s="158"/>
      <c r="L138" s="232"/>
      <c r="M138" s="232"/>
      <c r="N138" s="232"/>
      <c r="O138" s="232"/>
      <c r="P138" s="232"/>
      <c r="Q138" s="232"/>
      <c r="R138" s="232"/>
      <c r="S138" s="232"/>
      <c r="T138" s="229"/>
    </row>
    <row r="139" spans="1:20" s="203" customFormat="1" ht="12.75" customHeight="1" x14ac:dyDescent="0.15">
      <c r="A139" s="202"/>
      <c r="C139" s="158"/>
      <c r="D139" s="158"/>
      <c r="E139" s="158"/>
      <c r="F139" s="158"/>
      <c r="G139" s="158"/>
      <c r="H139" s="158"/>
      <c r="I139" s="158"/>
      <c r="J139" s="158"/>
      <c r="K139" s="158"/>
      <c r="L139" s="232"/>
      <c r="M139" s="232"/>
      <c r="N139" s="232"/>
      <c r="O139" s="232"/>
      <c r="P139" s="232"/>
      <c r="Q139" s="232"/>
      <c r="R139" s="232"/>
      <c r="S139" s="232"/>
      <c r="T139" s="229"/>
    </row>
    <row r="140" spans="1:20" s="203" customFormat="1" ht="12.75" customHeight="1" x14ac:dyDescent="0.15">
      <c r="A140" s="202"/>
      <c r="C140" s="158"/>
      <c r="D140" s="158"/>
      <c r="E140" s="158"/>
      <c r="F140" s="158"/>
      <c r="G140" s="158"/>
      <c r="H140" s="158"/>
      <c r="I140" s="158"/>
      <c r="J140" s="158"/>
      <c r="K140" s="158"/>
      <c r="L140" s="232"/>
      <c r="M140" s="232"/>
      <c r="N140" s="232"/>
      <c r="O140" s="232"/>
      <c r="P140" s="232"/>
      <c r="Q140" s="232"/>
      <c r="R140" s="232"/>
      <c r="S140" s="232"/>
      <c r="T140" s="229"/>
    </row>
    <row r="141" spans="1:20" s="203" customFormat="1" ht="12.75" customHeight="1" x14ac:dyDescent="0.15">
      <c r="A141" s="202"/>
      <c r="C141" s="158"/>
      <c r="D141" s="158"/>
      <c r="E141" s="158"/>
      <c r="F141" s="158"/>
      <c r="G141" s="158"/>
      <c r="H141" s="158"/>
      <c r="I141" s="158"/>
      <c r="J141" s="158"/>
      <c r="K141" s="158"/>
      <c r="L141" s="232"/>
      <c r="M141" s="232"/>
      <c r="N141" s="232"/>
      <c r="O141" s="232"/>
      <c r="P141" s="232"/>
      <c r="Q141" s="232"/>
      <c r="R141" s="232"/>
      <c r="S141" s="232"/>
      <c r="T141" s="229"/>
    </row>
    <row r="142" spans="1:20" s="203" customFormat="1" ht="12.75" customHeight="1" x14ac:dyDescent="0.15">
      <c r="A142" s="202"/>
      <c r="C142" s="158"/>
      <c r="D142" s="158"/>
      <c r="E142" s="158"/>
      <c r="F142" s="158"/>
      <c r="G142" s="158"/>
      <c r="H142" s="158"/>
      <c r="I142" s="158"/>
      <c r="J142" s="158"/>
      <c r="K142" s="158"/>
      <c r="L142" s="232"/>
      <c r="M142" s="232"/>
      <c r="N142" s="232"/>
      <c r="O142" s="232"/>
      <c r="P142" s="232"/>
      <c r="Q142" s="232"/>
      <c r="R142" s="232"/>
      <c r="S142" s="232"/>
      <c r="T142" s="229"/>
    </row>
    <row r="143" spans="1:20" s="203" customFormat="1" ht="12.75" customHeight="1" x14ac:dyDescent="0.15">
      <c r="A143" s="202"/>
      <c r="C143" s="158"/>
      <c r="D143" s="158"/>
      <c r="E143" s="158"/>
      <c r="F143" s="158"/>
      <c r="G143" s="158"/>
      <c r="H143" s="158"/>
      <c r="I143" s="158"/>
      <c r="J143" s="158"/>
      <c r="K143" s="158"/>
      <c r="L143" s="232"/>
      <c r="M143" s="232"/>
      <c r="N143" s="232"/>
      <c r="O143" s="232"/>
      <c r="P143" s="232"/>
      <c r="Q143" s="232"/>
      <c r="R143" s="232"/>
      <c r="S143" s="232"/>
      <c r="T143" s="229"/>
    </row>
    <row r="144" spans="1:20" s="203" customFormat="1" ht="12.75" customHeight="1" x14ac:dyDescent="0.15">
      <c r="A144" s="202"/>
      <c r="C144" s="158"/>
      <c r="D144" s="158"/>
      <c r="E144" s="158"/>
      <c r="F144" s="158"/>
      <c r="G144" s="158"/>
      <c r="H144" s="158"/>
      <c r="I144" s="158"/>
      <c r="J144" s="158"/>
      <c r="K144" s="158"/>
      <c r="L144" s="232"/>
      <c r="M144" s="232"/>
      <c r="N144" s="232"/>
      <c r="O144" s="232"/>
      <c r="P144" s="232"/>
      <c r="Q144" s="232"/>
      <c r="R144" s="232"/>
      <c r="S144" s="232"/>
      <c r="T144" s="229"/>
    </row>
  </sheetData>
  <mergeCells count="29">
    <mergeCell ref="B45:D45"/>
    <mergeCell ref="B50:D50"/>
    <mergeCell ref="B51:D51"/>
    <mergeCell ref="B42:D42"/>
    <mergeCell ref="L2:M2"/>
    <mergeCell ref="A4:T4"/>
    <mergeCell ref="A5:T5"/>
    <mergeCell ref="B8:D9"/>
    <mergeCell ref="E8:P8"/>
    <mergeCell ref="B10:D10"/>
    <mergeCell ref="B17:D17"/>
    <mergeCell ref="B28:D28"/>
    <mergeCell ref="B30:D30"/>
    <mergeCell ref="B38:D38"/>
    <mergeCell ref="B39:D39"/>
    <mergeCell ref="B53:D53"/>
    <mergeCell ref="B54:D54"/>
    <mergeCell ref="B58:D58"/>
    <mergeCell ref="B59:D59"/>
    <mergeCell ref="B60:D60"/>
    <mergeCell ref="B88:D88"/>
    <mergeCell ref="B89:D89"/>
    <mergeCell ref="B90:D90"/>
    <mergeCell ref="B61:D61"/>
    <mergeCell ref="B62:D62"/>
    <mergeCell ref="B64:D64"/>
    <mergeCell ref="B82:D82"/>
    <mergeCell ref="B87:D87"/>
    <mergeCell ref="B84:D84"/>
  </mergeCells>
  <pageMargins left="0.43307086614173229" right="0.9055118110236221" top="0.55118110236220474" bottom="0.74803149606299213" header="0.31496062992125984" footer="0.31496062992125984"/>
  <pageSetup paperSize="5" scale="95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7</vt:i4>
      </vt:variant>
    </vt:vector>
  </HeadingPairs>
  <TitlesOfParts>
    <vt:vector size="20" baseType="lpstr">
      <vt:lpstr>LAP ARUS KAS</vt:lpstr>
      <vt:lpstr>LAP ARUS KAS (2)</vt:lpstr>
      <vt:lpstr>NERACA KOMPARATIF</vt:lpstr>
      <vt:lpstr>RL KOMPARATIF</vt:lpstr>
      <vt:lpstr>RINCIAN B. LANGSUNG USAHA</vt:lpstr>
      <vt:lpstr>RINCIAN B. TDK LANGSUNG</vt:lpstr>
      <vt:lpstr>B. NON OPERASIONAL</vt:lpstr>
      <vt:lpstr>P-9. Beban Operasi</vt:lpstr>
      <vt:lpstr>P-10. Beban Umum &amp; Adm</vt:lpstr>
      <vt:lpstr>P-10. Biaya Operasi</vt:lpstr>
      <vt:lpstr>P-11. Biaya UMUM &amp; ADM</vt:lpstr>
      <vt:lpstr>lama</vt:lpstr>
      <vt:lpstr>lama2</vt:lpstr>
      <vt:lpstr>lama!Print_Area</vt:lpstr>
      <vt:lpstr>lama2!Print_Area</vt:lpstr>
      <vt:lpstr>'P-10. Beban Umum &amp; Adm'!Print_Area</vt:lpstr>
      <vt:lpstr>'P-10. Biaya Operasi'!Print_Area</vt:lpstr>
      <vt:lpstr>'P-11. Biaya UMUM &amp; ADM'!Print_Area</vt:lpstr>
      <vt:lpstr>'P-9. Beban Operasi'!Print_Area</vt:lpstr>
      <vt:lpstr>'RINCIAN B. LANGSUNG USAHA'!Print_Area</vt:lpstr>
    </vt:vector>
  </TitlesOfParts>
  <Company>Al_Ahsan_Computer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Umeko</dc:creator>
  <cp:lastModifiedBy>PC</cp:lastModifiedBy>
  <cp:lastPrinted>2026-06-30T03:06:38Z</cp:lastPrinted>
  <dcterms:created xsi:type="dcterms:W3CDTF">2011-04-26T01:13:32Z</dcterms:created>
  <dcterms:modified xsi:type="dcterms:W3CDTF">2026-07-08T04:26:28Z</dcterms:modified>
</cp:coreProperties>
</file>